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huntia\Downloads\"/>
    </mc:Choice>
  </mc:AlternateContent>
  <xr:revisionPtr revIDLastSave="0" documentId="13_ncr:1_{05129D38-1FA8-4365-9299-BB92E232B6A3}" xr6:coauthVersionLast="47" xr6:coauthVersionMax="47" xr10:uidLastSave="{00000000-0000-0000-0000-000000000000}"/>
  <bookViews>
    <workbookView xWindow="-110" yWindow="-110" windowWidth="19420" windowHeight="10300" activeTab="1" xr2:uid="{408BC0C7-78E1-4992-8AA8-2B12B9263B57}"/>
  </bookViews>
  <sheets>
    <sheet name="Summary" sheetId="7" r:id="rId1"/>
    <sheet name="Summary ELN " sheetId="5" r:id="rId2"/>
    <sheet name="Sheet1" sheetId="9" r:id="rId3"/>
    <sheet name="Summary PLP" sheetId="6" r:id="rId4"/>
    <sheet name="RDPLP" sheetId="1" r:id="rId5"/>
    <sheet name="PO Details" sheetId="8" r:id="rId6"/>
    <sheet name="SCINET-PLP" sheetId="4" r:id="rId7"/>
    <sheet name="FLEXPLP" sheetId="2" r:id="rId8"/>
    <sheet name="ELN PLP" sheetId="3" r:id="rId9"/>
  </sheets>
  <definedNames>
    <definedName name="_xlnm._FilterDatabase" localSheetId="1" hidden="1">'Summary ELN '!#REF!</definedName>
    <definedName name="_xlnm._FilterDatabase" localSheetId="3" hidden="1">'Summary PLP'!$U$2:$V$454</definedName>
    <definedName name="ak">'Summary ELN '!$A$1:$A$1634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26" i="5" l="1"/>
  <c r="D1826" i="5"/>
  <c r="C1826" i="5"/>
  <c r="B182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635" i="5"/>
  <c r="E1636" i="5"/>
  <c r="E1634" i="5"/>
  <c r="R363" i="6"/>
  <c r="P363" i="6"/>
  <c r="O363" i="6"/>
  <c r="N363" i="6"/>
  <c r="M363" i="6"/>
  <c r="L36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4" i="6"/>
  <c r="N5" i="6"/>
  <c r="N6" i="6"/>
  <c r="N7" i="6"/>
  <c r="N8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3" i="6"/>
  <c r="I7" i="7"/>
  <c r="G5" i="7"/>
  <c r="G4" i="7"/>
  <c r="H5" i="7"/>
  <c r="H4" i="7"/>
  <c r="I7" i="8" l="1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363" i="6" s="1"/>
  <c r="J361" i="6"/>
  <c r="I361" i="6"/>
  <c r="H361" i="6"/>
  <c r="G361" i="6"/>
  <c r="E361" i="6"/>
  <c r="D361" i="6"/>
  <c r="C361" i="6"/>
  <c r="B361" i="6"/>
  <c r="J360" i="6"/>
  <c r="I360" i="6"/>
  <c r="H360" i="6"/>
  <c r="G360" i="6"/>
  <c r="E360" i="6"/>
  <c r="D360" i="6"/>
  <c r="C360" i="6"/>
  <c r="B360" i="6"/>
  <c r="J359" i="6"/>
  <c r="I359" i="6"/>
  <c r="H359" i="6"/>
  <c r="G359" i="6"/>
  <c r="E359" i="6"/>
  <c r="D359" i="6"/>
  <c r="C359" i="6"/>
  <c r="B359" i="6"/>
  <c r="J358" i="6"/>
  <c r="I358" i="6"/>
  <c r="H358" i="6"/>
  <c r="G358" i="6"/>
  <c r="E358" i="6"/>
  <c r="D358" i="6"/>
  <c r="C358" i="6"/>
  <c r="B358" i="6"/>
  <c r="J357" i="6"/>
  <c r="I357" i="6"/>
  <c r="H357" i="6"/>
  <c r="G357" i="6"/>
  <c r="E357" i="6"/>
  <c r="D357" i="6"/>
  <c r="C357" i="6"/>
  <c r="B357" i="6"/>
  <c r="J356" i="6"/>
  <c r="I356" i="6"/>
  <c r="H356" i="6"/>
  <c r="G356" i="6"/>
  <c r="E356" i="6"/>
  <c r="D356" i="6"/>
  <c r="C356" i="6"/>
  <c r="B356" i="6"/>
  <c r="J355" i="6"/>
  <c r="I355" i="6"/>
  <c r="H355" i="6"/>
  <c r="G355" i="6"/>
  <c r="E355" i="6"/>
  <c r="D355" i="6"/>
  <c r="C355" i="6"/>
  <c r="B355" i="6"/>
  <c r="J354" i="6"/>
  <c r="I354" i="6"/>
  <c r="H354" i="6"/>
  <c r="G354" i="6"/>
  <c r="K354" i="6" s="1"/>
  <c r="E354" i="6"/>
  <c r="D354" i="6"/>
  <c r="C354" i="6"/>
  <c r="B354" i="6"/>
  <c r="J353" i="6"/>
  <c r="I353" i="6"/>
  <c r="H353" i="6"/>
  <c r="G353" i="6"/>
  <c r="E353" i="6"/>
  <c r="D353" i="6"/>
  <c r="C353" i="6"/>
  <c r="B353" i="6"/>
  <c r="J352" i="6"/>
  <c r="I352" i="6"/>
  <c r="H352" i="6"/>
  <c r="G352" i="6"/>
  <c r="K352" i="6" s="1"/>
  <c r="E352" i="6"/>
  <c r="D352" i="6"/>
  <c r="C352" i="6"/>
  <c r="B352" i="6"/>
  <c r="J351" i="6"/>
  <c r="I351" i="6"/>
  <c r="H351" i="6"/>
  <c r="G351" i="6"/>
  <c r="E351" i="6"/>
  <c r="D351" i="6"/>
  <c r="C351" i="6"/>
  <c r="B351" i="6"/>
  <c r="J350" i="6"/>
  <c r="I350" i="6"/>
  <c r="H350" i="6"/>
  <c r="G350" i="6"/>
  <c r="E350" i="6"/>
  <c r="D350" i="6"/>
  <c r="C350" i="6"/>
  <c r="B350" i="6"/>
  <c r="J349" i="6"/>
  <c r="I349" i="6"/>
  <c r="H349" i="6"/>
  <c r="G349" i="6"/>
  <c r="E349" i="6"/>
  <c r="D349" i="6"/>
  <c r="C349" i="6"/>
  <c r="B349" i="6"/>
  <c r="J348" i="6"/>
  <c r="I348" i="6"/>
  <c r="H348" i="6"/>
  <c r="G348" i="6"/>
  <c r="K348" i="6" s="1"/>
  <c r="E348" i="6"/>
  <c r="D348" i="6"/>
  <c r="C348" i="6"/>
  <c r="B348" i="6"/>
  <c r="J347" i="6"/>
  <c r="I347" i="6"/>
  <c r="H347" i="6"/>
  <c r="G347" i="6"/>
  <c r="E347" i="6"/>
  <c r="D347" i="6"/>
  <c r="C347" i="6"/>
  <c r="B347" i="6"/>
  <c r="J346" i="6"/>
  <c r="I346" i="6"/>
  <c r="H346" i="6"/>
  <c r="G346" i="6"/>
  <c r="K346" i="6" s="1"/>
  <c r="E346" i="6"/>
  <c r="D346" i="6"/>
  <c r="C346" i="6"/>
  <c r="B346" i="6"/>
  <c r="F346" i="6" s="1"/>
  <c r="J345" i="6"/>
  <c r="I345" i="6"/>
  <c r="H345" i="6"/>
  <c r="G345" i="6"/>
  <c r="E345" i="6"/>
  <c r="D345" i="6"/>
  <c r="C345" i="6"/>
  <c r="B345" i="6"/>
  <c r="J344" i="6"/>
  <c r="I344" i="6"/>
  <c r="H344" i="6"/>
  <c r="G344" i="6"/>
  <c r="E344" i="6"/>
  <c r="D344" i="6"/>
  <c r="C344" i="6"/>
  <c r="B344" i="6"/>
  <c r="J343" i="6"/>
  <c r="I343" i="6"/>
  <c r="H343" i="6"/>
  <c r="G343" i="6"/>
  <c r="E343" i="6"/>
  <c r="D343" i="6"/>
  <c r="C343" i="6"/>
  <c r="B343" i="6"/>
  <c r="J342" i="6"/>
  <c r="I342" i="6"/>
  <c r="H342" i="6"/>
  <c r="G342" i="6"/>
  <c r="E342" i="6"/>
  <c r="D342" i="6"/>
  <c r="C342" i="6"/>
  <c r="B342" i="6"/>
  <c r="J341" i="6"/>
  <c r="I341" i="6"/>
  <c r="H341" i="6"/>
  <c r="G341" i="6"/>
  <c r="E341" i="6"/>
  <c r="D341" i="6"/>
  <c r="C341" i="6"/>
  <c r="B341" i="6"/>
  <c r="J340" i="6"/>
  <c r="I340" i="6"/>
  <c r="H340" i="6"/>
  <c r="G340" i="6"/>
  <c r="E340" i="6"/>
  <c r="D340" i="6"/>
  <c r="C340" i="6"/>
  <c r="B340" i="6"/>
  <c r="J339" i="6"/>
  <c r="I339" i="6"/>
  <c r="H339" i="6"/>
  <c r="G339" i="6"/>
  <c r="F339" i="6"/>
  <c r="E339" i="6"/>
  <c r="D339" i="6"/>
  <c r="C339" i="6"/>
  <c r="B339" i="6"/>
  <c r="J338" i="6"/>
  <c r="I338" i="6"/>
  <c r="H338" i="6"/>
  <c r="G338" i="6"/>
  <c r="K338" i="6" s="1"/>
  <c r="E338" i="6"/>
  <c r="D338" i="6"/>
  <c r="C338" i="6"/>
  <c r="B338" i="6"/>
  <c r="J337" i="6"/>
  <c r="I337" i="6"/>
  <c r="H337" i="6"/>
  <c r="G337" i="6"/>
  <c r="K337" i="6" s="1"/>
  <c r="E337" i="6"/>
  <c r="D337" i="6"/>
  <c r="C337" i="6"/>
  <c r="B337" i="6"/>
  <c r="J336" i="6"/>
  <c r="I336" i="6"/>
  <c r="H336" i="6"/>
  <c r="G336" i="6"/>
  <c r="E336" i="6"/>
  <c r="D336" i="6"/>
  <c r="C336" i="6"/>
  <c r="B336" i="6"/>
  <c r="J335" i="6"/>
  <c r="I335" i="6"/>
  <c r="H335" i="6"/>
  <c r="G335" i="6"/>
  <c r="E335" i="6"/>
  <c r="D335" i="6"/>
  <c r="C335" i="6"/>
  <c r="B335" i="6"/>
  <c r="J334" i="6"/>
  <c r="I334" i="6"/>
  <c r="H334" i="6"/>
  <c r="G334" i="6"/>
  <c r="E334" i="6"/>
  <c r="D334" i="6"/>
  <c r="C334" i="6"/>
  <c r="B334" i="6"/>
  <c r="J333" i="6"/>
  <c r="I333" i="6"/>
  <c r="H333" i="6"/>
  <c r="G333" i="6"/>
  <c r="E333" i="6"/>
  <c r="D333" i="6"/>
  <c r="C333" i="6"/>
  <c r="B333" i="6"/>
  <c r="J332" i="6"/>
  <c r="I332" i="6"/>
  <c r="H332" i="6"/>
  <c r="G332" i="6"/>
  <c r="K332" i="6" s="1"/>
  <c r="E332" i="6"/>
  <c r="D332" i="6"/>
  <c r="C332" i="6"/>
  <c r="B332" i="6"/>
  <c r="J331" i="6"/>
  <c r="I331" i="6"/>
  <c r="H331" i="6"/>
  <c r="G331" i="6"/>
  <c r="K331" i="6" s="1"/>
  <c r="E331" i="6"/>
  <c r="D331" i="6"/>
  <c r="C331" i="6"/>
  <c r="B331" i="6"/>
  <c r="J330" i="6"/>
  <c r="I330" i="6"/>
  <c r="H330" i="6"/>
  <c r="G330" i="6"/>
  <c r="K330" i="6" s="1"/>
  <c r="E330" i="6"/>
  <c r="D330" i="6"/>
  <c r="C330" i="6"/>
  <c r="B330" i="6"/>
  <c r="J329" i="6"/>
  <c r="I329" i="6"/>
  <c r="H329" i="6"/>
  <c r="K329" i="6" s="1"/>
  <c r="G329" i="6"/>
  <c r="E329" i="6"/>
  <c r="D329" i="6"/>
  <c r="C329" i="6"/>
  <c r="B329" i="6"/>
  <c r="J328" i="6"/>
  <c r="I328" i="6"/>
  <c r="H328" i="6"/>
  <c r="G328" i="6"/>
  <c r="E328" i="6"/>
  <c r="D328" i="6"/>
  <c r="C328" i="6"/>
  <c r="B328" i="6"/>
  <c r="J327" i="6"/>
  <c r="I327" i="6"/>
  <c r="H327" i="6"/>
  <c r="G327" i="6"/>
  <c r="E327" i="6"/>
  <c r="D327" i="6"/>
  <c r="C327" i="6"/>
  <c r="B327" i="6"/>
  <c r="J326" i="6"/>
  <c r="I326" i="6"/>
  <c r="H326" i="6"/>
  <c r="G326" i="6"/>
  <c r="E326" i="6"/>
  <c r="D326" i="6"/>
  <c r="C326" i="6"/>
  <c r="B326" i="6"/>
  <c r="J325" i="6"/>
  <c r="I325" i="6"/>
  <c r="H325" i="6"/>
  <c r="G325" i="6"/>
  <c r="E325" i="6"/>
  <c r="D325" i="6"/>
  <c r="C325" i="6"/>
  <c r="B325" i="6"/>
  <c r="J324" i="6"/>
  <c r="I324" i="6"/>
  <c r="H324" i="6"/>
  <c r="G324" i="6"/>
  <c r="E324" i="6"/>
  <c r="D324" i="6"/>
  <c r="C324" i="6"/>
  <c r="B324" i="6"/>
  <c r="J323" i="6"/>
  <c r="I323" i="6"/>
  <c r="H323" i="6"/>
  <c r="G323" i="6"/>
  <c r="E323" i="6"/>
  <c r="D323" i="6"/>
  <c r="C323" i="6"/>
  <c r="B323" i="6"/>
  <c r="J322" i="6"/>
  <c r="I322" i="6"/>
  <c r="H322" i="6"/>
  <c r="G322" i="6"/>
  <c r="E322" i="6"/>
  <c r="D322" i="6"/>
  <c r="C322" i="6"/>
  <c r="B322" i="6"/>
  <c r="F322" i="6" s="1"/>
  <c r="J321" i="6"/>
  <c r="I321" i="6"/>
  <c r="H321" i="6"/>
  <c r="G321" i="6"/>
  <c r="E321" i="6"/>
  <c r="D321" i="6"/>
  <c r="C321" i="6"/>
  <c r="B321" i="6"/>
  <c r="J320" i="6"/>
  <c r="I320" i="6"/>
  <c r="H320" i="6"/>
  <c r="G320" i="6"/>
  <c r="E320" i="6"/>
  <c r="D320" i="6"/>
  <c r="C320" i="6"/>
  <c r="B320" i="6"/>
  <c r="F320" i="6" s="1"/>
  <c r="J319" i="6"/>
  <c r="I319" i="6"/>
  <c r="H319" i="6"/>
  <c r="G319" i="6"/>
  <c r="E319" i="6"/>
  <c r="D319" i="6"/>
  <c r="C319" i="6"/>
  <c r="B319" i="6"/>
  <c r="J318" i="6"/>
  <c r="I318" i="6"/>
  <c r="H318" i="6"/>
  <c r="G318" i="6"/>
  <c r="E318" i="6"/>
  <c r="D318" i="6"/>
  <c r="C318" i="6"/>
  <c r="B318" i="6"/>
  <c r="J317" i="6"/>
  <c r="I317" i="6"/>
  <c r="H317" i="6"/>
  <c r="G317" i="6"/>
  <c r="E317" i="6"/>
  <c r="D317" i="6"/>
  <c r="C317" i="6"/>
  <c r="B317" i="6"/>
  <c r="J316" i="6"/>
  <c r="I316" i="6"/>
  <c r="H316" i="6"/>
  <c r="G316" i="6"/>
  <c r="E316" i="6"/>
  <c r="D316" i="6"/>
  <c r="C316" i="6"/>
  <c r="B316" i="6"/>
  <c r="F316" i="6" s="1"/>
  <c r="J315" i="6"/>
  <c r="I315" i="6"/>
  <c r="H315" i="6"/>
  <c r="G315" i="6"/>
  <c r="E315" i="6"/>
  <c r="D315" i="6"/>
  <c r="C315" i="6"/>
  <c r="B315" i="6"/>
  <c r="F315" i="6" s="1"/>
  <c r="J314" i="6"/>
  <c r="I314" i="6"/>
  <c r="H314" i="6"/>
  <c r="G314" i="6"/>
  <c r="E314" i="6"/>
  <c r="D314" i="6"/>
  <c r="C314" i="6"/>
  <c r="B314" i="6"/>
  <c r="J313" i="6"/>
  <c r="I313" i="6"/>
  <c r="H313" i="6"/>
  <c r="G313" i="6"/>
  <c r="E313" i="6"/>
  <c r="D313" i="6"/>
  <c r="C313" i="6"/>
  <c r="B313" i="6"/>
  <c r="J312" i="6"/>
  <c r="I312" i="6"/>
  <c r="H312" i="6"/>
  <c r="G312" i="6"/>
  <c r="E312" i="6"/>
  <c r="D312" i="6"/>
  <c r="C312" i="6"/>
  <c r="B312" i="6"/>
  <c r="J311" i="6"/>
  <c r="I311" i="6"/>
  <c r="H311" i="6"/>
  <c r="G311" i="6"/>
  <c r="E311" i="6"/>
  <c r="D311" i="6"/>
  <c r="C311" i="6"/>
  <c r="B311" i="6"/>
  <c r="J310" i="6"/>
  <c r="I310" i="6"/>
  <c r="H310" i="6"/>
  <c r="G310" i="6"/>
  <c r="E310" i="6"/>
  <c r="D310" i="6"/>
  <c r="C310" i="6"/>
  <c r="B310" i="6"/>
  <c r="J309" i="6"/>
  <c r="I309" i="6"/>
  <c r="H309" i="6"/>
  <c r="G309" i="6"/>
  <c r="E309" i="6"/>
  <c r="D309" i="6"/>
  <c r="C309" i="6"/>
  <c r="B309" i="6"/>
  <c r="J308" i="6"/>
  <c r="I308" i="6"/>
  <c r="H308" i="6"/>
  <c r="G308" i="6"/>
  <c r="E308" i="6"/>
  <c r="D308" i="6"/>
  <c r="C308" i="6"/>
  <c r="B308" i="6"/>
  <c r="J307" i="6"/>
  <c r="I307" i="6"/>
  <c r="H307" i="6"/>
  <c r="G307" i="6"/>
  <c r="E307" i="6"/>
  <c r="D307" i="6"/>
  <c r="C307" i="6"/>
  <c r="B307" i="6"/>
  <c r="K306" i="6"/>
  <c r="R306" i="6" s="1"/>
  <c r="J306" i="6"/>
  <c r="I306" i="6"/>
  <c r="H306" i="6"/>
  <c r="G306" i="6"/>
  <c r="E306" i="6"/>
  <c r="D306" i="6"/>
  <c r="C306" i="6"/>
  <c r="B306" i="6"/>
  <c r="F306" i="6" s="1"/>
  <c r="J305" i="6"/>
  <c r="I305" i="6"/>
  <c r="H305" i="6"/>
  <c r="K305" i="6" s="1"/>
  <c r="R305" i="6" s="1"/>
  <c r="G305" i="6"/>
  <c r="E305" i="6"/>
  <c r="D305" i="6"/>
  <c r="C305" i="6"/>
  <c r="B305" i="6"/>
  <c r="F305" i="6" s="1"/>
  <c r="J304" i="6"/>
  <c r="I304" i="6"/>
  <c r="H304" i="6"/>
  <c r="G304" i="6"/>
  <c r="E304" i="6"/>
  <c r="D304" i="6"/>
  <c r="C304" i="6"/>
  <c r="B304" i="6"/>
  <c r="J303" i="6"/>
  <c r="I303" i="6"/>
  <c r="H303" i="6"/>
  <c r="G303" i="6"/>
  <c r="E303" i="6"/>
  <c r="D303" i="6"/>
  <c r="C303" i="6"/>
  <c r="B303" i="6"/>
  <c r="F303" i="6" s="1"/>
  <c r="J302" i="6"/>
  <c r="I302" i="6"/>
  <c r="H302" i="6"/>
  <c r="G302" i="6"/>
  <c r="E302" i="6"/>
  <c r="D302" i="6"/>
  <c r="C302" i="6"/>
  <c r="B302" i="6"/>
  <c r="J301" i="6"/>
  <c r="I301" i="6"/>
  <c r="H301" i="6"/>
  <c r="G301" i="6"/>
  <c r="E301" i="6"/>
  <c r="D301" i="6"/>
  <c r="C301" i="6"/>
  <c r="B301" i="6"/>
  <c r="J300" i="6"/>
  <c r="I300" i="6"/>
  <c r="H300" i="6"/>
  <c r="G300" i="6"/>
  <c r="E300" i="6"/>
  <c r="D300" i="6"/>
  <c r="C300" i="6"/>
  <c r="B300" i="6"/>
  <c r="F300" i="6" s="1"/>
  <c r="J299" i="6"/>
  <c r="I299" i="6"/>
  <c r="H299" i="6"/>
  <c r="G299" i="6"/>
  <c r="E299" i="6"/>
  <c r="D299" i="6"/>
  <c r="C299" i="6"/>
  <c r="B299" i="6"/>
  <c r="F299" i="6" s="1"/>
  <c r="J298" i="6"/>
  <c r="I298" i="6"/>
  <c r="H298" i="6"/>
  <c r="G298" i="6"/>
  <c r="E298" i="6"/>
  <c r="D298" i="6"/>
  <c r="C298" i="6"/>
  <c r="B298" i="6"/>
  <c r="F298" i="6" s="1"/>
  <c r="J297" i="6"/>
  <c r="I297" i="6"/>
  <c r="H297" i="6"/>
  <c r="G297" i="6"/>
  <c r="E297" i="6"/>
  <c r="D297" i="6"/>
  <c r="C297" i="6"/>
  <c r="F297" i="6" s="1"/>
  <c r="B297" i="6"/>
  <c r="J296" i="6"/>
  <c r="I296" i="6"/>
  <c r="H296" i="6"/>
  <c r="G296" i="6"/>
  <c r="E296" i="6"/>
  <c r="D296" i="6"/>
  <c r="C296" i="6"/>
  <c r="B296" i="6"/>
  <c r="J295" i="6"/>
  <c r="I295" i="6"/>
  <c r="H295" i="6"/>
  <c r="G295" i="6"/>
  <c r="E295" i="6"/>
  <c r="D295" i="6"/>
  <c r="C295" i="6"/>
  <c r="B295" i="6"/>
  <c r="J294" i="6"/>
  <c r="I294" i="6"/>
  <c r="H294" i="6"/>
  <c r="G294" i="6"/>
  <c r="E294" i="6"/>
  <c r="D294" i="6"/>
  <c r="C294" i="6"/>
  <c r="B294" i="6"/>
  <c r="J293" i="6"/>
  <c r="I293" i="6"/>
  <c r="H293" i="6"/>
  <c r="G293" i="6"/>
  <c r="E293" i="6"/>
  <c r="D293" i="6"/>
  <c r="C293" i="6"/>
  <c r="B293" i="6"/>
  <c r="J292" i="6"/>
  <c r="I292" i="6"/>
  <c r="H292" i="6"/>
  <c r="G292" i="6"/>
  <c r="E292" i="6"/>
  <c r="D292" i="6"/>
  <c r="C292" i="6"/>
  <c r="B292" i="6"/>
  <c r="J291" i="6"/>
  <c r="I291" i="6"/>
  <c r="H291" i="6"/>
  <c r="G291" i="6"/>
  <c r="E291" i="6"/>
  <c r="D291" i="6"/>
  <c r="F291" i="6" s="1"/>
  <c r="C291" i="6"/>
  <c r="B291" i="6"/>
  <c r="J290" i="6"/>
  <c r="I290" i="6"/>
  <c r="H290" i="6"/>
  <c r="G290" i="6"/>
  <c r="K290" i="6" s="1"/>
  <c r="E290" i="6"/>
  <c r="D290" i="6"/>
  <c r="C290" i="6"/>
  <c r="B290" i="6"/>
  <c r="J289" i="6"/>
  <c r="I289" i="6"/>
  <c r="H289" i="6"/>
  <c r="G289" i="6"/>
  <c r="K289" i="6" s="1"/>
  <c r="E289" i="6"/>
  <c r="D289" i="6"/>
  <c r="C289" i="6"/>
  <c r="B289" i="6"/>
  <c r="J288" i="6"/>
  <c r="I288" i="6"/>
  <c r="H288" i="6"/>
  <c r="G288" i="6"/>
  <c r="E288" i="6"/>
  <c r="D288" i="6"/>
  <c r="C288" i="6"/>
  <c r="B288" i="6"/>
  <c r="J287" i="6"/>
  <c r="I287" i="6"/>
  <c r="H287" i="6"/>
  <c r="G287" i="6"/>
  <c r="E287" i="6"/>
  <c r="D287" i="6"/>
  <c r="C287" i="6"/>
  <c r="B287" i="6"/>
  <c r="J286" i="6"/>
  <c r="I286" i="6"/>
  <c r="H286" i="6"/>
  <c r="G286" i="6"/>
  <c r="E286" i="6"/>
  <c r="D286" i="6"/>
  <c r="C286" i="6"/>
  <c r="B286" i="6"/>
  <c r="J285" i="6"/>
  <c r="I285" i="6"/>
  <c r="H285" i="6"/>
  <c r="G285" i="6"/>
  <c r="E285" i="6"/>
  <c r="D285" i="6"/>
  <c r="C285" i="6"/>
  <c r="B285" i="6"/>
  <c r="J284" i="6"/>
  <c r="I284" i="6"/>
  <c r="H284" i="6"/>
  <c r="G284" i="6"/>
  <c r="E284" i="6"/>
  <c r="D284" i="6"/>
  <c r="C284" i="6"/>
  <c r="B284" i="6"/>
  <c r="J283" i="6"/>
  <c r="I283" i="6"/>
  <c r="H283" i="6"/>
  <c r="G283" i="6"/>
  <c r="E283" i="6"/>
  <c r="D283" i="6"/>
  <c r="C283" i="6"/>
  <c r="B283" i="6"/>
  <c r="J282" i="6"/>
  <c r="K282" i="6" s="1"/>
  <c r="I282" i="6"/>
  <c r="H282" i="6"/>
  <c r="G282" i="6"/>
  <c r="E282" i="6"/>
  <c r="D282" i="6"/>
  <c r="C282" i="6"/>
  <c r="B282" i="6"/>
  <c r="J281" i="6"/>
  <c r="I281" i="6"/>
  <c r="H281" i="6"/>
  <c r="G281" i="6"/>
  <c r="E281" i="6"/>
  <c r="D281" i="6"/>
  <c r="C281" i="6"/>
  <c r="B281" i="6"/>
  <c r="J280" i="6"/>
  <c r="I280" i="6"/>
  <c r="H280" i="6"/>
  <c r="G280" i="6"/>
  <c r="E280" i="6"/>
  <c r="D280" i="6"/>
  <c r="C280" i="6"/>
  <c r="B280" i="6"/>
  <c r="J279" i="6"/>
  <c r="I279" i="6"/>
  <c r="H279" i="6"/>
  <c r="G279" i="6"/>
  <c r="E279" i="6"/>
  <c r="D279" i="6"/>
  <c r="C279" i="6"/>
  <c r="B279" i="6"/>
  <c r="J278" i="6"/>
  <c r="I278" i="6"/>
  <c r="H278" i="6"/>
  <c r="G278" i="6"/>
  <c r="E278" i="6"/>
  <c r="D278" i="6"/>
  <c r="C278" i="6"/>
  <c r="B278" i="6"/>
  <c r="J277" i="6"/>
  <c r="I277" i="6"/>
  <c r="H277" i="6"/>
  <c r="G277" i="6"/>
  <c r="E277" i="6"/>
  <c r="D277" i="6"/>
  <c r="C277" i="6"/>
  <c r="B277" i="6"/>
  <c r="J276" i="6"/>
  <c r="I276" i="6"/>
  <c r="H276" i="6"/>
  <c r="G276" i="6"/>
  <c r="E276" i="6"/>
  <c r="D276" i="6"/>
  <c r="C276" i="6"/>
  <c r="B276" i="6"/>
  <c r="J275" i="6"/>
  <c r="I275" i="6"/>
  <c r="H275" i="6"/>
  <c r="G275" i="6"/>
  <c r="E275" i="6"/>
  <c r="D275" i="6"/>
  <c r="C275" i="6"/>
  <c r="B275" i="6"/>
  <c r="J274" i="6"/>
  <c r="I274" i="6"/>
  <c r="H274" i="6"/>
  <c r="G274" i="6"/>
  <c r="E274" i="6"/>
  <c r="D274" i="6"/>
  <c r="C274" i="6"/>
  <c r="B274" i="6"/>
  <c r="F274" i="6" s="1"/>
  <c r="J273" i="6"/>
  <c r="I273" i="6"/>
  <c r="H273" i="6"/>
  <c r="G273" i="6"/>
  <c r="E273" i="6"/>
  <c r="D273" i="6"/>
  <c r="C273" i="6"/>
  <c r="B273" i="6"/>
  <c r="J272" i="6"/>
  <c r="I272" i="6"/>
  <c r="H272" i="6"/>
  <c r="G272" i="6"/>
  <c r="E272" i="6"/>
  <c r="D272" i="6"/>
  <c r="C272" i="6"/>
  <c r="B272" i="6"/>
  <c r="F272" i="6" s="1"/>
  <c r="J271" i="6"/>
  <c r="I271" i="6"/>
  <c r="H271" i="6"/>
  <c r="G271" i="6"/>
  <c r="E271" i="6"/>
  <c r="D271" i="6"/>
  <c r="C271" i="6"/>
  <c r="B271" i="6"/>
  <c r="J270" i="6"/>
  <c r="I270" i="6"/>
  <c r="H270" i="6"/>
  <c r="G270" i="6"/>
  <c r="E270" i="6"/>
  <c r="D270" i="6"/>
  <c r="C270" i="6"/>
  <c r="B270" i="6"/>
  <c r="J269" i="6"/>
  <c r="I269" i="6"/>
  <c r="H269" i="6"/>
  <c r="K269" i="6" s="1"/>
  <c r="G269" i="6"/>
  <c r="E269" i="6"/>
  <c r="D269" i="6"/>
  <c r="C269" i="6"/>
  <c r="B269" i="6"/>
  <c r="J268" i="6"/>
  <c r="I268" i="6"/>
  <c r="H268" i="6"/>
  <c r="G268" i="6"/>
  <c r="E268" i="6"/>
  <c r="D268" i="6"/>
  <c r="C268" i="6"/>
  <c r="B268" i="6"/>
  <c r="J267" i="6"/>
  <c r="I267" i="6"/>
  <c r="H267" i="6"/>
  <c r="G267" i="6"/>
  <c r="E267" i="6"/>
  <c r="D267" i="6"/>
  <c r="C267" i="6"/>
  <c r="B267" i="6"/>
  <c r="J266" i="6"/>
  <c r="I266" i="6"/>
  <c r="H266" i="6"/>
  <c r="K266" i="6" s="1"/>
  <c r="R266" i="6" s="1"/>
  <c r="G266" i="6"/>
  <c r="E266" i="6"/>
  <c r="D266" i="6"/>
  <c r="C266" i="6"/>
  <c r="B266" i="6"/>
  <c r="F266" i="6" s="1"/>
  <c r="J265" i="6"/>
  <c r="I265" i="6"/>
  <c r="H265" i="6"/>
  <c r="G265" i="6"/>
  <c r="E265" i="6"/>
  <c r="D265" i="6"/>
  <c r="C265" i="6"/>
  <c r="B265" i="6"/>
  <c r="J264" i="6"/>
  <c r="I264" i="6"/>
  <c r="H264" i="6"/>
  <c r="G264" i="6"/>
  <c r="E264" i="6"/>
  <c r="D264" i="6"/>
  <c r="C264" i="6"/>
  <c r="B264" i="6"/>
  <c r="J263" i="6"/>
  <c r="I263" i="6"/>
  <c r="H263" i="6"/>
  <c r="G263" i="6"/>
  <c r="E263" i="6"/>
  <c r="D263" i="6"/>
  <c r="C263" i="6"/>
  <c r="B263" i="6"/>
  <c r="J262" i="6"/>
  <c r="I262" i="6"/>
  <c r="H262" i="6"/>
  <c r="G262" i="6"/>
  <c r="E262" i="6"/>
  <c r="D262" i="6"/>
  <c r="C262" i="6"/>
  <c r="B262" i="6"/>
  <c r="F262" i="6" s="1"/>
  <c r="J261" i="6"/>
  <c r="I261" i="6"/>
  <c r="H261" i="6"/>
  <c r="G261" i="6"/>
  <c r="E261" i="6"/>
  <c r="D261" i="6"/>
  <c r="C261" i="6"/>
  <c r="B261" i="6"/>
  <c r="J260" i="6"/>
  <c r="I260" i="6"/>
  <c r="H260" i="6"/>
  <c r="G260" i="6"/>
  <c r="E260" i="6"/>
  <c r="D260" i="6"/>
  <c r="C260" i="6"/>
  <c r="B260" i="6"/>
  <c r="J259" i="6"/>
  <c r="I259" i="6"/>
  <c r="H259" i="6"/>
  <c r="G259" i="6"/>
  <c r="E259" i="6"/>
  <c r="D259" i="6"/>
  <c r="C259" i="6"/>
  <c r="B259" i="6"/>
  <c r="F259" i="6" s="1"/>
  <c r="J258" i="6"/>
  <c r="I258" i="6"/>
  <c r="H258" i="6"/>
  <c r="G258" i="6"/>
  <c r="E258" i="6"/>
  <c r="D258" i="6"/>
  <c r="C258" i="6"/>
  <c r="B258" i="6"/>
  <c r="J257" i="6"/>
  <c r="I257" i="6"/>
  <c r="H257" i="6"/>
  <c r="G257" i="6"/>
  <c r="E257" i="6"/>
  <c r="D257" i="6"/>
  <c r="C257" i="6"/>
  <c r="B257" i="6"/>
  <c r="J256" i="6"/>
  <c r="I256" i="6"/>
  <c r="H256" i="6"/>
  <c r="G256" i="6"/>
  <c r="E256" i="6"/>
  <c r="D256" i="6"/>
  <c r="C256" i="6"/>
  <c r="B256" i="6"/>
  <c r="F256" i="6" s="1"/>
  <c r="J255" i="6"/>
  <c r="I255" i="6"/>
  <c r="H255" i="6"/>
  <c r="G255" i="6"/>
  <c r="E255" i="6"/>
  <c r="D255" i="6"/>
  <c r="C255" i="6"/>
  <c r="B255" i="6"/>
  <c r="J254" i="6"/>
  <c r="I254" i="6"/>
  <c r="H254" i="6"/>
  <c r="G254" i="6"/>
  <c r="E254" i="6"/>
  <c r="D254" i="6"/>
  <c r="C254" i="6"/>
  <c r="B254" i="6"/>
  <c r="F254" i="6" s="1"/>
  <c r="J253" i="6"/>
  <c r="I253" i="6"/>
  <c r="H253" i="6"/>
  <c r="G253" i="6"/>
  <c r="E253" i="6"/>
  <c r="D253" i="6"/>
  <c r="C253" i="6"/>
  <c r="B253" i="6"/>
  <c r="F253" i="6" s="1"/>
  <c r="J252" i="6"/>
  <c r="I252" i="6"/>
  <c r="H252" i="6"/>
  <c r="G252" i="6"/>
  <c r="E252" i="6"/>
  <c r="D252" i="6"/>
  <c r="C252" i="6"/>
  <c r="B252" i="6"/>
  <c r="J251" i="6"/>
  <c r="I251" i="6"/>
  <c r="H251" i="6"/>
  <c r="G251" i="6"/>
  <c r="E251" i="6"/>
  <c r="D251" i="6"/>
  <c r="C251" i="6"/>
  <c r="B251" i="6"/>
  <c r="J250" i="6"/>
  <c r="I250" i="6"/>
  <c r="H250" i="6"/>
  <c r="G250" i="6"/>
  <c r="E250" i="6"/>
  <c r="D250" i="6"/>
  <c r="C250" i="6"/>
  <c r="B250" i="6"/>
  <c r="F250" i="6" s="1"/>
  <c r="J249" i="6"/>
  <c r="I249" i="6"/>
  <c r="H249" i="6"/>
  <c r="G249" i="6"/>
  <c r="E249" i="6"/>
  <c r="D249" i="6"/>
  <c r="C249" i="6"/>
  <c r="B249" i="6"/>
  <c r="J248" i="6"/>
  <c r="I248" i="6"/>
  <c r="H248" i="6"/>
  <c r="G248" i="6"/>
  <c r="E248" i="6"/>
  <c r="D248" i="6"/>
  <c r="C248" i="6"/>
  <c r="B248" i="6"/>
  <c r="J247" i="6"/>
  <c r="I247" i="6"/>
  <c r="K247" i="6" s="1"/>
  <c r="H247" i="6"/>
  <c r="G247" i="6"/>
  <c r="E247" i="6"/>
  <c r="D247" i="6"/>
  <c r="C247" i="6"/>
  <c r="B247" i="6"/>
  <c r="J246" i="6"/>
  <c r="I246" i="6"/>
  <c r="H246" i="6"/>
  <c r="G246" i="6"/>
  <c r="E246" i="6"/>
  <c r="D246" i="6"/>
  <c r="C246" i="6"/>
  <c r="B246" i="6"/>
  <c r="F246" i="6" s="1"/>
  <c r="J245" i="6"/>
  <c r="I245" i="6"/>
  <c r="H245" i="6"/>
  <c r="G245" i="6"/>
  <c r="E245" i="6"/>
  <c r="D245" i="6"/>
  <c r="C245" i="6"/>
  <c r="B245" i="6"/>
  <c r="J244" i="6"/>
  <c r="I244" i="6"/>
  <c r="H244" i="6"/>
  <c r="G244" i="6"/>
  <c r="E244" i="6"/>
  <c r="D244" i="6"/>
  <c r="C244" i="6"/>
  <c r="B244" i="6"/>
  <c r="J243" i="6"/>
  <c r="I243" i="6"/>
  <c r="H243" i="6"/>
  <c r="G243" i="6"/>
  <c r="E243" i="6"/>
  <c r="D243" i="6"/>
  <c r="C243" i="6"/>
  <c r="B243" i="6"/>
  <c r="J242" i="6"/>
  <c r="I242" i="6"/>
  <c r="H242" i="6"/>
  <c r="G242" i="6"/>
  <c r="E242" i="6"/>
  <c r="D242" i="6"/>
  <c r="C242" i="6"/>
  <c r="B242" i="6"/>
  <c r="J241" i="6"/>
  <c r="I241" i="6"/>
  <c r="H241" i="6"/>
  <c r="G241" i="6"/>
  <c r="E241" i="6"/>
  <c r="D241" i="6"/>
  <c r="C241" i="6"/>
  <c r="B241" i="6"/>
  <c r="J240" i="6"/>
  <c r="I240" i="6"/>
  <c r="H240" i="6"/>
  <c r="G240" i="6"/>
  <c r="E240" i="6"/>
  <c r="D240" i="6"/>
  <c r="C240" i="6"/>
  <c r="B240" i="6"/>
  <c r="J239" i="6"/>
  <c r="I239" i="6"/>
  <c r="H239" i="6"/>
  <c r="G239" i="6"/>
  <c r="E239" i="6"/>
  <c r="D239" i="6"/>
  <c r="C239" i="6"/>
  <c r="B239" i="6"/>
  <c r="J238" i="6"/>
  <c r="I238" i="6"/>
  <c r="H238" i="6"/>
  <c r="G238" i="6"/>
  <c r="E238" i="6"/>
  <c r="D238" i="6"/>
  <c r="C238" i="6"/>
  <c r="B238" i="6"/>
  <c r="F238" i="6" s="1"/>
  <c r="J237" i="6"/>
  <c r="I237" i="6"/>
  <c r="H237" i="6"/>
  <c r="G237" i="6"/>
  <c r="E237" i="6"/>
  <c r="D237" i="6"/>
  <c r="C237" i="6"/>
  <c r="B237" i="6"/>
  <c r="J236" i="6"/>
  <c r="I236" i="6"/>
  <c r="H236" i="6"/>
  <c r="G236" i="6"/>
  <c r="E236" i="6"/>
  <c r="D236" i="6"/>
  <c r="C236" i="6"/>
  <c r="B236" i="6"/>
  <c r="J235" i="6"/>
  <c r="I235" i="6"/>
  <c r="H235" i="6"/>
  <c r="G235" i="6"/>
  <c r="E235" i="6"/>
  <c r="D235" i="6"/>
  <c r="C235" i="6"/>
  <c r="B235" i="6"/>
  <c r="F235" i="6" s="1"/>
  <c r="J234" i="6"/>
  <c r="I234" i="6"/>
  <c r="H234" i="6"/>
  <c r="G234" i="6"/>
  <c r="E234" i="6"/>
  <c r="D234" i="6"/>
  <c r="C234" i="6"/>
  <c r="B234" i="6"/>
  <c r="J233" i="6"/>
  <c r="I233" i="6"/>
  <c r="H233" i="6"/>
  <c r="G233" i="6"/>
  <c r="E233" i="6"/>
  <c r="D233" i="6"/>
  <c r="C233" i="6"/>
  <c r="B233" i="6"/>
  <c r="J232" i="6"/>
  <c r="I232" i="6"/>
  <c r="H232" i="6"/>
  <c r="G232" i="6"/>
  <c r="E232" i="6"/>
  <c r="D232" i="6"/>
  <c r="C232" i="6"/>
  <c r="B232" i="6"/>
  <c r="J231" i="6"/>
  <c r="I231" i="6"/>
  <c r="H231" i="6"/>
  <c r="G231" i="6"/>
  <c r="E231" i="6"/>
  <c r="D231" i="6"/>
  <c r="C231" i="6"/>
  <c r="B231" i="6"/>
  <c r="J230" i="6"/>
  <c r="I230" i="6"/>
  <c r="H230" i="6"/>
  <c r="G230" i="6"/>
  <c r="E230" i="6"/>
  <c r="D230" i="6"/>
  <c r="C230" i="6"/>
  <c r="B230" i="6"/>
  <c r="J229" i="6"/>
  <c r="I229" i="6"/>
  <c r="H229" i="6"/>
  <c r="G229" i="6"/>
  <c r="K229" i="6" s="1"/>
  <c r="E229" i="6"/>
  <c r="D229" i="6"/>
  <c r="C229" i="6"/>
  <c r="B229" i="6"/>
  <c r="J228" i="6"/>
  <c r="I228" i="6"/>
  <c r="H228" i="6"/>
  <c r="G228" i="6"/>
  <c r="E228" i="6"/>
  <c r="D228" i="6"/>
  <c r="C228" i="6"/>
  <c r="B228" i="6"/>
  <c r="J227" i="6"/>
  <c r="I227" i="6"/>
  <c r="H227" i="6"/>
  <c r="G227" i="6"/>
  <c r="E227" i="6"/>
  <c r="D227" i="6"/>
  <c r="C227" i="6"/>
  <c r="B227" i="6"/>
  <c r="J226" i="6"/>
  <c r="I226" i="6"/>
  <c r="H226" i="6"/>
  <c r="G226" i="6"/>
  <c r="E226" i="6"/>
  <c r="D226" i="6"/>
  <c r="C226" i="6"/>
  <c r="B226" i="6"/>
  <c r="J225" i="6"/>
  <c r="I225" i="6"/>
  <c r="H225" i="6"/>
  <c r="G225" i="6"/>
  <c r="E225" i="6"/>
  <c r="D225" i="6"/>
  <c r="C225" i="6"/>
  <c r="B225" i="6"/>
  <c r="J224" i="6"/>
  <c r="I224" i="6"/>
  <c r="H224" i="6"/>
  <c r="G224" i="6"/>
  <c r="E224" i="6"/>
  <c r="D224" i="6"/>
  <c r="C224" i="6"/>
  <c r="B224" i="6"/>
  <c r="J223" i="6"/>
  <c r="I223" i="6"/>
  <c r="H223" i="6"/>
  <c r="G223" i="6"/>
  <c r="K223" i="6" s="1"/>
  <c r="E223" i="6"/>
  <c r="D223" i="6"/>
  <c r="C223" i="6"/>
  <c r="B223" i="6"/>
  <c r="J222" i="6"/>
  <c r="I222" i="6"/>
  <c r="H222" i="6"/>
  <c r="G222" i="6"/>
  <c r="E222" i="6"/>
  <c r="D222" i="6"/>
  <c r="C222" i="6"/>
  <c r="B222" i="6"/>
  <c r="J221" i="6"/>
  <c r="I221" i="6"/>
  <c r="H221" i="6"/>
  <c r="G221" i="6"/>
  <c r="E221" i="6"/>
  <c r="D221" i="6"/>
  <c r="C221" i="6"/>
  <c r="B221" i="6"/>
  <c r="J220" i="6"/>
  <c r="I220" i="6"/>
  <c r="H220" i="6"/>
  <c r="G220" i="6"/>
  <c r="K220" i="6" s="1"/>
  <c r="E220" i="6"/>
  <c r="D220" i="6"/>
  <c r="C220" i="6"/>
  <c r="B220" i="6"/>
  <c r="J219" i="6"/>
  <c r="I219" i="6"/>
  <c r="H219" i="6"/>
  <c r="G219" i="6"/>
  <c r="E219" i="6"/>
  <c r="D219" i="6"/>
  <c r="C219" i="6"/>
  <c r="B219" i="6"/>
  <c r="J218" i="6"/>
  <c r="I218" i="6"/>
  <c r="H218" i="6"/>
  <c r="G218" i="6"/>
  <c r="E218" i="6"/>
  <c r="D218" i="6"/>
  <c r="C218" i="6"/>
  <c r="B218" i="6"/>
  <c r="J217" i="6"/>
  <c r="I217" i="6"/>
  <c r="H217" i="6"/>
  <c r="G217" i="6"/>
  <c r="K217" i="6" s="1"/>
  <c r="E217" i="6"/>
  <c r="D217" i="6"/>
  <c r="C217" i="6"/>
  <c r="B217" i="6"/>
  <c r="J216" i="6"/>
  <c r="I216" i="6"/>
  <c r="H216" i="6"/>
  <c r="G216" i="6"/>
  <c r="E216" i="6"/>
  <c r="D216" i="6"/>
  <c r="C216" i="6"/>
  <c r="B216" i="6"/>
  <c r="J215" i="6"/>
  <c r="I215" i="6"/>
  <c r="H215" i="6"/>
  <c r="G215" i="6"/>
  <c r="E215" i="6"/>
  <c r="D215" i="6"/>
  <c r="C215" i="6"/>
  <c r="B215" i="6"/>
  <c r="J214" i="6"/>
  <c r="I214" i="6"/>
  <c r="H214" i="6"/>
  <c r="G214" i="6"/>
  <c r="E214" i="6"/>
  <c r="D214" i="6"/>
  <c r="C214" i="6"/>
  <c r="B214" i="6"/>
  <c r="J213" i="6"/>
  <c r="I213" i="6"/>
  <c r="H213" i="6"/>
  <c r="G213" i="6"/>
  <c r="E213" i="6"/>
  <c r="D213" i="6"/>
  <c r="C213" i="6"/>
  <c r="B213" i="6"/>
  <c r="J212" i="6"/>
  <c r="I212" i="6"/>
  <c r="H212" i="6"/>
  <c r="G212" i="6"/>
  <c r="E212" i="6"/>
  <c r="D212" i="6"/>
  <c r="C212" i="6"/>
  <c r="B212" i="6"/>
  <c r="J211" i="6"/>
  <c r="I211" i="6"/>
  <c r="H211" i="6"/>
  <c r="G211" i="6"/>
  <c r="K211" i="6" s="1"/>
  <c r="E211" i="6"/>
  <c r="D211" i="6"/>
  <c r="C211" i="6"/>
  <c r="B211" i="6"/>
  <c r="J210" i="6"/>
  <c r="I210" i="6"/>
  <c r="H210" i="6"/>
  <c r="G210" i="6"/>
  <c r="E210" i="6"/>
  <c r="D210" i="6"/>
  <c r="C210" i="6"/>
  <c r="B210" i="6"/>
  <c r="J209" i="6"/>
  <c r="I209" i="6"/>
  <c r="H209" i="6"/>
  <c r="G209" i="6"/>
  <c r="E209" i="6"/>
  <c r="D209" i="6"/>
  <c r="C209" i="6"/>
  <c r="B209" i="6"/>
  <c r="J208" i="6"/>
  <c r="I208" i="6"/>
  <c r="H208" i="6"/>
  <c r="G208" i="6"/>
  <c r="E208" i="6"/>
  <c r="D208" i="6"/>
  <c r="C208" i="6"/>
  <c r="B208" i="6"/>
  <c r="J207" i="6"/>
  <c r="I207" i="6"/>
  <c r="H207" i="6"/>
  <c r="G207" i="6"/>
  <c r="E207" i="6"/>
  <c r="D207" i="6"/>
  <c r="F207" i="6" s="1"/>
  <c r="C207" i="6"/>
  <c r="B207" i="6"/>
  <c r="J206" i="6"/>
  <c r="I206" i="6"/>
  <c r="H206" i="6"/>
  <c r="G206" i="6"/>
  <c r="E206" i="6"/>
  <c r="D206" i="6"/>
  <c r="C206" i="6"/>
  <c r="B206" i="6"/>
  <c r="J205" i="6"/>
  <c r="I205" i="6"/>
  <c r="H205" i="6"/>
  <c r="G205" i="6"/>
  <c r="K205" i="6" s="1"/>
  <c r="E205" i="6"/>
  <c r="D205" i="6"/>
  <c r="C205" i="6"/>
  <c r="B205" i="6"/>
  <c r="J204" i="6"/>
  <c r="I204" i="6"/>
  <c r="H204" i="6"/>
  <c r="G204" i="6"/>
  <c r="E204" i="6"/>
  <c r="D204" i="6"/>
  <c r="C204" i="6"/>
  <c r="B204" i="6"/>
  <c r="J203" i="6"/>
  <c r="I203" i="6"/>
  <c r="H203" i="6"/>
  <c r="G203" i="6"/>
  <c r="E203" i="6"/>
  <c r="D203" i="6"/>
  <c r="C203" i="6"/>
  <c r="B203" i="6"/>
  <c r="J202" i="6"/>
  <c r="I202" i="6"/>
  <c r="H202" i="6"/>
  <c r="G202" i="6"/>
  <c r="K202" i="6" s="1"/>
  <c r="R202" i="6" s="1"/>
  <c r="E202" i="6"/>
  <c r="D202" i="6"/>
  <c r="F202" i="6" s="1"/>
  <c r="C202" i="6"/>
  <c r="B202" i="6"/>
  <c r="J201" i="6"/>
  <c r="I201" i="6"/>
  <c r="H201" i="6"/>
  <c r="G201" i="6"/>
  <c r="E201" i="6"/>
  <c r="D201" i="6"/>
  <c r="C201" i="6"/>
  <c r="B201" i="6"/>
  <c r="J200" i="6"/>
  <c r="I200" i="6"/>
  <c r="H200" i="6"/>
  <c r="G200" i="6"/>
  <c r="E200" i="6"/>
  <c r="D200" i="6"/>
  <c r="C200" i="6"/>
  <c r="B200" i="6"/>
  <c r="J199" i="6"/>
  <c r="I199" i="6"/>
  <c r="H199" i="6"/>
  <c r="G199" i="6"/>
  <c r="K199" i="6" s="1"/>
  <c r="E199" i="6"/>
  <c r="D199" i="6"/>
  <c r="C199" i="6"/>
  <c r="B199" i="6"/>
  <c r="J198" i="6"/>
  <c r="I198" i="6"/>
  <c r="H198" i="6"/>
  <c r="G198" i="6"/>
  <c r="E198" i="6"/>
  <c r="D198" i="6"/>
  <c r="C198" i="6"/>
  <c r="B198" i="6"/>
  <c r="J197" i="6"/>
  <c r="I197" i="6"/>
  <c r="H197" i="6"/>
  <c r="G197" i="6"/>
  <c r="E197" i="6"/>
  <c r="D197" i="6"/>
  <c r="C197" i="6"/>
  <c r="B197" i="6"/>
  <c r="J196" i="6"/>
  <c r="I196" i="6"/>
  <c r="H196" i="6"/>
  <c r="G196" i="6"/>
  <c r="E196" i="6"/>
  <c r="D196" i="6"/>
  <c r="C196" i="6"/>
  <c r="B196" i="6"/>
  <c r="J195" i="6"/>
  <c r="I195" i="6"/>
  <c r="H195" i="6"/>
  <c r="G195" i="6"/>
  <c r="K195" i="6" s="1"/>
  <c r="E195" i="6"/>
  <c r="D195" i="6"/>
  <c r="C195" i="6"/>
  <c r="B195" i="6"/>
  <c r="J194" i="6"/>
  <c r="I194" i="6"/>
  <c r="H194" i="6"/>
  <c r="G194" i="6"/>
  <c r="E194" i="6"/>
  <c r="D194" i="6"/>
  <c r="C194" i="6"/>
  <c r="B194" i="6"/>
  <c r="J193" i="6"/>
  <c r="I193" i="6"/>
  <c r="H193" i="6"/>
  <c r="G193" i="6"/>
  <c r="K193" i="6" s="1"/>
  <c r="E193" i="6"/>
  <c r="D193" i="6"/>
  <c r="C193" i="6"/>
  <c r="B193" i="6"/>
  <c r="J192" i="6"/>
  <c r="I192" i="6"/>
  <c r="H192" i="6"/>
  <c r="G192" i="6"/>
  <c r="E192" i="6"/>
  <c r="D192" i="6"/>
  <c r="C192" i="6"/>
  <c r="B192" i="6"/>
  <c r="J191" i="6"/>
  <c r="I191" i="6"/>
  <c r="H191" i="6"/>
  <c r="G191" i="6"/>
  <c r="E191" i="6"/>
  <c r="D191" i="6"/>
  <c r="C191" i="6"/>
  <c r="B191" i="6"/>
  <c r="J190" i="6"/>
  <c r="I190" i="6"/>
  <c r="H190" i="6"/>
  <c r="G190" i="6"/>
  <c r="E190" i="6"/>
  <c r="D190" i="6"/>
  <c r="C190" i="6"/>
  <c r="B190" i="6"/>
  <c r="J189" i="6"/>
  <c r="I189" i="6"/>
  <c r="H189" i="6"/>
  <c r="G189" i="6"/>
  <c r="E189" i="6"/>
  <c r="D189" i="6"/>
  <c r="C189" i="6"/>
  <c r="B189" i="6"/>
  <c r="B188" i="6"/>
  <c r="C188" i="6"/>
  <c r="D188" i="6"/>
  <c r="J188" i="6"/>
  <c r="I188" i="6"/>
  <c r="H188" i="6"/>
  <c r="G188" i="6"/>
  <c r="E188" i="6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J187" i="6"/>
  <c r="I187" i="6"/>
  <c r="H187" i="6"/>
  <c r="G187" i="6"/>
  <c r="J186" i="6"/>
  <c r="I186" i="6"/>
  <c r="H186" i="6"/>
  <c r="G186" i="6"/>
  <c r="J185" i="6"/>
  <c r="I185" i="6"/>
  <c r="H185" i="6"/>
  <c r="G185" i="6"/>
  <c r="J184" i="6"/>
  <c r="I184" i="6"/>
  <c r="H184" i="6"/>
  <c r="G184" i="6"/>
  <c r="J183" i="6"/>
  <c r="I183" i="6"/>
  <c r="H183" i="6"/>
  <c r="G183" i="6"/>
  <c r="J182" i="6"/>
  <c r="I182" i="6"/>
  <c r="H182" i="6"/>
  <c r="G182" i="6"/>
  <c r="J181" i="6"/>
  <c r="I181" i="6"/>
  <c r="H181" i="6"/>
  <c r="G181" i="6"/>
  <c r="J180" i="6"/>
  <c r="I180" i="6"/>
  <c r="H180" i="6"/>
  <c r="G180" i="6"/>
  <c r="J179" i="6"/>
  <c r="I179" i="6"/>
  <c r="H179" i="6"/>
  <c r="G179" i="6"/>
  <c r="J178" i="6"/>
  <c r="I178" i="6"/>
  <c r="H178" i="6"/>
  <c r="G178" i="6"/>
  <c r="J177" i="6"/>
  <c r="I177" i="6"/>
  <c r="H177" i="6"/>
  <c r="G177" i="6"/>
  <c r="J176" i="6"/>
  <c r="I176" i="6"/>
  <c r="H176" i="6"/>
  <c r="G176" i="6"/>
  <c r="J175" i="6"/>
  <c r="I175" i="6"/>
  <c r="H175" i="6"/>
  <c r="G175" i="6"/>
  <c r="J174" i="6"/>
  <c r="I174" i="6"/>
  <c r="H174" i="6"/>
  <c r="G174" i="6"/>
  <c r="J173" i="6"/>
  <c r="I173" i="6"/>
  <c r="H173" i="6"/>
  <c r="G173" i="6"/>
  <c r="J172" i="6"/>
  <c r="I172" i="6"/>
  <c r="H172" i="6"/>
  <c r="G172" i="6"/>
  <c r="J171" i="6"/>
  <c r="I171" i="6"/>
  <c r="H171" i="6"/>
  <c r="G171" i="6"/>
  <c r="J170" i="6"/>
  <c r="I170" i="6"/>
  <c r="H170" i="6"/>
  <c r="G170" i="6"/>
  <c r="J169" i="6"/>
  <c r="I169" i="6"/>
  <c r="H169" i="6"/>
  <c r="G169" i="6"/>
  <c r="J168" i="6"/>
  <c r="I168" i="6"/>
  <c r="H168" i="6"/>
  <c r="G168" i="6"/>
  <c r="J167" i="6"/>
  <c r="I167" i="6"/>
  <c r="H167" i="6"/>
  <c r="G167" i="6"/>
  <c r="J166" i="6"/>
  <c r="I166" i="6"/>
  <c r="H166" i="6"/>
  <c r="G166" i="6"/>
  <c r="J165" i="6"/>
  <c r="I165" i="6"/>
  <c r="H165" i="6"/>
  <c r="G165" i="6"/>
  <c r="J164" i="6"/>
  <c r="I164" i="6"/>
  <c r="H164" i="6"/>
  <c r="G164" i="6"/>
  <c r="J163" i="6"/>
  <c r="I163" i="6"/>
  <c r="H163" i="6"/>
  <c r="G163" i="6"/>
  <c r="J162" i="6"/>
  <c r="I162" i="6"/>
  <c r="H162" i="6"/>
  <c r="G162" i="6"/>
  <c r="J161" i="6"/>
  <c r="I161" i="6"/>
  <c r="H161" i="6"/>
  <c r="G161" i="6"/>
  <c r="J160" i="6"/>
  <c r="I160" i="6"/>
  <c r="H160" i="6"/>
  <c r="G160" i="6"/>
  <c r="J159" i="6"/>
  <c r="I159" i="6"/>
  <c r="H159" i="6"/>
  <c r="G159" i="6"/>
  <c r="J158" i="6"/>
  <c r="I158" i="6"/>
  <c r="H158" i="6"/>
  <c r="G158" i="6"/>
  <c r="J157" i="6"/>
  <c r="I157" i="6"/>
  <c r="H157" i="6"/>
  <c r="G157" i="6"/>
  <c r="J156" i="6"/>
  <c r="I156" i="6"/>
  <c r="H156" i="6"/>
  <c r="G156" i="6"/>
  <c r="J155" i="6"/>
  <c r="I155" i="6"/>
  <c r="H155" i="6"/>
  <c r="G155" i="6"/>
  <c r="J154" i="6"/>
  <c r="I154" i="6"/>
  <c r="H154" i="6"/>
  <c r="G154" i="6"/>
  <c r="J153" i="6"/>
  <c r="I153" i="6"/>
  <c r="H153" i="6"/>
  <c r="G153" i="6"/>
  <c r="J152" i="6"/>
  <c r="I152" i="6"/>
  <c r="H152" i="6"/>
  <c r="G152" i="6"/>
  <c r="J151" i="6"/>
  <c r="I151" i="6"/>
  <c r="H151" i="6"/>
  <c r="G151" i="6"/>
  <c r="J150" i="6"/>
  <c r="I150" i="6"/>
  <c r="H150" i="6"/>
  <c r="G150" i="6"/>
  <c r="J149" i="6"/>
  <c r="I149" i="6"/>
  <c r="H149" i="6"/>
  <c r="G149" i="6"/>
  <c r="J148" i="6"/>
  <c r="I148" i="6"/>
  <c r="H148" i="6"/>
  <c r="G148" i="6"/>
  <c r="J147" i="6"/>
  <c r="I147" i="6"/>
  <c r="H147" i="6"/>
  <c r="G147" i="6"/>
  <c r="J146" i="6"/>
  <c r="I146" i="6"/>
  <c r="H146" i="6"/>
  <c r="G146" i="6"/>
  <c r="J145" i="6"/>
  <c r="I145" i="6"/>
  <c r="H145" i="6"/>
  <c r="G145" i="6"/>
  <c r="J144" i="6"/>
  <c r="I144" i="6"/>
  <c r="H144" i="6"/>
  <c r="G144" i="6"/>
  <c r="J143" i="6"/>
  <c r="I143" i="6"/>
  <c r="H143" i="6"/>
  <c r="G143" i="6"/>
  <c r="J142" i="6"/>
  <c r="I142" i="6"/>
  <c r="H142" i="6"/>
  <c r="G142" i="6"/>
  <c r="J141" i="6"/>
  <c r="I141" i="6"/>
  <c r="H141" i="6"/>
  <c r="G141" i="6"/>
  <c r="J140" i="6"/>
  <c r="I140" i="6"/>
  <c r="H140" i="6"/>
  <c r="G140" i="6"/>
  <c r="J139" i="6"/>
  <c r="I139" i="6"/>
  <c r="H139" i="6"/>
  <c r="G139" i="6"/>
  <c r="J138" i="6"/>
  <c r="I138" i="6"/>
  <c r="H138" i="6"/>
  <c r="G138" i="6"/>
  <c r="J137" i="6"/>
  <c r="I137" i="6"/>
  <c r="H137" i="6"/>
  <c r="G137" i="6"/>
  <c r="J136" i="6"/>
  <c r="I136" i="6"/>
  <c r="H136" i="6"/>
  <c r="G136" i="6"/>
  <c r="J135" i="6"/>
  <c r="I135" i="6"/>
  <c r="H135" i="6"/>
  <c r="G135" i="6"/>
  <c r="J134" i="6"/>
  <c r="I134" i="6"/>
  <c r="H134" i="6"/>
  <c r="G134" i="6"/>
  <c r="J133" i="6"/>
  <c r="I133" i="6"/>
  <c r="H133" i="6"/>
  <c r="G133" i="6"/>
  <c r="J132" i="6"/>
  <c r="I132" i="6"/>
  <c r="H132" i="6"/>
  <c r="G132" i="6"/>
  <c r="J131" i="6"/>
  <c r="I131" i="6"/>
  <c r="H131" i="6"/>
  <c r="G131" i="6"/>
  <c r="J130" i="6"/>
  <c r="I130" i="6"/>
  <c r="H130" i="6"/>
  <c r="G130" i="6"/>
  <c r="J129" i="6"/>
  <c r="I129" i="6"/>
  <c r="H129" i="6"/>
  <c r="G129" i="6"/>
  <c r="J128" i="6"/>
  <c r="I128" i="6"/>
  <c r="H128" i="6"/>
  <c r="G128" i="6"/>
  <c r="J127" i="6"/>
  <c r="I127" i="6"/>
  <c r="H127" i="6"/>
  <c r="G127" i="6"/>
  <c r="J126" i="6"/>
  <c r="I126" i="6"/>
  <c r="H126" i="6"/>
  <c r="G126" i="6"/>
  <c r="J125" i="6"/>
  <c r="I125" i="6"/>
  <c r="H125" i="6"/>
  <c r="G125" i="6"/>
  <c r="J124" i="6"/>
  <c r="I124" i="6"/>
  <c r="H124" i="6"/>
  <c r="G124" i="6"/>
  <c r="J123" i="6"/>
  <c r="I123" i="6"/>
  <c r="H123" i="6"/>
  <c r="G123" i="6"/>
  <c r="J122" i="6"/>
  <c r="I122" i="6"/>
  <c r="H122" i="6"/>
  <c r="G122" i="6"/>
  <c r="J121" i="6"/>
  <c r="I121" i="6"/>
  <c r="H121" i="6"/>
  <c r="G121" i="6"/>
  <c r="J120" i="6"/>
  <c r="I120" i="6"/>
  <c r="H120" i="6"/>
  <c r="G120" i="6"/>
  <c r="J119" i="6"/>
  <c r="I119" i="6"/>
  <c r="H119" i="6"/>
  <c r="G119" i="6"/>
  <c r="J118" i="6"/>
  <c r="I118" i="6"/>
  <c r="H118" i="6"/>
  <c r="G118" i="6"/>
  <c r="J117" i="6"/>
  <c r="I117" i="6"/>
  <c r="H117" i="6"/>
  <c r="G117" i="6"/>
  <c r="J116" i="6"/>
  <c r="I116" i="6"/>
  <c r="H116" i="6"/>
  <c r="G116" i="6"/>
  <c r="J115" i="6"/>
  <c r="I115" i="6"/>
  <c r="H115" i="6"/>
  <c r="G115" i="6"/>
  <c r="J114" i="6"/>
  <c r="I114" i="6"/>
  <c r="H114" i="6"/>
  <c r="G114" i="6"/>
  <c r="J113" i="6"/>
  <c r="I113" i="6"/>
  <c r="H113" i="6"/>
  <c r="G113" i="6"/>
  <c r="J112" i="6"/>
  <c r="I112" i="6"/>
  <c r="H112" i="6"/>
  <c r="G112" i="6"/>
  <c r="J111" i="6"/>
  <c r="I111" i="6"/>
  <c r="H111" i="6"/>
  <c r="G111" i="6"/>
  <c r="J110" i="6"/>
  <c r="I110" i="6"/>
  <c r="H110" i="6"/>
  <c r="G110" i="6"/>
  <c r="J109" i="6"/>
  <c r="I109" i="6"/>
  <c r="H109" i="6"/>
  <c r="G109" i="6"/>
  <c r="J108" i="6"/>
  <c r="I108" i="6"/>
  <c r="H108" i="6"/>
  <c r="G108" i="6"/>
  <c r="J107" i="6"/>
  <c r="I107" i="6"/>
  <c r="H107" i="6"/>
  <c r="G107" i="6"/>
  <c r="J106" i="6"/>
  <c r="I106" i="6"/>
  <c r="H106" i="6"/>
  <c r="G106" i="6"/>
  <c r="J105" i="6"/>
  <c r="I105" i="6"/>
  <c r="H105" i="6"/>
  <c r="G105" i="6"/>
  <c r="J104" i="6"/>
  <c r="I104" i="6"/>
  <c r="H104" i="6"/>
  <c r="G104" i="6"/>
  <c r="J103" i="6"/>
  <c r="I103" i="6"/>
  <c r="H103" i="6"/>
  <c r="G103" i="6"/>
  <c r="J102" i="6"/>
  <c r="I102" i="6"/>
  <c r="H102" i="6"/>
  <c r="G102" i="6"/>
  <c r="J101" i="6"/>
  <c r="I101" i="6"/>
  <c r="H101" i="6"/>
  <c r="G101" i="6"/>
  <c r="J100" i="6"/>
  <c r="I100" i="6"/>
  <c r="H100" i="6"/>
  <c r="G100" i="6"/>
  <c r="J99" i="6"/>
  <c r="I99" i="6"/>
  <c r="H99" i="6"/>
  <c r="G99" i="6"/>
  <c r="J98" i="6"/>
  <c r="I98" i="6"/>
  <c r="H98" i="6"/>
  <c r="G98" i="6"/>
  <c r="J97" i="6"/>
  <c r="I97" i="6"/>
  <c r="H97" i="6"/>
  <c r="G97" i="6"/>
  <c r="J96" i="6"/>
  <c r="I96" i="6"/>
  <c r="H96" i="6"/>
  <c r="G96" i="6"/>
  <c r="J95" i="6"/>
  <c r="I95" i="6"/>
  <c r="H95" i="6"/>
  <c r="G95" i="6"/>
  <c r="J94" i="6"/>
  <c r="I94" i="6"/>
  <c r="H94" i="6"/>
  <c r="G94" i="6"/>
  <c r="J93" i="6"/>
  <c r="I93" i="6"/>
  <c r="H93" i="6"/>
  <c r="G93" i="6"/>
  <c r="J92" i="6"/>
  <c r="I92" i="6"/>
  <c r="H92" i="6"/>
  <c r="G92" i="6"/>
  <c r="J91" i="6"/>
  <c r="I91" i="6"/>
  <c r="H91" i="6"/>
  <c r="G91" i="6"/>
  <c r="J90" i="6"/>
  <c r="I90" i="6"/>
  <c r="H90" i="6"/>
  <c r="G90" i="6"/>
  <c r="J89" i="6"/>
  <c r="I89" i="6"/>
  <c r="H89" i="6"/>
  <c r="G89" i="6"/>
  <c r="J88" i="6"/>
  <c r="I88" i="6"/>
  <c r="H88" i="6"/>
  <c r="G88" i="6"/>
  <c r="J87" i="6"/>
  <c r="I87" i="6"/>
  <c r="H87" i="6"/>
  <c r="G87" i="6"/>
  <c r="J86" i="6"/>
  <c r="I86" i="6"/>
  <c r="H86" i="6"/>
  <c r="G86" i="6"/>
  <c r="J85" i="6"/>
  <c r="I85" i="6"/>
  <c r="H85" i="6"/>
  <c r="G85" i="6"/>
  <c r="J84" i="6"/>
  <c r="I84" i="6"/>
  <c r="H84" i="6"/>
  <c r="G84" i="6"/>
  <c r="J83" i="6"/>
  <c r="I83" i="6"/>
  <c r="H83" i="6"/>
  <c r="G83" i="6"/>
  <c r="J82" i="6"/>
  <c r="I82" i="6"/>
  <c r="H82" i="6"/>
  <c r="G82" i="6"/>
  <c r="J81" i="6"/>
  <c r="I81" i="6"/>
  <c r="H81" i="6"/>
  <c r="G81" i="6"/>
  <c r="J80" i="6"/>
  <c r="I80" i="6"/>
  <c r="H80" i="6"/>
  <c r="G80" i="6"/>
  <c r="J79" i="6"/>
  <c r="I79" i="6"/>
  <c r="H79" i="6"/>
  <c r="G79" i="6"/>
  <c r="J78" i="6"/>
  <c r="I78" i="6"/>
  <c r="H78" i="6"/>
  <c r="G78" i="6"/>
  <c r="J77" i="6"/>
  <c r="I77" i="6"/>
  <c r="H77" i="6"/>
  <c r="G77" i="6"/>
  <c r="J76" i="6"/>
  <c r="I76" i="6"/>
  <c r="H76" i="6"/>
  <c r="G76" i="6"/>
  <c r="J75" i="6"/>
  <c r="I75" i="6"/>
  <c r="H75" i="6"/>
  <c r="G75" i="6"/>
  <c r="J74" i="6"/>
  <c r="I74" i="6"/>
  <c r="H74" i="6"/>
  <c r="G74" i="6"/>
  <c r="J73" i="6"/>
  <c r="I73" i="6"/>
  <c r="H73" i="6"/>
  <c r="G73" i="6"/>
  <c r="J72" i="6"/>
  <c r="I72" i="6"/>
  <c r="H72" i="6"/>
  <c r="G72" i="6"/>
  <c r="J71" i="6"/>
  <c r="I71" i="6"/>
  <c r="H71" i="6"/>
  <c r="G71" i="6"/>
  <c r="J70" i="6"/>
  <c r="I70" i="6"/>
  <c r="H70" i="6"/>
  <c r="G70" i="6"/>
  <c r="J69" i="6"/>
  <c r="I69" i="6"/>
  <c r="H69" i="6"/>
  <c r="G69" i="6"/>
  <c r="J68" i="6"/>
  <c r="I68" i="6"/>
  <c r="H68" i="6"/>
  <c r="G68" i="6"/>
  <c r="J67" i="6"/>
  <c r="I67" i="6"/>
  <c r="H67" i="6"/>
  <c r="G67" i="6"/>
  <c r="J66" i="6"/>
  <c r="I66" i="6"/>
  <c r="H66" i="6"/>
  <c r="G66" i="6"/>
  <c r="J65" i="6"/>
  <c r="I65" i="6"/>
  <c r="H65" i="6"/>
  <c r="G65" i="6"/>
  <c r="J64" i="6"/>
  <c r="I64" i="6"/>
  <c r="H64" i="6"/>
  <c r="G64" i="6"/>
  <c r="J63" i="6"/>
  <c r="I63" i="6"/>
  <c r="H63" i="6"/>
  <c r="G63" i="6"/>
  <c r="J62" i="6"/>
  <c r="I62" i="6"/>
  <c r="H62" i="6"/>
  <c r="G62" i="6"/>
  <c r="J61" i="6"/>
  <c r="I61" i="6"/>
  <c r="H61" i="6"/>
  <c r="G61" i="6"/>
  <c r="J60" i="6"/>
  <c r="I60" i="6"/>
  <c r="H60" i="6"/>
  <c r="G60" i="6"/>
  <c r="J59" i="6"/>
  <c r="I59" i="6"/>
  <c r="H59" i="6"/>
  <c r="G59" i="6"/>
  <c r="J58" i="6"/>
  <c r="I58" i="6"/>
  <c r="H58" i="6"/>
  <c r="G58" i="6"/>
  <c r="J57" i="6"/>
  <c r="I57" i="6"/>
  <c r="H57" i="6"/>
  <c r="G57" i="6"/>
  <c r="J56" i="6"/>
  <c r="I56" i="6"/>
  <c r="H56" i="6"/>
  <c r="G56" i="6"/>
  <c r="J55" i="6"/>
  <c r="I55" i="6"/>
  <c r="H55" i="6"/>
  <c r="G55" i="6"/>
  <c r="J54" i="6"/>
  <c r="I54" i="6"/>
  <c r="H54" i="6"/>
  <c r="G54" i="6"/>
  <c r="J53" i="6"/>
  <c r="I53" i="6"/>
  <c r="H53" i="6"/>
  <c r="G53" i="6"/>
  <c r="J52" i="6"/>
  <c r="I52" i="6"/>
  <c r="H52" i="6"/>
  <c r="G52" i="6"/>
  <c r="J51" i="6"/>
  <c r="I51" i="6"/>
  <c r="H51" i="6"/>
  <c r="G51" i="6"/>
  <c r="J50" i="6"/>
  <c r="I50" i="6"/>
  <c r="H50" i="6"/>
  <c r="G50" i="6"/>
  <c r="J49" i="6"/>
  <c r="I49" i="6"/>
  <c r="H49" i="6"/>
  <c r="G49" i="6"/>
  <c r="J48" i="6"/>
  <c r="I48" i="6"/>
  <c r="H48" i="6"/>
  <c r="G48" i="6"/>
  <c r="J47" i="6"/>
  <c r="I47" i="6"/>
  <c r="H47" i="6"/>
  <c r="G47" i="6"/>
  <c r="J46" i="6"/>
  <c r="I46" i="6"/>
  <c r="H46" i="6"/>
  <c r="G46" i="6"/>
  <c r="J45" i="6"/>
  <c r="I45" i="6"/>
  <c r="H45" i="6"/>
  <c r="G45" i="6"/>
  <c r="J44" i="6"/>
  <c r="I44" i="6"/>
  <c r="H44" i="6"/>
  <c r="G44" i="6"/>
  <c r="J43" i="6"/>
  <c r="I43" i="6"/>
  <c r="H43" i="6"/>
  <c r="G43" i="6"/>
  <c r="J42" i="6"/>
  <c r="I42" i="6"/>
  <c r="H42" i="6"/>
  <c r="G42" i="6"/>
  <c r="J41" i="6"/>
  <c r="I41" i="6"/>
  <c r="H41" i="6"/>
  <c r="G41" i="6"/>
  <c r="J40" i="6"/>
  <c r="I40" i="6"/>
  <c r="H40" i="6"/>
  <c r="G40" i="6"/>
  <c r="J39" i="6"/>
  <c r="I39" i="6"/>
  <c r="H39" i="6"/>
  <c r="G39" i="6"/>
  <c r="J38" i="6"/>
  <c r="I38" i="6"/>
  <c r="H38" i="6"/>
  <c r="G38" i="6"/>
  <c r="J37" i="6"/>
  <c r="I37" i="6"/>
  <c r="H37" i="6"/>
  <c r="G37" i="6"/>
  <c r="J36" i="6"/>
  <c r="I36" i="6"/>
  <c r="H36" i="6"/>
  <c r="G36" i="6"/>
  <c r="J35" i="6"/>
  <c r="I35" i="6"/>
  <c r="H35" i="6"/>
  <c r="G35" i="6"/>
  <c r="J34" i="6"/>
  <c r="I34" i="6"/>
  <c r="H34" i="6"/>
  <c r="G34" i="6"/>
  <c r="J33" i="6"/>
  <c r="I33" i="6"/>
  <c r="H33" i="6"/>
  <c r="G33" i="6"/>
  <c r="J32" i="6"/>
  <c r="I32" i="6"/>
  <c r="H32" i="6"/>
  <c r="G32" i="6"/>
  <c r="J31" i="6"/>
  <c r="I31" i="6"/>
  <c r="H31" i="6"/>
  <c r="G31" i="6"/>
  <c r="J30" i="6"/>
  <c r="I30" i="6"/>
  <c r="H30" i="6"/>
  <c r="G30" i="6"/>
  <c r="J29" i="6"/>
  <c r="I29" i="6"/>
  <c r="H29" i="6"/>
  <c r="G29" i="6"/>
  <c r="J28" i="6"/>
  <c r="I28" i="6"/>
  <c r="H28" i="6"/>
  <c r="G28" i="6"/>
  <c r="J27" i="6"/>
  <c r="I27" i="6"/>
  <c r="H27" i="6"/>
  <c r="G27" i="6"/>
  <c r="J26" i="6"/>
  <c r="I26" i="6"/>
  <c r="H26" i="6"/>
  <c r="G26" i="6"/>
  <c r="J25" i="6"/>
  <c r="I25" i="6"/>
  <c r="H25" i="6"/>
  <c r="G25" i="6"/>
  <c r="J24" i="6"/>
  <c r="I24" i="6"/>
  <c r="H24" i="6"/>
  <c r="G24" i="6"/>
  <c r="J23" i="6"/>
  <c r="I23" i="6"/>
  <c r="H23" i="6"/>
  <c r="G23" i="6"/>
  <c r="J22" i="6"/>
  <c r="I22" i="6"/>
  <c r="H22" i="6"/>
  <c r="G22" i="6"/>
  <c r="J21" i="6"/>
  <c r="I21" i="6"/>
  <c r="H21" i="6"/>
  <c r="G21" i="6"/>
  <c r="J20" i="6"/>
  <c r="I20" i="6"/>
  <c r="H20" i="6"/>
  <c r="G20" i="6"/>
  <c r="J19" i="6"/>
  <c r="I19" i="6"/>
  <c r="H19" i="6"/>
  <c r="G19" i="6"/>
  <c r="J18" i="6"/>
  <c r="I18" i="6"/>
  <c r="H18" i="6"/>
  <c r="G18" i="6"/>
  <c r="J17" i="6"/>
  <c r="I17" i="6"/>
  <c r="H17" i="6"/>
  <c r="G17" i="6"/>
  <c r="J16" i="6"/>
  <c r="I16" i="6"/>
  <c r="H16" i="6"/>
  <c r="G16" i="6"/>
  <c r="J15" i="6"/>
  <c r="I15" i="6"/>
  <c r="H15" i="6"/>
  <c r="G15" i="6"/>
  <c r="J14" i="6"/>
  <c r="I14" i="6"/>
  <c r="H14" i="6"/>
  <c r="G14" i="6"/>
  <c r="J13" i="6"/>
  <c r="I13" i="6"/>
  <c r="H13" i="6"/>
  <c r="G13" i="6"/>
  <c r="J12" i="6"/>
  <c r="I12" i="6"/>
  <c r="H12" i="6"/>
  <c r="G12" i="6"/>
  <c r="J11" i="6"/>
  <c r="I11" i="6"/>
  <c r="H11" i="6"/>
  <c r="G11" i="6"/>
  <c r="J10" i="6"/>
  <c r="I10" i="6"/>
  <c r="H10" i="6"/>
  <c r="G10" i="6"/>
  <c r="J9" i="6"/>
  <c r="I9" i="6"/>
  <c r="H9" i="6"/>
  <c r="G9" i="6"/>
  <c r="J8" i="6"/>
  <c r="I8" i="6"/>
  <c r="H8" i="6"/>
  <c r="G8" i="6"/>
  <c r="J7" i="6"/>
  <c r="I7" i="6"/>
  <c r="H7" i="6"/>
  <c r="G7" i="6"/>
  <c r="J6" i="6"/>
  <c r="I6" i="6"/>
  <c r="H6" i="6"/>
  <c r="G6" i="6"/>
  <c r="J5" i="6"/>
  <c r="I5" i="6"/>
  <c r="H5" i="6"/>
  <c r="G5" i="6"/>
  <c r="J4" i="6"/>
  <c r="I4" i="6"/>
  <c r="H4" i="6"/>
  <c r="G4" i="6"/>
  <c r="J3" i="6"/>
  <c r="J363" i="6" s="1"/>
  <c r="I3" i="6"/>
  <c r="I363" i="6" s="1"/>
  <c r="H3" i="6"/>
  <c r="H363" i="6" s="1"/>
  <c r="G3" i="6"/>
  <c r="G363" i="6" s="1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63" i="6" s="1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363" i="6" s="1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363" i="6" s="1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363" i="6" s="1"/>
  <c r="P346" i="6" l="1"/>
  <c r="R193" i="6"/>
  <c r="R229" i="6"/>
  <c r="R330" i="6"/>
  <c r="R346" i="6"/>
  <c r="R352" i="6"/>
  <c r="P238" i="6"/>
  <c r="P298" i="6"/>
  <c r="P315" i="6"/>
  <c r="P322" i="6"/>
  <c r="F189" i="6"/>
  <c r="F196" i="6"/>
  <c r="F217" i="6"/>
  <c r="F220" i="6"/>
  <c r="F222" i="6"/>
  <c r="F223" i="6"/>
  <c r="R223" i="6" s="1"/>
  <c r="F226" i="6"/>
  <c r="K274" i="6"/>
  <c r="R274" i="6" s="1"/>
  <c r="K276" i="6"/>
  <c r="K280" i="6"/>
  <c r="R280" i="6" s="1"/>
  <c r="F304" i="6"/>
  <c r="F307" i="6"/>
  <c r="F309" i="6"/>
  <c r="F310" i="6"/>
  <c r="F313" i="6"/>
  <c r="K336" i="6"/>
  <c r="K339" i="6"/>
  <c r="R339" i="6" s="1"/>
  <c r="K342" i="6"/>
  <c r="K345" i="6"/>
  <c r="F214" i="6"/>
  <c r="F230" i="6"/>
  <c r="P235" i="6"/>
  <c r="K253" i="6"/>
  <c r="R253" i="6" s="1"/>
  <c r="K265" i="6"/>
  <c r="K281" i="6"/>
  <c r="R281" i="6" s="1"/>
  <c r="K283" i="6"/>
  <c r="K284" i="6"/>
  <c r="F31" i="6"/>
  <c r="K169" i="6"/>
  <c r="K175" i="6"/>
  <c r="K181" i="6"/>
  <c r="K187" i="6"/>
  <c r="F225" i="6"/>
  <c r="F232" i="6"/>
  <c r="F240" i="6"/>
  <c r="K288" i="6"/>
  <c r="K291" i="6"/>
  <c r="R291" i="6" s="1"/>
  <c r="K294" i="6"/>
  <c r="K297" i="6"/>
  <c r="R297" i="6" s="1"/>
  <c r="F321" i="6"/>
  <c r="F323" i="6"/>
  <c r="F324" i="6"/>
  <c r="F327" i="6"/>
  <c r="F329" i="6"/>
  <c r="F330" i="6"/>
  <c r="K353" i="6"/>
  <c r="K355" i="6"/>
  <c r="K356" i="6"/>
  <c r="K361" i="6"/>
  <c r="P259" i="6"/>
  <c r="P262" i="6"/>
  <c r="K298" i="6"/>
  <c r="R298" i="6" s="1"/>
  <c r="K300" i="6"/>
  <c r="R300" i="6" s="1"/>
  <c r="K304" i="6"/>
  <c r="R304" i="6" s="1"/>
  <c r="F328" i="6"/>
  <c r="F331" i="6"/>
  <c r="F333" i="6"/>
  <c r="F334" i="6"/>
  <c r="F337" i="6"/>
  <c r="R337" i="6" s="1"/>
  <c r="K360" i="6"/>
  <c r="K203" i="6"/>
  <c r="R203" i="6" s="1"/>
  <c r="F268" i="6"/>
  <c r="F273" i="6"/>
  <c r="F275" i="6"/>
  <c r="F276" i="6"/>
  <c r="F279" i="6"/>
  <c r="F281" i="6"/>
  <c r="F282" i="6"/>
  <c r="R282" i="6" s="1"/>
  <c r="K307" i="6"/>
  <c r="R307" i="6" s="1"/>
  <c r="K308" i="6"/>
  <c r="K313" i="6"/>
  <c r="R313" i="6" s="1"/>
  <c r="K314" i="6"/>
  <c r="F340" i="6"/>
  <c r="F344" i="6"/>
  <c r="K150" i="6"/>
  <c r="K231" i="6"/>
  <c r="K233" i="6"/>
  <c r="R233" i="6" s="1"/>
  <c r="F244" i="6"/>
  <c r="F267" i="6"/>
  <c r="F280" i="6"/>
  <c r="F283" i="6"/>
  <c r="F285" i="6"/>
  <c r="F286" i="6"/>
  <c r="F289" i="6"/>
  <c r="R289" i="6" s="1"/>
  <c r="K312" i="6"/>
  <c r="K315" i="6"/>
  <c r="R315" i="6" s="1"/>
  <c r="K318" i="6"/>
  <c r="K321" i="6"/>
  <c r="R321" i="6" s="1"/>
  <c r="F345" i="6"/>
  <c r="F347" i="6"/>
  <c r="F348" i="6"/>
  <c r="F351" i="6"/>
  <c r="F353" i="6"/>
  <c r="F354" i="6"/>
  <c r="F190" i="6"/>
  <c r="K235" i="6"/>
  <c r="R235" i="6" s="1"/>
  <c r="K238" i="6"/>
  <c r="R238" i="6" s="1"/>
  <c r="K241" i="6"/>
  <c r="K244" i="6"/>
  <c r="F292" i="6"/>
  <c r="F296" i="6"/>
  <c r="K322" i="6"/>
  <c r="R322" i="6" s="1"/>
  <c r="K324" i="6"/>
  <c r="R324" i="6" s="1"/>
  <c r="K328" i="6"/>
  <c r="F352" i="6"/>
  <c r="F355" i="6"/>
  <c r="F357" i="6"/>
  <c r="F358" i="6"/>
  <c r="F361" i="6"/>
  <c r="K188" i="6"/>
  <c r="F194" i="6"/>
  <c r="F199" i="6"/>
  <c r="F204" i="6"/>
  <c r="F208" i="6"/>
  <c r="K251" i="6"/>
  <c r="K254" i="6"/>
  <c r="R254" i="6" s="1"/>
  <c r="K255" i="6"/>
  <c r="R255" i="6" s="1"/>
  <c r="K256" i="6"/>
  <c r="R256" i="6" s="1"/>
  <c r="K257" i="6"/>
  <c r="R257" i="6" s="1"/>
  <c r="K259" i="6"/>
  <c r="R259" i="6" s="1"/>
  <c r="K260" i="6"/>
  <c r="K261" i="6"/>
  <c r="K267" i="6"/>
  <c r="K270" i="6"/>
  <c r="K273" i="6"/>
  <c r="R273" i="6" s="1"/>
  <c r="P339" i="6"/>
  <c r="K189" i="6"/>
  <c r="R189" i="6" s="1"/>
  <c r="F195" i="6"/>
  <c r="R195" i="6" s="1"/>
  <c r="K209" i="6"/>
  <c r="K212" i="6"/>
  <c r="R212" i="6" s="1"/>
  <c r="F215" i="6"/>
  <c r="K216" i="6"/>
  <c r="R216" i="6" s="1"/>
  <c r="F224" i="6"/>
  <c r="K225" i="6"/>
  <c r="F231" i="6"/>
  <c r="K248" i="6"/>
  <c r="F251" i="6"/>
  <c r="K252" i="6"/>
  <c r="R252" i="6" s="1"/>
  <c r="F260" i="6"/>
  <c r="F290" i="6"/>
  <c r="F314" i="6"/>
  <c r="F338" i="6"/>
  <c r="F201" i="6"/>
  <c r="K215" i="6"/>
  <c r="K218" i="6"/>
  <c r="F221" i="6"/>
  <c r="K222" i="6"/>
  <c r="R222" i="6" s="1"/>
  <c r="F237" i="6"/>
  <c r="F257" i="6"/>
  <c r="K258" i="6"/>
  <c r="K277" i="6"/>
  <c r="F293" i="6"/>
  <c r="K301" i="6"/>
  <c r="F317" i="6"/>
  <c r="K325" i="6"/>
  <c r="R325" i="6" s="1"/>
  <c r="F341" i="6"/>
  <c r="K349" i="6"/>
  <c r="K208" i="6"/>
  <c r="F210" i="6"/>
  <c r="F191" i="6"/>
  <c r="K192" i="6"/>
  <c r="F200" i="6"/>
  <c r="K201" i="6"/>
  <c r="R201" i="6" s="1"/>
  <c r="K221" i="6"/>
  <c r="K224" i="6"/>
  <c r="R224" i="6" s="1"/>
  <c r="F227" i="6"/>
  <c r="K228" i="6"/>
  <c r="F236" i="6"/>
  <c r="K237" i="6"/>
  <c r="F243" i="6"/>
  <c r="F269" i="6"/>
  <c r="K287" i="6"/>
  <c r="K311" i="6"/>
  <c r="K335" i="6"/>
  <c r="K359" i="6"/>
  <c r="K84" i="6"/>
  <c r="F193" i="6"/>
  <c r="K214" i="6"/>
  <c r="R214" i="6" s="1"/>
  <c r="F216" i="6"/>
  <c r="K227" i="6"/>
  <c r="R227" i="6" s="1"/>
  <c r="F229" i="6"/>
  <c r="K250" i="6"/>
  <c r="R250" i="6" s="1"/>
  <c r="F252" i="6"/>
  <c r="F263" i="6"/>
  <c r="K264" i="6"/>
  <c r="K156" i="6"/>
  <c r="F188" i="6"/>
  <c r="K191" i="6"/>
  <c r="R191" i="6" s="1"/>
  <c r="K194" i="6"/>
  <c r="F197" i="6"/>
  <c r="K198" i="6"/>
  <c r="F206" i="6"/>
  <c r="K207" i="6"/>
  <c r="R207" i="6" s="1"/>
  <c r="F213" i="6"/>
  <c r="K230" i="6"/>
  <c r="R230" i="6" s="1"/>
  <c r="F233" i="6"/>
  <c r="K234" i="6"/>
  <c r="F242" i="6"/>
  <c r="K243" i="6"/>
  <c r="F249" i="6"/>
  <c r="K263" i="6"/>
  <c r="F265" i="6"/>
  <c r="F278" i="6"/>
  <c r="F302" i="6"/>
  <c r="F326" i="6"/>
  <c r="F350" i="6"/>
  <c r="F258" i="6"/>
  <c r="F271" i="6"/>
  <c r="K272" i="6"/>
  <c r="R272" i="6" s="1"/>
  <c r="K279" i="6"/>
  <c r="R279" i="6" s="1"/>
  <c r="K286" i="6"/>
  <c r="R286" i="6" s="1"/>
  <c r="F288" i="6"/>
  <c r="K293" i="6"/>
  <c r="F295" i="6"/>
  <c r="K296" i="6"/>
  <c r="K303" i="6"/>
  <c r="R303" i="6" s="1"/>
  <c r="K310" i="6"/>
  <c r="R310" i="6" s="1"/>
  <c r="F312" i="6"/>
  <c r="K317" i="6"/>
  <c r="F319" i="6"/>
  <c r="K320" i="6"/>
  <c r="R320" i="6" s="1"/>
  <c r="K327" i="6"/>
  <c r="K334" i="6"/>
  <c r="R334" i="6" s="1"/>
  <c r="F336" i="6"/>
  <c r="K341" i="6"/>
  <c r="F343" i="6"/>
  <c r="K344" i="6"/>
  <c r="R344" i="6" s="1"/>
  <c r="K351" i="6"/>
  <c r="R351" i="6" s="1"/>
  <c r="K358" i="6"/>
  <c r="R358" i="6" s="1"/>
  <c r="F360" i="6"/>
  <c r="K197" i="6"/>
  <c r="R197" i="6" s="1"/>
  <c r="K200" i="6"/>
  <c r="F203" i="6"/>
  <c r="K204" i="6"/>
  <c r="R204" i="6" s="1"/>
  <c r="F212" i="6"/>
  <c r="K213" i="6"/>
  <c r="F219" i="6"/>
  <c r="K236" i="6"/>
  <c r="F239" i="6"/>
  <c r="K240" i="6"/>
  <c r="R240" i="6" s="1"/>
  <c r="F248" i="6"/>
  <c r="K249" i="6"/>
  <c r="R249" i="6" s="1"/>
  <c r="F255" i="6"/>
  <c r="K190" i="6"/>
  <c r="R190" i="6" s="1"/>
  <c r="F192" i="6"/>
  <c r="F205" i="6"/>
  <c r="R205" i="6" s="1"/>
  <c r="K226" i="6"/>
  <c r="R226" i="6" s="1"/>
  <c r="F228" i="6"/>
  <c r="K239" i="6"/>
  <c r="F241" i="6"/>
  <c r="F284" i="6"/>
  <c r="F308" i="6"/>
  <c r="F332" i="6"/>
  <c r="F356" i="6"/>
  <c r="K206" i="6"/>
  <c r="R206" i="6" s="1"/>
  <c r="F209" i="6"/>
  <c r="K210" i="6"/>
  <c r="R210" i="6" s="1"/>
  <c r="F218" i="6"/>
  <c r="K219" i="6"/>
  <c r="R219" i="6" s="1"/>
  <c r="K242" i="6"/>
  <c r="R242" i="6" s="1"/>
  <c r="F245" i="6"/>
  <c r="K246" i="6"/>
  <c r="R246" i="6" s="1"/>
  <c r="K262" i="6"/>
  <c r="R262" i="6" s="1"/>
  <c r="F264" i="6"/>
  <c r="K275" i="6"/>
  <c r="R275" i="6" s="1"/>
  <c r="F277" i="6"/>
  <c r="K278" i="6"/>
  <c r="R278" i="6" s="1"/>
  <c r="K285" i="6"/>
  <c r="R285" i="6" s="1"/>
  <c r="K292" i="6"/>
  <c r="R292" i="6" s="1"/>
  <c r="F294" i="6"/>
  <c r="K299" i="6"/>
  <c r="R299" i="6" s="1"/>
  <c r="F301" i="6"/>
  <c r="K302" i="6"/>
  <c r="K309" i="6"/>
  <c r="R309" i="6" s="1"/>
  <c r="K316" i="6"/>
  <c r="R316" i="6" s="1"/>
  <c r="F318" i="6"/>
  <c r="K323" i="6"/>
  <c r="R323" i="6" s="1"/>
  <c r="F325" i="6"/>
  <c r="K326" i="6"/>
  <c r="R326" i="6" s="1"/>
  <c r="K333" i="6"/>
  <c r="R333" i="6" s="1"/>
  <c r="K340" i="6"/>
  <c r="R340" i="6" s="1"/>
  <c r="F342" i="6"/>
  <c r="K347" i="6"/>
  <c r="R347" i="6" s="1"/>
  <c r="F349" i="6"/>
  <c r="K350" i="6"/>
  <c r="R350" i="6" s="1"/>
  <c r="K357" i="6"/>
  <c r="R357" i="6" s="1"/>
  <c r="F15" i="6"/>
  <c r="F27" i="6"/>
  <c r="F39" i="6"/>
  <c r="F51" i="6"/>
  <c r="F63" i="6"/>
  <c r="F75" i="6"/>
  <c r="F87" i="6"/>
  <c r="F99" i="6"/>
  <c r="F111" i="6"/>
  <c r="F123" i="6"/>
  <c r="F135" i="6"/>
  <c r="F147" i="6"/>
  <c r="F159" i="6"/>
  <c r="F171" i="6"/>
  <c r="F139" i="6"/>
  <c r="K196" i="6"/>
  <c r="F198" i="6"/>
  <c r="F211" i="6"/>
  <c r="K232" i="6"/>
  <c r="R232" i="6" s="1"/>
  <c r="F234" i="6"/>
  <c r="K245" i="6"/>
  <c r="R245" i="6" s="1"/>
  <c r="F247" i="6"/>
  <c r="F261" i="6"/>
  <c r="K268" i="6"/>
  <c r="R268" i="6" s="1"/>
  <c r="F270" i="6"/>
  <c r="K271" i="6"/>
  <c r="R271" i="6" s="1"/>
  <c r="F287" i="6"/>
  <c r="K295" i="6"/>
  <c r="R295" i="6" s="1"/>
  <c r="F311" i="6"/>
  <c r="K319" i="6"/>
  <c r="R319" i="6" s="1"/>
  <c r="F335" i="6"/>
  <c r="K343" i="6"/>
  <c r="F359" i="6"/>
  <c r="F30" i="6"/>
  <c r="K6" i="6"/>
  <c r="K18" i="6"/>
  <c r="K42" i="6"/>
  <c r="K48" i="6"/>
  <c r="K54" i="6"/>
  <c r="K57" i="6"/>
  <c r="K60" i="6"/>
  <c r="K66" i="6"/>
  <c r="K69" i="6"/>
  <c r="K72" i="6"/>
  <c r="K78" i="6"/>
  <c r="K90" i="6"/>
  <c r="F183" i="6"/>
  <c r="F108" i="6"/>
  <c r="F144" i="6"/>
  <c r="K162" i="6"/>
  <c r="F82" i="6"/>
  <c r="F74" i="6"/>
  <c r="K102" i="6"/>
  <c r="K174" i="6"/>
  <c r="K64" i="6"/>
  <c r="K76" i="6"/>
  <c r="K136" i="6"/>
  <c r="K148" i="6"/>
  <c r="K20" i="6"/>
  <c r="K23" i="6"/>
  <c r="K26" i="6"/>
  <c r="K62" i="6"/>
  <c r="K74" i="6"/>
  <c r="F81" i="6"/>
  <c r="K164" i="6"/>
  <c r="K167" i="6"/>
  <c r="K170" i="6"/>
  <c r="F71" i="6"/>
  <c r="F83" i="6"/>
  <c r="F119" i="6"/>
  <c r="F167" i="6"/>
  <c r="K13" i="6"/>
  <c r="K24" i="6"/>
  <c r="K108" i="6"/>
  <c r="R108" i="6" s="1"/>
  <c r="F19" i="6"/>
  <c r="F55" i="6"/>
  <c r="F151" i="6"/>
  <c r="F175" i="6"/>
  <c r="K25" i="6"/>
  <c r="K37" i="6"/>
  <c r="K49" i="6"/>
  <c r="K186" i="6"/>
  <c r="K19" i="6"/>
  <c r="K85" i="6"/>
  <c r="K96" i="6"/>
  <c r="K180" i="6"/>
  <c r="K79" i="6"/>
  <c r="K97" i="6"/>
  <c r="K103" i="6"/>
  <c r="K109" i="6"/>
  <c r="K115" i="6"/>
  <c r="K121" i="6"/>
  <c r="K8" i="6"/>
  <c r="K11" i="6"/>
  <c r="K14" i="6"/>
  <c r="K157" i="6"/>
  <c r="K168" i="6"/>
  <c r="K80" i="6"/>
  <c r="K83" i="6"/>
  <c r="K86" i="6"/>
  <c r="K92" i="6"/>
  <c r="K95" i="6"/>
  <c r="K98" i="6"/>
  <c r="K134" i="6"/>
  <c r="K146" i="6"/>
  <c r="F16" i="6"/>
  <c r="F28" i="6"/>
  <c r="F40" i="6"/>
  <c r="F52" i="6"/>
  <c r="F64" i="6"/>
  <c r="F76" i="6"/>
  <c r="F88" i="6"/>
  <c r="F100" i="6"/>
  <c r="F112" i="6"/>
  <c r="F124" i="6"/>
  <c r="F136" i="6"/>
  <c r="F148" i="6"/>
  <c r="F160" i="6"/>
  <c r="K152" i="6"/>
  <c r="K155" i="6"/>
  <c r="K158" i="6"/>
  <c r="F17" i="6"/>
  <c r="F29" i="6"/>
  <c r="F41" i="6"/>
  <c r="F53" i="6"/>
  <c r="F65" i="6"/>
  <c r="F77" i="6"/>
  <c r="F89" i="6"/>
  <c r="F101" i="6"/>
  <c r="F113" i="6"/>
  <c r="F125" i="6"/>
  <c r="F137" i="6"/>
  <c r="F149" i="6"/>
  <c r="F173" i="6"/>
  <c r="F185" i="6"/>
  <c r="K36" i="6"/>
  <c r="K12" i="6"/>
  <c r="K30" i="6"/>
  <c r="K114" i="6"/>
  <c r="K120" i="6"/>
  <c r="K126" i="6"/>
  <c r="K129" i="6"/>
  <c r="K132" i="6"/>
  <c r="K138" i="6"/>
  <c r="K141" i="6"/>
  <c r="K144" i="6"/>
  <c r="K4" i="6"/>
  <c r="K50" i="6"/>
  <c r="K67" i="6"/>
  <c r="K73" i="6"/>
  <c r="K122" i="6"/>
  <c r="K145" i="6"/>
  <c r="K7" i="6"/>
  <c r="K27" i="6"/>
  <c r="R27" i="6" s="1"/>
  <c r="K33" i="6"/>
  <c r="K41" i="6"/>
  <c r="K56" i="6"/>
  <c r="K59" i="6"/>
  <c r="K70" i="6"/>
  <c r="K99" i="6"/>
  <c r="K105" i="6"/>
  <c r="K113" i="6"/>
  <c r="K128" i="6"/>
  <c r="K131" i="6"/>
  <c r="K142" i="6"/>
  <c r="K151" i="6"/>
  <c r="R151" i="6" s="1"/>
  <c r="K171" i="6"/>
  <c r="K177" i="6"/>
  <c r="K185" i="6"/>
  <c r="F109" i="6"/>
  <c r="F181" i="6"/>
  <c r="K39" i="6"/>
  <c r="R39" i="6" s="1"/>
  <c r="K45" i="6"/>
  <c r="K53" i="6"/>
  <c r="K68" i="6"/>
  <c r="K71" i="6"/>
  <c r="K82" i="6"/>
  <c r="K91" i="6"/>
  <c r="K111" i="6"/>
  <c r="R111" i="6" s="1"/>
  <c r="K117" i="6"/>
  <c r="K125" i="6"/>
  <c r="R125" i="6" s="1"/>
  <c r="K140" i="6"/>
  <c r="K143" i="6"/>
  <c r="K154" i="6"/>
  <c r="K163" i="6"/>
  <c r="K183" i="6"/>
  <c r="R183" i="6" s="1"/>
  <c r="K16" i="6"/>
  <c r="K88" i="6"/>
  <c r="K160" i="6"/>
  <c r="K10" i="6"/>
  <c r="F172" i="6"/>
  <c r="F184" i="6"/>
  <c r="F110" i="6"/>
  <c r="F122" i="6"/>
  <c r="K22" i="6"/>
  <c r="K51" i="6"/>
  <c r="K65" i="6"/>
  <c r="K94" i="6"/>
  <c r="F22" i="6"/>
  <c r="F34" i="6"/>
  <c r="F58" i="6"/>
  <c r="K28" i="6"/>
  <c r="K31" i="6"/>
  <c r="R31" i="6" s="1"/>
  <c r="K100" i="6"/>
  <c r="R100" i="6" s="1"/>
  <c r="K172" i="6"/>
  <c r="K5" i="6"/>
  <c r="K34" i="6"/>
  <c r="K63" i="6"/>
  <c r="R63" i="6" s="1"/>
  <c r="K77" i="6"/>
  <c r="K106" i="6"/>
  <c r="K135" i="6"/>
  <c r="R135" i="6" s="1"/>
  <c r="K149" i="6"/>
  <c r="R149" i="6" s="1"/>
  <c r="K178" i="6"/>
  <c r="K40" i="6"/>
  <c r="K43" i="6"/>
  <c r="K112" i="6"/>
  <c r="K184" i="6"/>
  <c r="F24" i="6"/>
  <c r="F60" i="6"/>
  <c r="F72" i="6"/>
  <c r="F120" i="6"/>
  <c r="F132" i="6"/>
  <c r="K166" i="6"/>
  <c r="F18" i="6"/>
  <c r="F42" i="6"/>
  <c r="F54" i="6"/>
  <c r="F66" i="6"/>
  <c r="F78" i="6"/>
  <c r="F90" i="6"/>
  <c r="F102" i="6"/>
  <c r="F114" i="6"/>
  <c r="F126" i="6"/>
  <c r="F138" i="6"/>
  <c r="F150" i="6"/>
  <c r="F162" i="6"/>
  <c r="F186" i="6"/>
  <c r="K9" i="6"/>
  <c r="K17" i="6"/>
  <c r="K32" i="6"/>
  <c r="K35" i="6"/>
  <c r="K46" i="6"/>
  <c r="K75" i="6"/>
  <c r="R75" i="6" s="1"/>
  <c r="K81" i="6"/>
  <c r="R81" i="6" s="1"/>
  <c r="K89" i="6"/>
  <c r="R89" i="6" s="1"/>
  <c r="K104" i="6"/>
  <c r="K107" i="6"/>
  <c r="K118" i="6"/>
  <c r="K127" i="6"/>
  <c r="K147" i="6"/>
  <c r="K153" i="6"/>
  <c r="K161" i="6"/>
  <c r="K176" i="6"/>
  <c r="K179" i="6"/>
  <c r="K123" i="6"/>
  <c r="R123" i="6" s="1"/>
  <c r="F43" i="6"/>
  <c r="F163" i="6"/>
  <c r="F45" i="6"/>
  <c r="F46" i="6"/>
  <c r="F166" i="6"/>
  <c r="K38" i="6"/>
  <c r="K52" i="6"/>
  <c r="R52" i="6" s="1"/>
  <c r="K55" i="6"/>
  <c r="K61" i="6"/>
  <c r="K110" i="6"/>
  <c r="K124" i="6"/>
  <c r="K133" i="6"/>
  <c r="K182" i="6"/>
  <c r="K137" i="6"/>
  <c r="F35" i="6"/>
  <c r="K15" i="6"/>
  <c r="R15" i="6" s="1"/>
  <c r="K21" i="6"/>
  <c r="K29" i="6"/>
  <c r="K44" i="6"/>
  <c r="K47" i="6"/>
  <c r="K58" i="6"/>
  <c r="K87" i="6"/>
  <c r="K93" i="6"/>
  <c r="K101" i="6"/>
  <c r="R101" i="6" s="1"/>
  <c r="K116" i="6"/>
  <c r="K119" i="6"/>
  <c r="R119" i="6" s="1"/>
  <c r="K130" i="6"/>
  <c r="K139" i="6"/>
  <c r="R139" i="6" s="1"/>
  <c r="K159" i="6"/>
  <c r="R159" i="6" s="1"/>
  <c r="K165" i="6"/>
  <c r="K173" i="6"/>
  <c r="K3" i="6"/>
  <c r="F70" i="6"/>
  <c r="F106" i="6"/>
  <c r="F178" i="6"/>
  <c r="F47" i="6"/>
  <c r="F107" i="6"/>
  <c r="F143" i="6"/>
  <c r="F179" i="6"/>
  <c r="F12" i="6"/>
  <c r="F48" i="6"/>
  <c r="F96" i="6"/>
  <c r="F174" i="6"/>
  <c r="F67" i="6"/>
  <c r="F79" i="6"/>
  <c r="F91" i="6"/>
  <c r="F103" i="6"/>
  <c r="F115" i="6"/>
  <c r="F127" i="6"/>
  <c r="F187" i="6"/>
  <c r="F3" i="6"/>
  <c r="F134" i="6"/>
  <c r="F97" i="6"/>
  <c r="F161" i="6"/>
  <c r="F84" i="6"/>
  <c r="F180" i="6"/>
  <c r="F59" i="6"/>
  <c r="F95" i="6"/>
  <c r="F131" i="6"/>
  <c r="F11" i="6"/>
  <c r="F23" i="6"/>
  <c r="F155" i="6"/>
  <c r="F36" i="6"/>
  <c r="F168" i="6"/>
  <c r="F13" i="6"/>
  <c r="F25" i="6"/>
  <c r="F37" i="6"/>
  <c r="F49" i="6"/>
  <c r="F61" i="6"/>
  <c r="F73" i="6"/>
  <c r="F85" i="6"/>
  <c r="F133" i="6"/>
  <c r="F145" i="6"/>
  <c r="F157" i="6"/>
  <c r="F182" i="6"/>
  <c r="F121" i="6"/>
  <c r="F14" i="6"/>
  <c r="F26" i="6"/>
  <c r="F38" i="6"/>
  <c r="F50" i="6"/>
  <c r="F62" i="6"/>
  <c r="F86" i="6"/>
  <c r="F98" i="6"/>
  <c r="F146" i="6"/>
  <c r="F158" i="6"/>
  <c r="F170" i="6"/>
  <c r="F21" i="6"/>
  <c r="F177" i="6"/>
  <c r="F105" i="6"/>
  <c r="F117" i="6"/>
  <c r="F129" i="6"/>
  <c r="F141" i="6"/>
  <c r="F10" i="6"/>
  <c r="F118" i="6"/>
  <c r="F130" i="6"/>
  <c r="F142" i="6"/>
  <c r="F154" i="6"/>
  <c r="F33" i="6"/>
  <c r="F57" i="6"/>
  <c r="F69" i="6"/>
  <c r="F153" i="6"/>
  <c r="F165" i="6"/>
  <c r="F8" i="6"/>
  <c r="F20" i="6"/>
  <c r="F32" i="6"/>
  <c r="F44" i="6"/>
  <c r="F56" i="6"/>
  <c r="F68" i="6"/>
  <c r="F80" i="6"/>
  <c r="F92" i="6"/>
  <c r="F104" i="6"/>
  <c r="F116" i="6"/>
  <c r="F128" i="6"/>
  <c r="F140" i="6"/>
  <c r="F152" i="6"/>
  <c r="F164" i="6"/>
  <c r="F176" i="6"/>
  <c r="F9" i="6"/>
  <c r="F93" i="6"/>
  <c r="F156" i="6"/>
  <c r="F6" i="6"/>
  <c r="F7" i="6"/>
  <c r="F94" i="6"/>
  <c r="F169" i="6"/>
  <c r="F4" i="6"/>
  <c r="F5" i="6"/>
  <c r="R158" i="6" l="1"/>
  <c r="P158" i="6"/>
  <c r="R66" i="6"/>
  <c r="R181" i="6"/>
  <c r="P181" i="6"/>
  <c r="P342" i="6"/>
  <c r="P353" i="6"/>
  <c r="R164" i="6"/>
  <c r="P121" i="6"/>
  <c r="R20" i="6"/>
  <c r="P20" i="6"/>
  <c r="P142" i="6"/>
  <c r="P177" i="6"/>
  <c r="P133" i="6"/>
  <c r="R168" i="6"/>
  <c r="R180" i="6"/>
  <c r="R115" i="6"/>
  <c r="P12" i="6"/>
  <c r="K363" i="6"/>
  <c r="R55" i="6"/>
  <c r="R102" i="6"/>
  <c r="R132" i="6"/>
  <c r="R40" i="6"/>
  <c r="R74" i="6"/>
  <c r="R64" i="6"/>
  <c r="P183" i="6"/>
  <c r="P192" i="6"/>
  <c r="R293" i="6"/>
  <c r="P326" i="6"/>
  <c r="R234" i="6"/>
  <c r="R194" i="6"/>
  <c r="R311" i="6"/>
  <c r="R349" i="6"/>
  <c r="P257" i="6"/>
  <c r="P314" i="6"/>
  <c r="P300" i="6"/>
  <c r="P199" i="6"/>
  <c r="R328" i="6"/>
  <c r="R314" i="6"/>
  <c r="P275" i="6"/>
  <c r="P253" i="6"/>
  <c r="R353" i="6"/>
  <c r="R294" i="6"/>
  <c r="P232" i="6"/>
  <c r="R283" i="6"/>
  <c r="P230" i="6"/>
  <c r="R80" i="6"/>
  <c r="P80" i="6"/>
  <c r="R8" i="6"/>
  <c r="P21" i="6"/>
  <c r="R84" i="6"/>
  <c r="P103" i="6"/>
  <c r="R90" i="6"/>
  <c r="P120" i="6"/>
  <c r="R175" i="6"/>
  <c r="P119" i="6"/>
  <c r="R213" i="6"/>
  <c r="P319" i="6"/>
  <c r="P233" i="6"/>
  <c r="R287" i="6"/>
  <c r="R221" i="6"/>
  <c r="P290" i="6"/>
  <c r="P190" i="6"/>
  <c r="R318" i="6"/>
  <c r="P267" i="6"/>
  <c r="P307" i="6"/>
  <c r="R332" i="6"/>
  <c r="R290" i="6"/>
  <c r="R199" i="6"/>
  <c r="P5" i="6"/>
  <c r="P9" i="6"/>
  <c r="R155" i="6"/>
  <c r="P143" i="6"/>
  <c r="R186" i="6"/>
  <c r="R78" i="6"/>
  <c r="R51" i="6"/>
  <c r="R148" i="6"/>
  <c r="P151" i="6"/>
  <c r="P159" i="6"/>
  <c r="P63" i="6"/>
  <c r="R317" i="6"/>
  <c r="P278" i="6"/>
  <c r="P188" i="6"/>
  <c r="P269" i="6"/>
  <c r="P260" i="6"/>
  <c r="R188" i="6"/>
  <c r="R308" i="6"/>
  <c r="P268" i="6"/>
  <c r="P266" i="6"/>
  <c r="P254" i="6"/>
  <c r="P250" i="6"/>
  <c r="P329" i="6"/>
  <c r="R288" i="6"/>
  <c r="R265" i="6"/>
  <c r="R345" i="6"/>
  <c r="P274" i="6"/>
  <c r="R354" i="6"/>
  <c r="R331" i="6"/>
  <c r="P162" i="6"/>
  <c r="P200" i="6"/>
  <c r="R312" i="6"/>
  <c r="P196" i="6"/>
  <c r="P68" i="6"/>
  <c r="R150" i="6"/>
  <c r="P150" i="6"/>
  <c r="P24" i="6"/>
  <c r="R109" i="6"/>
  <c r="R83" i="6"/>
  <c r="P125" i="6"/>
  <c r="R19" i="6"/>
  <c r="P82" i="6"/>
  <c r="R302" i="6"/>
  <c r="R239" i="6"/>
  <c r="R341" i="6"/>
  <c r="R263" i="6"/>
  <c r="R264" i="6"/>
  <c r="R237" i="6"/>
  <c r="R192" i="6"/>
  <c r="R301" i="6"/>
  <c r="R218" i="6"/>
  <c r="R209" i="6"/>
  <c r="P306" i="6"/>
  <c r="P303" i="6"/>
  <c r="R270" i="6"/>
  <c r="R231" i="6"/>
  <c r="R360" i="6"/>
  <c r="P246" i="6"/>
  <c r="P316" i="6"/>
  <c r="P207" i="6"/>
  <c r="R276" i="6"/>
  <c r="R269" i="6"/>
  <c r="P176" i="6"/>
  <c r="R342" i="6"/>
  <c r="R146" i="6"/>
  <c r="P146" i="6"/>
  <c r="P47" i="6"/>
  <c r="R57" i="6"/>
  <c r="P110" i="6"/>
  <c r="P30" i="6"/>
  <c r="P27" i="6"/>
  <c r="P209" i="6"/>
  <c r="R200" i="6"/>
  <c r="P249" i="6"/>
  <c r="P293" i="6"/>
  <c r="R215" i="6"/>
  <c r="R248" i="6"/>
  <c r="P299" i="6"/>
  <c r="R267" i="6"/>
  <c r="R251" i="6"/>
  <c r="R244" i="6"/>
  <c r="R348" i="6"/>
  <c r="P281" i="6"/>
  <c r="P272" i="6"/>
  <c r="P256" i="6"/>
  <c r="R361" i="6"/>
  <c r="R336" i="6"/>
  <c r="R329" i="6"/>
  <c r="R220" i="6"/>
  <c r="P14" i="6"/>
  <c r="R60" i="6"/>
  <c r="P60" i="6"/>
  <c r="R174" i="6"/>
  <c r="P174" i="6"/>
  <c r="R110" i="6"/>
  <c r="R112" i="6"/>
  <c r="P111" i="6"/>
  <c r="R296" i="6"/>
  <c r="R243" i="6"/>
  <c r="R198" i="6"/>
  <c r="R359" i="6"/>
  <c r="R228" i="6"/>
  <c r="R277" i="6"/>
  <c r="P231" i="6"/>
  <c r="R261" i="6"/>
  <c r="P208" i="6"/>
  <c r="R241" i="6"/>
  <c r="P285" i="6"/>
  <c r="P344" i="6"/>
  <c r="R356" i="6"/>
  <c r="P321" i="6"/>
  <c r="P202" i="6"/>
  <c r="P313" i="6"/>
  <c r="R247" i="6"/>
  <c r="R217" i="6"/>
  <c r="P312" i="6"/>
  <c r="P317" i="6"/>
  <c r="P296" i="6"/>
  <c r="R169" i="6"/>
  <c r="R141" i="6"/>
  <c r="P141" i="6"/>
  <c r="R49" i="6"/>
  <c r="R152" i="6"/>
  <c r="R37" i="6"/>
  <c r="F363" i="6"/>
  <c r="R147" i="6"/>
  <c r="P138" i="6"/>
  <c r="P58" i="6"/>
  <c r="R95" i="6"/>
  <c r="R187" i="6"/>
  <c r="P187" i="6"/>
  <c r="P96" i="6"/>
  <c r="R126" i="6"/>
  <c r="P100" i="6"/>
  <c r="R6" i="6"/>
  <c r="P6" i="6"/>
  <c r="R62" i="6"/>
  <c r="P62" i="6"/>
  <c r="P145" i="6"/>
  <c r="P59" i="6"/>
  <c r="P70" i="6"/>
  <c r="P172" i="6"/>
  <c r="R171" i="6"/>
  <c r="P89" i="6"/>
  <c r="P88" i="6"/>
  <c r="R76" i="6"/>
  <c r="P108" i="6"/>
  <c r="R343" i="6"/>
  <c r="R196" i="6"/>
  <c r="P99" i="6"/>
  <c r="R236" i="6"/>
  <c r="R327" i="6"/>
  <c r="R335" i="6"/>
  <c r="R208" i="6"/>
  <c r="R258" i="6"/>
  <c r="R225" i="6"/>
  <c r="P305" i="6"/>
  <c r="P297" i="6"/>
  <c r="R260" i="6"/>
  <c r="P345" i="6"/>
  <c r="P276" i="6"/>
  <c r="R355" i="6"/>
  <c r="P320" i="6"/>
  <c r="R284" i="6"/>
  <c r="R338" i="6"/>
  <c r="P291" i="6"/>
  <c r="R211" i="6"/>
  <c r="R173" i="6"/>
  <c r="R17" i="6"/>
  <c r="R29" i="6"/>
  <c r="R69" i="6"/>
  <c r="R97" i="6"/>
  <c r="R71" i="6"/>
  <c r="R170" i="6"/>
  <c r="R85" i="6"/>
  <c r="R72" i="6"/>
  <c r="R113" i="6"/>
  <c r="R114" i="6"/>
  <c r="R136" i="6"/>
  <c r="R25" i="6"/>
  <c r="R156" i="6"/>
  <c r="R30" i="6"/>
  <c r="R86" i="6"/>
  <c r="R103" i="6"/>
  <c r="R99" i="6"/>
  <c r="R87" i="6"/>
  <c r="R184" i="6"/>
  <c r="R172" i="6"/>
  <c r="R134" i="6"/>
  <c r="R12" i="6"/>
  <c r="R162" i="6"/>
  <c r="R36" i="6"/>
  <c r="R79" i="6"/>
  <c r="R41" i="6"/>
  <c r="R73" i="6"/>
  <c r="R26" i="6"/>
  <c r="R54" i="6"/>
  <c r="R23" i="6"/>
  <c r="R98" i="6"/>
  <c r="R11" i="6"/>
  <c r="R67" i="6"/>
  <c r="R92" i="6"/>
  <c r="R124" i="6"/>
  <c r="R24" i="6"/>
  <c r="R14" i="6"/>
  <c r="R96" i="6"/>
  <c r="R165" i="6"/>
  <c r="R38" i="6"/>
  <c r="R42" i="6"/>
  <c r="R167" i="6"/>
  <c r="R121" i="6"/>
  <c r="R13" i="6"/>
  <c r="R48" i="6"/>
  <c r="R18" i="6"/>
  <c r="R82" i="6"/>
  <c r="R144" i="6"/>
  <c r="R5" i="6"/>
  <c r="R50" i="6"/>
  <c r="R140" i="6"/>
  <c r="R70" i="6"/>
  <c r="R129" i="6"/>
  <c r="R117" i="6"/>
  <c r="R185" i="6"/>
  <c r="R28" i="6"/>
  <c r="R9" i="6"/>
  <c r="R178" i="6"/>
  <c r="R91" i="6"/>
  <c r="R21" i="6"/>
  <c r="R127" i="6"/>
  <c r="R160" i="6"/>
  <c r="R118" i="6"/>
  <c r="R88" i="6"/>
  <c r="R142" i="6"/>
  <c r="R7" i="6"/>
  <c r="R107" i="6"/>
  <c r="R16" i="6"/>
  <c r="R68" i="6"/>
  <c r="R131" i="6"/>
  <c r="R145" i="6"/>
  <c r="R130" i="6"/>
  <c r="R106" i="6"/>
  <c r="R157" i="6"/>
  <c r="R137" i="6"/>
  <c r="R138" i="6"/>
  <c r="R120" i="6"/>
  <c r="R77" i="6"/>
  <c r="R65" i="6"/>
  <c r="R53" i="6"/>
  <c r="R122" i="6"/>
  <c r="R128" i="6"/>
  <c r="R116" i="6"/>
  <c r="R163" i="6"/>
  <c r="R45" i="6"/>
  <c r="R34" i="6"/>
  <c r="R105" i="6"/>
  <c r="R133" i="6"/>
  <c r="R22" i="6"/>
  <c r="R143" i="6"/>
  <c r="R179" i="6"/>
  <c r="R104" i="6"/>
  <c r="R94" i="6"/>
  <c r="R182" i="6"/>
  <c r="R154" i="6"/>
  <c r="R93" i="6"/>
  <c r="R46" i="6"/>
  <c r="R4" i="6"/>
  <c r="R58" i="6"/>
  <c r="R61" i="6"/>
  <c r="R176" i="6"/>
  <c r="R35" i="6"/>
  <c r="R59" i="6"/>
  <c r="R3" i="6"/>
  <c r="R47" i="6"/>
  <c r="R161" i="6"/>
  <c r="R32" i="6"/>
  <c r="R43" i="6"/>
  <c r="R56" i="6"/>
  <c r="R44" i="6"/>
  <c r="R153" i="6"/>
  <c r="R10" i="6"/>
  <c r="R177" i="6"/>
  <c r="R166" i="6"/>
  <c r="R33" i="6"/>
  <c r="P352" i="6" l="1"/>
  <c r="P350" i="6"/>
  <c r="P18" i="6"/>
  <c r="P31" i="6"/>
  <c r="P355" i="6"/>
  <c r="P210" i="6"/>
  <c r="P134" i="6"/>
  <c r="P218" i="6"/>
  <c r="P286" i="6"/>
  <c r="P195" i="6"/>
  <c r="P17" i="6"/>
  <c r="P57" i="6"/>
  <c r="P189" i="6"/>
  <c r="P324" i="6"/>
  <c r="P248" i="6"/>
  <c r="P19" i="6"/>
  <c r="P11" i="6"/>
  <c r="P37" i="6"/>
  <c r="P4" i="6"/>
  <c r="P334" i="6"/>
  <c r="P239" i="6"/>
  <c r="P270" i="6"/>
  <c r="P129" i="6"/>
  <c r="P323" i="6"/>
  <c r="P336" i="6"/>
  <c r="P16" i="6"/>
  <c r="P213" i="6"/>
  <c r="P147" i="6"/>
  <c r="P289" i="6"/>
  <c r="P292" i="6"/>
  <c r="P122" i="6"/>
  <c r="P54" i="6"/>
  <c r="P46" i="6"/>
  <c r="P40" i="6"/>
  <c r="P304" i="6"/>
  <c r="P283" i="6"/>
  <c r="P22" i="6"/>
  <c r="P41" i="6"/>
  <c r="P105" i="6"/>
  <c r="P347" i="6"/>
  <c r="P263" i="6"/>
  <c r="P356" i="6"/>
  <c r="P33" i="6"/>
  <c r="P325" i="6"/>
  <c r="P48" i="6"/>
  <c r="P126" i="6"/>
  <c r="P191" i="6"/>
  <c r="P113" i="6"/>
  <c r="P135" i="6"/>
  <c r="P28" i="6"/>
  <c r="P310" i="6"/>
  <c r="P360" i="6"/>
  <c r="P184" i="6"/>
  <c r="P242" i="6"/>
  <c r="P34" i="6"/>
  <c r="P86" i="6"/>
  <c r="P107" i="6"/>
  <c r="P338" i="6"/>
  <c r="P114" i="6"/>
  <c r="P81" i="6"/>
  <c r="P163" i="6"/>
  <c r="P169" i="6"/>
  <c r="P43" i="6"/>
  <c r="P25" i="6"/>
  <c r="P67" i="6"/>
  <c r="P295" i="6"/>
  <c r="P56" i="6"/>
  <c r="P357" i="6"/>
  <c r="P340" i="6"/>
  <c r="P227" i="6"/>
  <c r="P205" i="6"/>
  <c r="P13" i="6"/>
  <c r="P32" i="6"/>
  <c r="P140" i="6"/>
  <c r="P55" i="6"/>
  <c r="P166" i="6"/>
  <c r="P61" i="6"/>
  <c r="P201" i="6"/>
  <c r="P258" i="6"/>
  <c r="P15" i="6"/>
  <c r="P198" i="6"/>
  <c r="P144" i="6"/>
  <c r="P69" i="6"/>
  <c r="P348" i="6"/>
  <c r="P112" i="6"/>
  <c r="P45" i="6"/>
  <c r="P282" i="6"/>
  <c r="P358" i="6"/>
  <c r="P29" i="6"/>
  <c r="P51" i="6"/>
  <c r="P294" i="6"/>
  <c r="P128" i="6"/>
  <c r="P95" i="6"/>
  <c r="P157" i="6"/>
  <c r="P117" i="6"/>
  <c r="P7" i="6"/>
  <c r="P42" i="6"/>
  <c r="P3" i="6"/>
  <c r="P98" i="6"/>
  <c r="P327" i="6"/>
  <c r="P279" i="6"/>
  <c r="P94" i="6"/>
  <c r="P206" i="6"/>
  <c r="P301" i="6"/>
  <c r="P123" i="6"/>
  <c r="P182" i="6"/>
  <c r="P361" i="6"/>
  <c r="P241" i="6"/>
  <c r="P351" i="6"/>
  <c r="P193" i="6"/>
  <c r="P203" i="6"/>
  <c r="P39" i="6"/>
  <c r="P109" i="6"/>
  <c r="P244" i="6"/>
  <c r="P223" i="6"/>
  <c r="P240" i="6"/>
  <c r="P333" i="6"/>
  <c r="P204" i="6"/>
  <c r="P197" i="6"/>
  <c r="P127" i="6"/>
  <c r="P154" i="6"/>
  <c r="P359" i="6"/>
  <c r="P101" i="6"/>
  <c r="P44" i="6"/>
  <c r="P178" i="6"/>
  <c r="P152" i="6"/>
  <c r="P49" i="6"/>
  <c r="P226" i="6"/>
  <c r="P252" i="6"/>
  <c r="P106" i="6"/>
  <c r="P337" i="6"/>
  <c r="P236" i="6"/>
  <c r="P271" i="6"/>
  <c r="P228" i="6"/>
  <c r="P264" i="6"/>
  <c r="P211" i="6"/>
  <c r="P131" i="6"/>
  <c r="P97" i="6"/>
  <c r="P251" i="6"/>
  <c r="P287" i="6"/>
  <c r="P124" i="6"/>
  <c r="P265" i="6"/>
  <c r="P10" i="6"/>
  <c r="P161" i="6"/>
  <c r="P225" i="6"/>
  <c r="P328" i="6"/>
  <c r="P341" i="6"/>
  <c r="P302" i="6"/>
  <c r="P75" i="6"/>
  <c r="P35" i="6"/>
  <c r="P36" i="6"/>
  <c r="P38" i="6"/>
  <c r="P104" i="6"/>
  <c r="P261" i="6"/>
  <c r="P185" i="6"/>
  <c r="P116" i="6"/>
  <c r="P217" i="6"/>
  <c r="P215" i="6"/>
  <c r="P284" i="6"/>
  <c r="P52" i="6"/>
  <c r="P78" i="6"/>
  <c r="P170" i="6"/>
  <c r="P165" i="6"/>
  <c r="P71" i="6"/>
  <c r="P79" i="6"/>
  <c r="P194" i="6"/>
  <c r="P318" i="6"/>
  <c r="P247" i="6"/>
  <c r="P160" i="6"/>
  <c r="P173" i="6"/>
  <c r="P175" i="6"/>
  <c r="P179" i="6"/>
  <c r="P280" i="6"/>
  <c r="P335" i="6"/>
  <c r="P343" i="6"/>
  <c r="P74" i="6"/>
  <c r="P354" i="6"/>
  <c r="P212" i="6"/>
  <c r="P83" i="6"/>
  <c r="P53" i="6"/>
  <c r="P73" i="6"/>
  <c r="P243" i="6"/>
  <c r="P288" i="6"/>
  <c r="P90" i="6"/>
  <c r="P84" i="6"/>
  <c r="P277" i="6"/>
  <c r="P331" i="6"/>
  <c r="P139" i="6"/>
  <c r="P102" i="6"/>
  <c r="P72" i="6"/>
  <c r="P186" i="6"/>
  <c r="P273" i="6"/>
  <c r="P237" i="6"/>
  <c r="P93" i="6"/>
  <c r="P23" i="6"/>
  <c r="P309" i="6"/>
  <c r="P229" i="6"/>
  <c r="P245" i="6"/>
  <c r="P77" i="6"/>
  <c r="P180" i="6"/>
  <c r="P216" i="6"/>
  <c r="P255" i="6"/>
  <c r="P311" i="6"/>
  <c r="P149" i="6"/>
  <c r="P155" i="6"/>
  <c r="P26" i="6"/>
  <c r="P92" i="6"/>
  <c r="P234" i="6"/>
  <c r="P153" i="6"/>
  <c r="P214" i="6"/>
  <c r="P330" i="6"/>
  <c r="P308" i="6"/>
  <c r="P87" i="6"/>
  <c r="P167" i="6"/>
  <c r="P221" i="6"/>
  <c r="P136" i="6"/>
  <c r="P171" i="6"/>
  <c r="P85" i="6"/>
  <c r="P8" i="6"/>
  <c r="P224" i="6"/>
  <c r="P219" i="6"/>
  <c r="P332" i="6"/>
  <c r="P168" i="6"/>
  <c r="P66" i="6"/>
  <c r="P148" i="6"/>
  <c r="P91" i="6"/>
  <c r="P118" i="6"/>
  <c r="P137" i="6"/>
  <c r="P220" i="6"/>
  <c r="P349" i="6"/>
  <c r="P64" i="6"/>
  <c r="P65" i="6"/>
  <c r="P130" i="6"/>
  <c r="P222" i="6"/>
  <c r="P76" i="6"/>
  <c r="P132" i="6"/>
  <c r="P115" i="6"/>
  <c r="P50" i="6"/>
  <c r="P156" i="6"/>
  <c r="P164" i="6"/>
</calcChain>
</file>

<file path=xl/sharedStrings.xml><?xml version="1.0" encoding="utf-8"?>
<sst xmlns="http://schemas.openxmlformats.org/spreadsheetml/2006/main" count="13403" uniqueCount="2280">
  <si>
    <t>January</t>
  </si>
  <si>
    <t>February</t>
  </si>
  <si>
    <t>Username</t>
  </si>
  <si>
    <t>Usage/month</t>
  </si>
  <si>
    <t>amautomation.nonsap2</t>
  </si>
  <si>
    <t>bhakti.varadkar</t>
  </si>
  <si>
    <t>helena.johnston</t>
  </si>
  <si>
    <t>palani.poojitha</t>
  </si>
  <si>
    <t>kareena.bains</t>
  </si>
  <si>
    <t>andrew.ng</t>
  </si>
  <si>
    <t>emma.elliott</t>
  </si>
  <si>
    <t>stephen.boothroyd</t>
  </si>
  <si>
    <t>jamie.yip</t>
  </si>
  <si>
    <t>arun.khuntia</t>
  </si>
  <si>
    <t>andrew.mitchell</t>
  </si>
  <si>
    <t>adam.newbould</t>
  </si>
  <si>
    <t>carlo.faggiotto</t>
  </si>
  <si>
    <t>noah.phipps</t>
  </si>
  <si>
    <t>emma.lewis</t>
  </si>
  <si>
    <t>rahida.islam</t>
  </si>
  <si>
    <t>andrew.a.barnes</t>
  </si>
  <si>
    <t>svc_ems_api</t>
  </si>
  <si>
    <t>sarah.gilligan</t>
  </si>
  <si>
    <t>samuel.sandiford</t>
  </si>
  <si>
    <t>madhu.kiran</t>
  </si>
  <si>
    <t>charlotte.beddoes</t>
  </si>
  <si>
    <t>catherine.stolton</t>
  </si>
  <si>
    <t>lucile.marteau</t>
  </si>
  <si>
    <t>gala.guillan-carball</t>
  </si>
  <si>
    <t>robert.simpson</t>
  </si>
  <si>
    <t>harry.rostron</t>
  </si>
  <si>
    <t>paul.hamilton</t>
  </si>
  <si>
    <t>ashelyn.kyne</t>
  </si>
  <si>
    <t>ashutosh.chaurasia</t>
  </si>
  <si>
    <t>andrew.p.parker</t>
  </si>
  <si>
    <t>dillon.mcgurty</t>
  </si>
  <si>
    <t>minna.tereva</t>
  </si>
  <si>
    <t>katie.oake</t>
  </si>
  <si>
    <t>naomi.petch</t>
  </si>
  <si>
    <t>satyajit.samadder</t>
  </si>
  <si>
    <t>rohit.mahale</t>
  </si>
  <si>
    <t>inna.zalmanovich</t>
  </si>
  <si>
    <t>ram.rajagopal</t>
  </si>
  <si>
    <t>anne-sophie.piggott</t>
  </si>
  <si>
    <t>anastasia.panteli</t>
  </si>
  <si>
    <t>adam.mcdonald</t>
  </si>
  <si>
    <t>calum.thomas</t>
  </si>
  <si>
    <t>deepakraj.yadav</t>
  </si>
  <si>
    <t>jyoti.gupta</t>
  </si>
  <si>
    <t>mark.carus</t>
  </si>
  <si>
    <t>nandhini.j</t>
  </si>
  <si>
    <t>ieva.gripkauskaite</t>
  </si>
  <si>
    <t>elizabeth.jamie</t>
  </si>
  <si>
    <t>carole.pavan</t>
  </si>
  <si>
    <t>morena.tondini</t>
  </si>
  <si>
    <t>jeffery.liu</t>
  </si>
  <si>
    <t>koushik.a</t>
  </si>
  <si>
    <t>alexandre.de-casson</t>
  </si>
  <si>
    <t>wagner.brandeburgo</t>
  </si>
  <si>
    <t>shailja.khandelwal</t>
  </si>
  <si>
    <t>william.newland</t>
  </si>
  <si>
    <t>david.mealing</t>
  </si>
  <si>
    <t>ewan.cook</t>
  </si>
  <si>
    <t>georgia.l.shafer</t>
  </si>
  <si>
    <t>james.youlton</t>
  </si>
  <si>
    <t>daniel.hall</t>
  </si>
  <si>
    <t>echo.pi</t>
  </si>
  <si>
    <t>monica.a.bim</t>
  </si>
  <si>
    <t>sahithi.vindhya</t>
  </si>
  <si>
    <t>scitegicadmin</t>
  </si>
  <si>
    <t>vidyalakshmi.cm</t>
  </si>
  <si>
    <t>swathi.s</t>
  </si>
  <si>
    <t>ian.stott</t>
  </si>
  <si>
    <t>amanda.lane</t>
  </si>
  <si>
    <t>tinto.alencherry</t>
  </si>
  <si>
    <t>manu.george</t>
  </si>
  <si>
    <t>louise.smith</t>
  </si>
  <si>
    <t>adrian.williams</t>
  </si>
  <si>
    <t>c.priyanka</t>
  </si>
  <si>
    <t>nivedita.patil</t>
  </si>
  <si>
    <t>vibha.s</t>
  </si>
  <si>
    <t>pintu.paul</t>
  </si>
  <si>
    <t>plp_access</t>
  </si>
  <si>
    <t>svc_plpdev</t>
  </si>
  <si>
    <t>sheena.payne</t>
  </si>
  <si>
    <t>arnold-de.graaf</t>
  </si>
  <si>
    <t>patricia.heussen</t>
  </si>
  <si>
    <t>sara.filgueira-marti</t>
  </si>
  <si>
    <t>niels-de.roo</t>
  </si>
  <si>
    <t>tjerk.bouman</t>
  </si>
  <si>
    <t>james.marshall</t>
  </si>
  <si>
    <t>hakan.cay</t>
  </si>
  <si>
    <t>teresa.loughbrough</t>
  </si>
  <si>
    <t>gerard.volante</t>
  </si>
  <si>
    <t>sebastian.mjornstedt</t>
  </si>
  <si>
    <t>khateejah.iqbal</t>
  </si>
  <si>
    <t>larissa.mortean</t>
  </si>
  <si>
    <t>melissa.tiskaya</t>
  </si>
  <si>
    <t>alois.popp</t>
  </si>
  <si>
    <t>mandie.adams</t>
  </si>
  <si>
    <t>john.hubbard</t>
  </si>
  <si>
    <t>kamile.garuolyte</t>
  </si>
  <si>
    <t>skylar.zhang</t>
  </si>
  <si>
    <t>max.molendijk</t>
  </si>
  <si>
    <t>martyn.fitzgerald</t>
  </si>
  <si>
    <t>lydia.roberts</t>
  </si>
  <si>
    <t>mirjam.sta</t>
  </si>
  <si>
    <t>nebahat.aslan</t>
  </si>
  <si>
    <t>alison.russell</t>
  </si>
  <si>
    <t>simona.de-pippo</t>
  </si>
  <si>
    <t>mousam.roy</t>
  </si>
  <si>
    <t>olaf.beers</t>
  </si>
  <si>
    <t>jasmine.to2</t>
  </si>
  <si>
    <t>stephen.holloway</t>
  </si>
  <si>
    <t>james.campey</t>
  </si>
  <si>
    <t>benjamin.moffat</t>
  </si>
  <si>
    <t>kirankumar.s</t>
  </si>
  <si>
    <t>esli.rockland</t>
  </si>
  <si>
    <t>matt.herbison</t>
  </si>
  <si>
    <t>perminder.sangha</t>
  </si>
  <si>
    <t>lorena.galluzzi</t>
  </si>
  <si>
    <t>jan-willem.sanders</t>
  </si>
  <si>
    <t>zlata.kalamoyets</t>
  </si>
  <si>
    <t>evangelos.liamas</t>
  </si>
  <si>
    <t>chiara.zaffino</t>
  </si>
  <si>
    <t>ian.hussey</t>
  </si>
  <si>
    <t>astrid.hauser</t>
  </si>
  <si>
    <t>asha.bawa</t>
  </si>
  <si>
    <t>karen.ferrier</t>
  </si>
  <si>
    <t>hans-gerd.janssen</t>
  </si>
  <si>
    <t>ozge.altun</t>
  </si>
  <si>
    <t>soumyashree.mohanty2</t>
  </si>
  <si>
    <t>aditi.banerjee</t>
  </si>
  <si>
    <t>claudia.castellanell</t>
  </si>
  <si>
    <t>pranit.burunkar</t>
  </si>
  <si>
    <t>moe.amitani</t>
  </si>
  <si>
    <t>jan.wieringa</t>
  </si>
  <si>
    <t>sanyog.mandlekar</t>
  </si>
  <si>
    <t>joseph.humphreys</t>
  </si>
  <si>
    <t>stephen.briggs</t>
  </si>
  <si>
    <t>geert-de.haas</t>
  </si>
  <si>
    <t>tugce.karaburun</t>
  </si>
  <si>
    <t>christopher.boardman</t>
  </si>
  <si>
    <t>mustapha-el.ouagmiri</t>
  </si>
  <si>
    <t>hannah.pierre-louis</t>
  </si>
  <si>
    <t>maria-cristina.dadda</t>
  </si>
  <si>
    <t>matthew.parry</t>
  </si>
  <si>
    <t>marjolein-van.ruijve</t>
  </si>
  <si>
    <t>jorien.peters</t>
  </si>
  <si>
    <t>karin.nijhof</t>
  </si>
  <si>
    <t>markus.thelosen</t>
  </si>
  <si>
    <t>lidia.traczyk</t>
  </si>
  <si>
    <t>andrew.minter</t>
  </si>
  <si>
    <t>ruud-den.adel</t>
  </si>
  <si>
    <t>carys.john</t>
  </si>
  <si>
    <t>kallum.mistry</t>
  </si>
  <si>
    <t>gianfranco.unali</t>
  </si>
  <si>
    <t>deepti.chitnis</t>
  </si>
  <si>
    <t>barry-van.zelm</t>
  </si>
  <si>
    <t>gagana.velur</t>
  </si>
  <si>
    <t>joseph.podmore</t>
  </si>
  <si>
    <t>wendy.kearney</t>
  </si>
  <si>
    <t>ellakya.prabhu</t>
  </si>
  <si>
    <t>lisa.fildes</t>
  </si>
  <si>
    <t>malgorzata.krystkowi</t>
  </si>
  <si>
    <t>benjamin.liu</t>
  </si>
  <si>
    <t>cemre.alkumru</t>
  </si>
  <si>
    <t>nao.yamazaki2</t>
  </si>
  <si>
    <t>maria-luisa.ferreyra</t>
  </si>
  <si>
    <t>miriam.polenghi</t>
  </si>
  <si>
    <t>ashley.ellison</t>
  </si>
  <si>
    <t>manske.tammes</t>
  </si>
  <si>
    <t>emma.haynes</t>
  </si>
  <si>
    <t>dennis-van-der.velde</t>
  </si>
  <si>
    <t>richard.barfoot</t>
  </si>
  <si>
    <t>yasna.tavassoli</t>
  </si>
  <si>
    <t>jason.williams</t>
  </si>
  <si>
    <t>jyotirmayee.parida</t>
  </si>
  <si>
    <t>sabrina.codazzi</t>
  </si>
  <si>
    <t>marc.woolfall</t>
  </si>
  <si>
    <t>lonneke.zuidgeest</t>
  </si>
  <si>
    <t>andrew.rose</t>
  </si>
  <si>
    <t>samantha.roberts</t>
  </si>
  <si>
    <t>carol.shek</t>
  </si>
  <si>
    <t>pearl.onyeneke</t>
  </si>
  <si>
    <t>juliana.barany</t>
  </si>
  <si>
    <t>lisa.scott</t>
  </si>
  <si>
    <t>massimiliano.trentin</t>
  </si>
  <si>
    <t>liesbeth.bouwens</t>
  </si>
  <si>
    <t>SUPERUSER</t>
  </si>
  <si>
    <t>ADMIN_ELLEN</t>
  </si>
  <si>
    <t>SYNCSERVICE</t>
  </si>
  <si>
    <t>_PP_SERVICEACCOUNT</t>
  </si>
  <si>
    <t>TERESA.LOUGHBROUGH_ADMIN</t>
  </si>
  <si>
    <t>SANGAMESH.SAJJAN_ADMIN</t>
  </si>
  <si>
    <t>GERARD.VOLANTE_ADMIN</t>
  </si>
  <si>
    <t>POORNA.TAGIRISA_ADMIN</t>
  </si>
  <si>
    <t>FARHA.SULTHANA2_ADMIN</t>
  </si>
  <si>
    <t>VEERAPRATHAPREDD.SI_ADMIN</t>
  </si>
  <si>
    <t>RAHUL.RAHUL_ADMIN</t>
  </si>
  <si>
    <t>SANGAMESH.SAJJAN2_ADMIN</t>
  </si>
  <si>
    <t>PRATIK.PHULE_ADMIN</t>
  </si>
  <si>
    <t>DEEPA.RUBINI_ADMIN</t>
  </si>
  <si>
    <t>AHALI.CHATTERJEE_ADMIN</t>
  </si>
  <si>
    <t>SOUMYASHREE.MOHANTY_ADMIN</t>
  </si>
  <si>
    <t>DEEPTI.CHITNIS_ADMIN</t>
  </si>
  <si>
    <t>CARL.GIBSON</t>
  </si>
  <si>
    <t>PAUL.CARPENTER</t>
  </si>
  <si>
    <t>STEVE.GOLDING</t>
  </si>
  <si>
    <t>ANDREW.A.BARNES</t>
  </si>
  <si>
    <t>TIM.MADDEN</t>
  </si>
  <si>
    <t>MARK.E.BAKER</t>
  </si>
  <si>
    <t>RICHARD.SKINNER</t>
  </si>
  <si>
    <t>NEREA.ORTUOSTE</t>
  </si>
  <si>
    <t>ADRIAN.WILLIAMS</t>
  </si>
  <si>
    <t>PAUL.S.STEVENSON</t>
  </si>
  <si>
    <t>DAVID.MOORFIELD</t>
  </si>
  <si>
    <t>JOANNE.O'KEEFFE</t>
  </si>
  <si>
    <t>KATHERINE.THOMPSON</t>
  </si>
  <si>
    <t>IAN.HOWELL</t>
  </si>
  <si>
    <t>SUSANNE.ROGERS</t>
  </si>
  <si>
    <t>DAVID.MEALING</t>
  </si>
  <si>
    <t>JULIE.CULLEN</t>
  </si>
  <si>
    <t>CATHERINE.STOLTON</t>
  </si>
  <si>
    <t>ROBERT.CARSWELL</t>
  </si>
  <si>
    <t>JOHN.WALSH</t>
  </si>
  <si>
    <t>PAUL.HAMILTON</t>
  </si>
  <si>
    <t>NEIL.BURNHAM</t>
  </si>
  <si>
    <t>MARC.WOOLFALL</t>
  </si>
  <si>
    <t>JULIE.X.BENNETT</t>
  </si>
  <si>
    <t>ANDREW.P.PARKER</t>
  </si>
  <si>
    <t>LISA.FILDES</t>
  </si>
  <si>
    <t>ANDREW.GREEN</t>
  </si>
  <si>
    <t>KEN.LEE</t>
  </si>
  <si>
    <t>CHRISTOPHER.BOARDMAN</t>
  </si>
  <si>
    <t>HENK.HUSKEN</t>
  </si>
  <si>
    <t>KRASSIMIR.VELIKOV</t>
  </si>
  <si>
    <t>LEONARD.FLENDRIG</t>
  </si>
  <si>
    <t>MELIANA.KO</t>
  </si>
  <si>
    <t>LIESBETH.BOUWENS</t>
  </si>
  <si>
    <t>STEPHAN.SCHUMM</t>
  </si>
  <si>
    <t>RICHARD.DRAIJER</t>
  </si>
  <si>
    <t>AART.LEERINK</t>
  </si>
  <si>
    <t>MANSKE.TAMMES</t>
  </si>
  <si>
    <t>MARJOLEIN-VAN.RUIJVE</t>
  </si>
  <si>
    <t>SHEENA.PAYNE</t>
  </si>
  <si>
    <t>MARK.FOWLER</t>
  </si>
  <si>
    <t>ELEANOR.D'AGOSTINO</t>
  </si>
  <si>
    <t>LINDA.WAINWRIGHT</t>
  </si>
  <si>
    <t>RANJIT.BHOGAL</t>
  </si>
  <si>
    <t>STORME.ILLINGWORTH</t>
  </si>
  <si>
    <t>LAURA.STAPLEY</t>
  </si>
  <si>
    <t>CHANDRASEKHAR.GHOSH</t>
  </si>
  <si>
    <t>DHANALAKSHMI.THIRUME</t>
  </si>
  <si>
    <t>CHRISTOPHER.FIDGE</t>
  </si>
  <si>
    <t>MANU.GEORGE</t>
  </si>
  <si>
    <t>VISHMAI.CHAPARA</t>
  </si>
  <si>
    <t>HELENA.JOHNSTON</t>
  </si>
  <si>
    <t>DAVID.MESSENGER</t>
  </si>
  <si>
    <t>ADAM.LIMER</t>
  </si>
  <si>
    <t>KOUSHIK.A</t>
  </si>
  <si>
    <t>PATRICK.MCGUIRE</t>
  </si>
  <si>
    <t>SOUAD.ASSIGHAOU</t>
  </si>
  <si>
    <t>CESAR.MENDOZA</t>
  </si>
  <si>
    <t>ALISON.CUMMINS</t>
  </si>
  <si>
    <t>PANCHANAN.BHUNIA</t>
  </si>
  <si>
    <t>LAUREN-URC.PAN</t>
  </si>
  <si>
    <t>A.BHATTACHARYA</t>
  </si>
  <si>
    <t>SAMEER.BARNE</t>
  </si>
  <si>
    <t>BIJAL.SHAH</t>
  </si>
  <si>
    <t>KIRANKUMAR.S</t>
  </si>
  <si>
    <t>RACHANA.SANKAR</t>
  </si>
  <si>
    <t>SUJITKUMAR.HIBARE</t>
  </si>
  <si>
    <t>TIMO.GIESBRECHT</t>
  </si>
  <si>
    <t>MARTIN.CROSSMAN</t>
  </si>
  <si>
    <t>RICHARD.BARFOOT</t>
  </si>
  <si>
    <t>SABRINA.PAES</t>
  </si>
  <si>
    <t>ADAM.JARVIS</t>
  </si>
  <si>
    <t>FEI-LING.LIM</t>
  </si>
  <si>
    <t>LUBEN.ARNAUDOV</t>
  </si>
  <si>
    <t>JAN.WIERINGA</t>
  </si>
  <si>
    <t>ANDREW.COOK</t>
  </si>
  <si>
    <t>JAMES.MERRINGTON</t>
  </si>
  <si>
    <t>PETER-DE.GROOT</t>
  </si>
  <si>
    <t>IAN.STOTT</t>
  </si>
  <si>
    <t>JON.OSLER</t>
  </si>
  <si>
    <t>LEE.BRENNAN</t>
  </si>
  <si>
    <t>MARK.LONG</t>
  </si>
  <si>
    <t>EMILY.SMITH</t>
  </si>
  <si>
    <t>PAVAN.REDDY</t>
  </si>
  <si>
    <t>PINTU.PAUL</t>
  </si>
  <si>
    <t>SUNIL.R</t>
  </si>
  <si>
    <t>SUBHAJIT.MANNA</t>
  </si>
  <si>
    <t>RAM.RAJAGOPAL</t>
  </si>
  <si>
    <t>JOHN.NIP</t>
  </si>
  <si>
    <t>ANAT.A.SHILOACH</t>
  </si>
  <si>
    <t>LOUISE.SMITH</t>
  </si>
  <si>
    <t>DORIS.JACOBS</t>
  </si>
  <si>
    <t>BOUDEWIJN.HOLLEBRAND</t>
  </si>
  <si>
    <t>NICOLE.NEUFINGERL</t>
  </si>
  <si>
    <t>ARNO.GREYLING</t>
  </si>
  <si>
    <t>WILLIAM.WILSON</t>
  </si>
  <si>
    <t>DAVID.LITTLEWOOD</t>
  </si>
  <si>
    <t>JOHN.NAUGHTON</t>
  </si>
  <si>
    <t>CHA.COLOMA-CASUGBO</t>
  </si>
  <si>
    <t>BRIAN.GROVES</t>
  </si>
  <si>
    <t>ANN.SCOTT</t>
  </si>
  <si>
    <t>CAROLE.PHILPOTTS</t>
  </si>
  <si>
    <t>ARJEN.BOT</t>
  </si>
  <si>
    <t>MICHAEL.COOKE</t>
  </si>
  <si>
    <t>NICK.AINGER</t>
  </si>
  <si>
    <t>SMITA.PUNTAMBEKAR</t>
  </si>
  <si>
    <t>KELVIN.DICKINSON</t>
  </si>
  <si>
    <t>ROBERT.RILEY</t>
  </si>
  <si>
    <t>ANDREW.AVERY</t>
  </si>
  <si>
    <t>RICHARD.EVANS</t>
  </si>
  <si>
    <t>JOANNA.DAWSON</t>
  </si>
  <si>
    <t>NEIL.FLETCHER</t>
  </si>
  <si>
    <t>LOUISE.ROBERTS</t>
  </si>
  <si>
    <t>MARTIN.CROPPER</t>
  </si>
  <si>
    <t>DANIEL.MARTINDALE</t>
  </si>
  <si>
    <t>AMANDA.GOULSBRA</t>
  </si>
  <si>
    <t>JENNY.POPLE</t>
  </si>
  <si>
    <t>ALISON.RUSSELL</t>
  </si>
  <si>
    <t>PENNY.KNIGHT</t>
  </si>
  <si>
    <t>JULIAN.BENT</t>
  </si>
  <si>
    <t>DAVID.GUNN</t>
  </si>
  <si>
    <t>SUZI.ADAMS</t>
  </si>
  <si>
    <t>JOHAN.SCHILT</t>
  </si>
  <si>
    <t>TERESA.LOUGHBROUGH</t>
  </si>
  <si>
    <t>EMMA.LEWIS</t>
  </si>
  <si>
    <t>NICHOLAS.WEBB</t>
  </si>
  <si>
    <t>JOANNE.MCALINDEN</t>
  </si>
  <si>
    <t>DONNY.MERKX</t>
  </si>
  <si>
    <t>ARTHIKA.BAPPAL</t>
  </si>
  <si>
    <t>JULIUS-DE.FOLTER</t>
  </si>
  <si>
    <t>MARIAN.GUELAKIS</t>
  </si>
  <si>
    <t>SOPHIE.RICHARDSON</t>
  </si>
  <si>
    <t>EMMA.ELLIOTT</t>
  </si>
  <si>
    <t>ROBERT.PERKINS</t>
  </si>
  <si>
    <t>JEREMY.SHEN</t>
  </si>
  <si>
    <t>PAULINA.SKRZESZEWSKA</t>
  </si>
  <si>
    <t>JULIEN.BOELHOUWER</t>
  </si>
  <si>
    <t>RUUD-DEN.ADEL</t>
  </si>
  <si>
    <t>EWOUD-VAN.VELZEN</t>
  </si>
  <si>
    <t>PATRICIA.HEUSSEN</t>
  </si>
  <si>
    <t>HERRALD.STEENBERGEN</t>
  </si>
  <si>
    <t>GERT-JAN.GOUDAPPEL</t>
  </si>
  <si>
    <t>JOHN-VAN.DUYNHOVEN</t>
  </si>
  <si>
    <t>LIN.FENG</t>
  </si>
  <si>
    <t>OZGUR.GUNYOL</t>
  </si>
  <si>
    <t>VARUN.EDARA</t>
  </si>
  <si>
    <t>DANIEL.PONTE</t>
  </si>
  <si>
    <t>HARVEY.BRIMELOW</t>
  </si>
  <si>
    <t>NIELS-DE.ROO</t>
  </si>
  <si>
    <t>GUOHUI.WU</t>
  </si>
  <si>
    <t>GARETH.PERRIAM</t>
  </si>
  <si>
    <t>CONGLING.QUAN</t>
  </si>
  <si>
    <t>ISABEL.MATOS</t>
  </si>
  <si>
    <t>JOSE.ROSA</t>
  </si>
  <si>
    <t>WILLIAM.LATHROP</t>
  </si>
  <si>
    <t>GEORGIA.L.SHAFER</t>
  </si>
  <si>
    <t>SALLY.WOOD</t>
  </si>
  <si>
    <t>EVELINE.PLANKEN</t>
  </si>
  <si>
    <t>JIAN-MING.LEE</t>
  </si>
  <si>
    <t>TEANOOSH.MOADDEL</t>
  </si>
  <si>
    <t>MANOJ.DAGAONKAR</t>
  </si>
  <si>
    <t>ROBERT.CORNMELL</t>
  </si>
  <si>
    <t>EMMA.WHITEHEAD</t>
  </si>
  <si>
    <t>ROBERT.MARRIOTT</t>
  </si>
  <si>
    <t>JASON.WILLIAMS</t>
  </si>
  <si>
    <t>PATRICIA.REVELL</t>
  </si>
  <si>
    <t>CHRISTIAAN.BEINDORFF</t>
  </si>
  <si>
    <t>MARCIA.KNOOP</t>
  </si>
  <si>
    <t>CHIHARU.INOUE</t>
  </si>
  <si>
    <t>HANS-GERD.JANSSEN</t>
  </si>
  <si>
    <t>RENE.DRAAISMA</t>
  </si>
  <si>
    <t>MOHAMED.CHAARA</t>
  </si>
  <si>
    <t>IVONNE-VAN-DEN.BERG</t>
  </si>
  <si>
    <t>REMCO.KOPPERT</t>
  </si>
  <si>
    <t>ALPHONS.CAMBEEN</t>
  </si>
  <si>
    <t>MONIQUE-VAN-DER.BURG</t>
  </si>
  <si>
    <t>FIRDEVS.BAS</t>
  </si>
  <si>
    <t>ALOIS.POPP</t>
  </si>
  <si>
    <t>MARK-VAN.DIJK</t>
  </si>
  <si>
    <t>ERIK-DE.VRIES</t>
  </si>
  <si>
    <t>KLAAS-JAN.ZUIDAM</t>
  </si>
  <si>
    <t>NIRMALA.NAIR</t>
  </si>
  <si>
    <t>MICHAEL.HOPTROFF</t>
  </si>
  <si>
    <t>ELAINE.XU</t>
  </si>
  <si>
    <t>MAHESHWARA.NAIK</t>
  </si>
  <si>
    <t>MINGQI.AO</t>
  </si>
  <si>
    <t>NEHA.SALGAONKAR</t>
  </si>
  <si>
    <t>RUPAK.MITRA</t>
  </si>
  <si>
    <t>RAMYA.SAMPATH</t>
  </si>
  <si>
    <t>PRATHYUSHA.MALLEMALA</t>
  </si>
  <si>
    <t>SRIKALA.KUMARAN</t>
  </si>
  <si>
    <t>GRACE.YANG</t>
  </si>
  <si>
    <t>JOHN.LIU2</t>
  </si>
  <si>
    <t>WANIRI86</t>
  </si>
  <si>
    <t>SREEJESH.KV</t>
  </si>
  <si>
    <t>MRUTHYUNJAYA.MS</t>
  </si>
  <si>
    <t>PRAVEEN.NYALAM</t>
  </si>
  <si>
    <t>BHARAT.CHEVITI</t>
  </si>
  <si>
    <t>PRAFUL.LAHORKAR</t>
  </si>
  <si>
    <t>AYAN.SARKAR</t>
  </si>
  <si>
    <t>SOMNATH.DAS</t>
  </si>
  <si>
    <t>RAJKUMAR.RS</t>
  </si>
  <si>
    <t>RAJESH.RC</t>
  </si>
  <si>
    <t>SRILAXMI.MEDEPALLI</t>
  </si>
  <si>
    <t>SUMA.MENON</t>
  </si>
  <si>
    <t>P.BHARATH</t>
  </si>
  <si>
    <t>JAYASHREE.VADHYAR</t>
  </si>
  <si>
    <t>A.SHANTHI</t>
  </si>
  <si>
    <t>GIRISH.SG</t>
  </si>
  <si>
    <t>R.VENKATARAGHAVAN</t>
  </si>
  <si>
    <t>SATYAJIT.SAMADDER</t>
  </si>
  <si>
    <t>GEORGE.MARINOV</t>
  </si>
  <si>
    <t>PRIYANKA.SARKAR</t>
  </si>
  <si>
    <t>IVY.PAL</t>
  </si>
  <si>
    <t>NIDHI.JAGADISH</t>
  </si>
  <si>
    <t>SANDIP.PATHAK</t>
  </si>
  <si>
    <t>MINGMING.PU</t>
  </si>
  <si>
    <t>JACQUELINE.HARKEMA</t>
  </si>
  <si>
    <t>ANS.EILANDER</t>
  </si>
  <si>
    <t>RONALD.KETEL</t>
  </si>
  <si>
    <t>MARCO.KARREMAN</t>
  </si>
  <si>
    <t>CHRISTINE-VD.SWALUW</t>
  </si>
  <si>
    <t>LEO.ABRAHAMSE</t>
  </si>
  <si>
    <t>TEUN-DE.JOODE</t>
  </si>
  <si>
    <t>HANS.HOOGLAND</t>
  </si>
  <si>
    <t>LIESBETH.ZANDSTRA</t>
  </si>
  <si>
    <t>KRISHNA.MAHABIR-JAGE</t>
  </si>
  <si>
    <t>JO.JANSSEN</t>
  </si>
  <si>
    <t>JEROEN.KLOOSTER</t>
  </si>
  <si>
    <t>ANNELIES.LEUSSINK</t>
  </si>
  <si>
    <t>ANITA-VAN.DONKELAAR</t>
  </si>
  <si>
    <t>EDWIN.BERGWERFF</t>
  </si>
  <si>
    <t>MUSTAPHA-EL.OUAGMIRI</t>
  </si>
  <si>
    <t>PETER.HOOS</t>
  </si>
  <si>
    <t>ARIE.VERMAAS</t>
  </si>
  <si>
    <t>JEOFFREY.JANSEN</t>
  </si>
  <si>
    <t>KEES-VAN.MALSSEN</t>
  </si>
  <si>
    <t>JAN-WILLEM.SANDERS</t>
  </si>
  <si>
    <t>ANDREW.MAYES</t>
  </si>
  <si>
    <t>ADRIAN.M.SMITH</t>
  </si>
  <si>
    <t>MIRJAM.STA</t>
  </si>
  <si>
    <t>HANNA.POTTS</t>
  </si>
  <si>
    <t>MORRIS.WASKAR</t>
  </si>
  <si>
    <t>RODNEY.HODGE</t>
  </si>
  <si>
    <t>ANITA.DAMODARAN</t>
  </si>
  <si>
    <t>YVONNE.NOBLE</t>
  </si>
  <si>
    <t>ANDREW.ORMEROD</t>
  </si>
  <si>
    <t>JULIA.TELFORD</t>
  </si>
  <si>
    <t>PETER.SCHUETZ</t>
  </si>
  <si>
    <t>BARRY.MURPHY</t>
  </si>
  <si>
    <t>ANNE-SOPHIE.PIGGOTT</t>
  </si>
  <si>
    <t>ANNE.WANDERS</t>
  </si>
  <si>
    <t>PAUL.WHITEHEAD</t>
  </si>
  <si>
    <t>RENU.KAPOOR</t>
  </si>
  <si>
    <t>LIZZY.YIN</t>
  </si>
  <si>
    <t>BARRY-VAN.ZELM</t>
  </si>
  <si>
    <t>MARGARET.SCOTT</t>
  </si>
  <si>
    <t>PETER.WILLS</t>
  </si>
  <si>
    <t>SOPHIA.QUENBY</t>
  </si>
  <si>
    <t>MATTHEW.WRIGHT</t>
  </si>
  <si>
    <t>THOMAS.WRIGHT</t>
  </si>
  <si>
    <t>MATTHEW.PARRY</t>
  </si>
  <si>
    <t>HEATHER.COTTRELL</t>
  </si>
  <si>
    <t>XIN.YAO</t>
  </si>
  <si>
    <t>TINTO.ALENCHERRY</t>
  </si>
  <si>
    <t>VINITHA.KADAMKODE</t>
  </si>
  <si>
    <t>ZHAOWI86</t>
  </si>
  <si>
    <t>ALESSIA.ERMACORA</t>
  </si>
  <si>
    <t>VICKY.LEVINS</t>
  </si>
  <si>
    <t>HANNAH.DUFTON-KELLY</t>
  </si>
  <si>
    <t>STUART.CAMPBELL-LEE</t>
  </si>
  <si>
    <t>SAM.WINDEBANK</t>
  </si>
  <si>
    <t>RONGRONG.ZHOU</t>
  </si>
  <si>
    <t>TJERK.BOUMAN</t>
  </si>
  <si>
    <t>ZAIDA.SALAZAR</t>
  </si>
  <si>
    <t>CHAD.HERRMAN</t>
  </si>
  <si>
    <t>DANNY.MCMAHON</t>
  </si>
  <si>
    <t>PHILIPPA.SMITH2</t>
  </si>
  <si>
    <t>THOMAS.MOTHERSDALE</t>
  </si>
  <si>
    <t>GARETH.OWENS</t>
  </si>
  <si>
    <t>HANS.KROON</t>
  </si>
  <si>
    <t>AMELIE.SIMON</t>
  </si>
  <si>
    <t>XUELAN.GU</t>
  </si>
  <si>
    <t>STEPHANIE.JONES-CRAV</t>
  </si>
  <si>
    <t>GABRIELLA.FREY</t>
  </si>
  <si>
    <t>CONNOR.WALSH</t>
  </si>
  <si>
    <t>MARK.L.THOMPSON</t>
  </si>
  <si>
    <t>IOANNA.MANIATI</t>
  </si>
  <si>
    <t>JAN-WILLEM-VAN-DER.B</t>
  </si>
  <si>
    <t>GEERT-DE.HAAS</t>
  </si>
  <si>
    <t>LINDA.MESKER</t>
  </si>
  <si>
    <t>DENNIS-VAN-DER.VELDE</t>
  </si>
  <si>
    <t>ASTRID.HAUSER</t>
  </si>
  <si>
    <t>PAULA.WILCOCKS</t>
  </si>
  <si>
    <t>SOPHIE.MALCOMBER</t>
  </si>
  <si>
    <t>MARTINE-DE.FRAITURE</t>
  </si>
  <si>
    <t>SOPHIA.MOGHADAM</t>
  </si>
  <si>
    <t>KATHRYN.COEN</t>
  </si>
  <si>
    <t>EMMA.MCGRAA</t>
  </si>
  <si>
    <t>ROB.MEAD</t>
  </si>
  <si>
    <t>JUN-ON.YIP</t>
  </si>
  <si>
    <t>JENNIFER.YATES</t>
  </si>
  <si>
    <t>LUCIE.JONES</t>
  </si>
  <si>
    <t>JULIE.ROBERTS</t>
  </si>
  <si>
    <t>LONNEKE.ZUIDGEEST</t>
  </si>
  <si>
    <t>CHLOE.TAYLOR</t>
  </si>
  <si>
    <t>JAMES.YOULTON</t>
  </si>
  <si>
    <t>CAROLINE.HALL</t>
  </si>
  <si>
    <t>GARY.A.GRANT</t>
  </si>
  <si>
    <t>JANE.HOWARD</t>
  </si>
  <si>
    <t>HELEN.LYON</t>
  </si>
  <si>
    <t>NILOU.GHANNADZADEH</t>
  </si>
  <si>
    <t>HIMADRI.KUMAR</t>
  </si>
  <si>
    <t>MATTHEW.HERBISON</t>
  </si>
  <si>
    <t>MARINA.MIXTRO</t>
  </si>
  <si>
    <t>MANDIE.ADAMS</t>
  </si>
  <si>
    <t>SOPHIE.ADSHEAD</t>
  </si>
  <si>
    <t>ROBERT.WHITLOW</t>
  </si>
  <si>
    <t>RICHARD.CRAVEN</t>
  </si>
  <si>
    <t>SAYANDIP.MUKHERJEE</t>
  </si>
  <si>
    <t>JULIA.KLEINE</t>
  </si>
  <si>
    <t>TINO.RUBESA</t>
  </si>
  <si>
    <t>SAMMY.CUI</t>
  </si>
  <si>
    <t>DAVID.BELL</t>
  </si>
  <si>
    <t>NAZARETH.ABERA</t>
  </si>
  <si>
    <t>ARIE-A.KRIJGSMAN</t>
  </si>
  <si>
    <t>ERIK-DE.RUIJTER</t>
  </si>
  <si>
    <t>HONG-SH.ZHANG</t>
  </si>
  <si>
    <t>GLEB.PRIIMOV</t>
  </si>
  <si>
    <t>SIVARAMAKRISHNA.PERA</t>
  </si>
  <si>
    <t>CHARLOTTE.BLYTHE</t>
  </si>
  <si>
    <t>MARKUS.THELOSEN</t>
  </si>
  <si>
    <t>ANTOINETTE.HENSEN</t>
  </si>
  <si>
    <t>AMY.HU</t>
  </si>
  <si>
    <t>LIA.VERHOEFF</t>
  </si>
  <si>
    <t>KARIN.NIJHOF</t>
  </si>
  <si>
    <t>JANE.SHEPHERD</t>
  </si>
  <si>
    <t>RACHEL.MCWALTER</t>
  </si>
  <si>
    <t>KAREN.SUMMERTON</t>
  </si>
  <si>
    <t>LIAM.DAVIES</t>
  </si>
  <si>
    <t>ANISHA.THAKRAR</t>
  </si>
  <si>
    <t>KAREN.FERRIER</t>
  </si>
  <si>
    <t>NIVIA.LIBA</t>
  </si>
  <si>
    <t>NIDHI.KANORIA</t>
  </si>
  <si>
    <t>ANDREW.HENDERSON</t>
  </si>
  <si>
    <t>RAKESH.MHATRE</t>
  </si>
  <si>
    <t>CRAIG.LUCKWELL</t>
  </si>
  <si>
    <t>LISA.SCOTT</t>
  </si>
  <si>
    <t>DAVID.WATERS</t>
  </si>
  <si>
    <t>CEES-VAN.VLIET</t>
  </si>
  <si>
    <t>ARNOLD-DE.GRAAF</t>
  </si>
  <si>
    <t>OSCAR.DOFFERHOFF</t>
  </si>
  <si>
    <t>ASHWINI.WADE</t>
  </si>
  <si>
    <t>PAUL.DOEHREN</t>
  </si>
  <si>
    <t>KATHARINE.SMITH</t>
  </si>
  <si>
    <t>VICTORIA.TROW</t>
  </si>
  <si>
    <t>TAMMY.BASKERVILLE</t>
  </si>
  <si>
    <t>GORDON.HOUGH</t>
  </si>
  <si>
    <t>JOANNA.FELLOWS</t>
  </si>
  <si>
    <t>SHANGRILA.KUMTHEKAR</t>
  </si>
  <si>
    <t>NANCY.MOSELEY</t>
  </si>
  <si>
    <t>LUCY.BLACKFORD</t>
  </si>
  <si>
    <t>ALAN.ROWLAND</t>
  </si>
  <si>
    <t>DIANA.SILVA3</t>
  </si>
  <si>
    <t>MERION.EVANS</t>
  </si>
  <si>
    <t>SIOBHAN.MCCAULEY</t>
  </si>
  <si>
    <t>AMI.WAGLE</t>
  </si>
  <si>
    <t>MARGRET.MOOREN</t>
  </si>
  <si>
    <t>YUGANDHAR.REDDYBS</t>
  </si>
  <si>
    <t>KATHY.KELLEY</t>
  </si>
  <si>
    <t>SIMONA.DE-PIPPO</t>
  </si>
  <si>
    <t>MASSIMILIANO.TRENTIN</t>
  </si>
  <si>
    <t>LAUREN.MULARSKI</t>
  </si>
  <si>
    <t>SELEN.YOLLU</t>
  </si>
  <si>
    <t>JANICE.SILVA</t>
  </si>
  <si>
    <t>PASSAPAN.VIPAPAN</t>
  </si>
  <si>
    <t>CHRISTINA.YUSUF</t>
  </si>
  <si>
    <t>HARRY.HUDSON</t>
  </si>
  <si>
    <t>STEPHEN.HOLLOWAY</t>
  </si>
  <si>
    <t>NIGEL.CROSS</t>
  </si>
  <si>
    <t>CHRIS.PEDLEY</t>
  </si>
  <si>
    <t>KAYLA.KEMLER</t>
  </si>
  <si>
    <t>MADHAVI.CHAVAN</t>
  </si>
  <si>
    <t>ANNEMARIE.PIELAAT</t>
  </si>
  <si>
    <t>SHUBHANGI.CHAITANYA</t>
  </si>
  <si>
    <t>YOGITA.PINGLE</t>
  </si>
  <si>
    <t>CHRISTINE.BECKWITH</t>
  </si>
  <si>
    <t>SHANLING.SHI</t>
  </si>
  <si>
    <t>SUZANNE.AXE</t>
  </si>
  <si>
    <t>LIAM.RATCLIFFE</t>
  </si>
  <si>
    <t>IREM.BEKEN</t>
  </si>
  <si>
    <t>ELIZABETH.PERRY</t>
  </si>
  <si>
    <t>ALESSANDRO.BLASCO</t>
  </si>
  <si>
    <t>ROSSELLA.LA-GONA</t>
  </si>
  <si>
    <t>PAOLO.ROSSI</t>
  </si>
  <si>
    <t>MARIO.SOFFIENTINI</t>
  </si>
  <si>
    <t>ROBERTO.GUAGLIARDO</t>
  </si>
  <si>
    <t>TYLER.HOUGH</t>
  </si>
  <si>
    <t>THOMAS.LONG</t>
  </si>
  <si>
    <t>NICK.VELEZIS</t>
  </si>
  <si>
    <t>ANDREA.RUSTIONI</t>
  </si>
  <si>
    <t>ZONGXIU.WANG</t>
  </si>
  <si>
    <t>LEANNE.JENKINS2</t>
  </si>
  <si>
    <t>PIETRO.MONTANARI</t>
  </si>
  <si>
    <t>DIEGO.BRIOZZO</t>
  </si>
  <si>
    <t>STEVEN.POSPISCHIL</t>
  </si>
  <si>
    <t>ANDREW.ROSE</t>
  </si>
  <si>
    <t>JULIANA.BRAGANCA</t>
  </si>
  <si>
    <t>NING.X.GUO</t>
  </si>
  <si>
    <t>LINDA-DE.KONING</t>
  </si>
  <si>
    <t>MARTYN.FITZGERALD</t>
  </si>
  <si>
    <t>DARREN.WHEATLEY</t>
  </si>
  <si>
    <t>MAARTEN.LIESHOUT</t>
  </si>
  <si>
    <t>JAY.REYES</t>
  </si>
  <si>
    <t>KEIRON.PARRY-BROWN2</t>
  </si>
  <si>
    <t>ELAINE.DAVIES</t>
  </si>
  <si>
    <t>JOANNE.WHITEHEAD</t>
  </si>
  <si>
    <t>HASINA.RAJA</t>
  </si>
  <si>
    <t>JOANNE.THOMPSON</t>
  </si>
  <si>
    <t>CERI.EVANS</t>
  </si>
  <si>
    <t>ROBERTA.SALTELLI</t>
  </si>
  <si>
    <t>SHUBHALAXMI.THAOKAR</t>
  </si>
  <si>
    <t>PRASHANT.YADAV1</t>
  </si>
  <si>
    <t>ROSSELLA.SANARICA</t>
  </si>
  <si>
    <t>ANNAMARIA.TEDESI</t>
  </si>
  <si>
    <t>DAVIDE.FERRARI</t>
  </si>
  <si>
    <t>MARTA.ZELASCHI</t>
  </si>
  <si>
    <t>KRISTA.PEREIRA</t>
  </si>
  <si>
    <t>MASSIMO.LAUCELLO</t>
  </si>
  <si>
    <t>OLAF.BEERS</t>
  </si>
  <si>
    <t>WENDY.KEARNEY</t>
  </si>
  <si>
    <t>NATALIE.BURNS</t>
  </si>
  <si>
    <t>NICK.PAGE</t>
  </si>
  <si>
    <t>SEBASTIAN.MJORNSTEDT</t>
  </si>
  <si>
    <t>GARETH.JONES</t>
  </si>
  <si>
    <t>JILL.COWELL</t>
  </si>
  <si>
    <t>MARIA-CRISTINA.DADDA</t>
  </si>
  <si>
    <t>DENIS.GREGORY</t>
  </si>
  <si>
    <t>TSEGA.JOSEPH</t>
  </si>
  <si>
    <t>EMEL.OZEN</t>
  </si>
  <si>
    <t>AVINASH.SOEKHAI</t>
  </si>
  <si>
    <t>CATHERINE.MARK-MICHA</t>
  </si>
  <si>
    <t>TATHIANA.LORENZO</t>
  </si>
  <si>
    <t>HUI.LI</t>
  </si>
  <si>
    <t>SULEMAN.BEG</t>
  </si>
  <si>
    <t>JENNIFER.RADEBE</t>
  </si>
  <si>
    <t>MARIANNA.CASTALDO</t>
  </si>
  <si>
    <t>MONICA.A.BIM</t>
  </si>
  <si>
    <t>MARA.ABBATANGELO</t>
  </si>
  <si>
    <t>VALENTINA.LAMOLA</t>
  </si>
  <si>
    <t>LORENA.GALLUZZI</t>
  </si>
  <si>
    <t>SHARIE-ANNE.AMOROSO</t>
  </si>
  <si>
    <t>LAURIE.POINTS</t>
  </si>
  <si>
    <t>WILLIAM.NEWLAND</t>
  </si>
  <si>
    <t>LLOYD.HAMILTON</t>
  </si>
  <si>
    <t>SIMON.FRASER</t>
  </si>
  <si>
    <t>BRUCE.CASBARRO</t>
  </si>
  <si>
    <t>MICHAEL.SOARES</t>
  </si>
  <si>
    <t>ALAN.WEST</t>
  </si>
  <si>
    <t>JESUITO-RICHARDO.YOM</t>
  </si>
  <si>
    <t>STEPHEN.BRIGGS</t>
  </si>
  <si>
    <t>CHRISTOPHER.BENTLEY</t>
  </si>
  <si>
    <t>MORENA.TONDINI</t>
  </si>
  <si>
    <t>YVETTE.COWELL</t>
  </si>
  <si>
    <t>ERHAN.KUCUKKAYIKCI</t>
  </si>
  <si>
    <t>BULENT.ADA</t>
  </si>
  <si>
    <t>TADSANEE.TANGSAKUL</t>
  </si>
  <si>
    <t>OPHELIE.TORRES</t>
  </si>
  <si>
    <t>SARAWUT.THIAMSAI</t>
  </si>
  <si>
    <t>THEERARAT.SIRIRAT</t>
  </si>
  <si>
    <t>WIJITRA.NAOWAPADIWAT</t>
  </si>
  <si>
    <t>NGUYEN-HAI.DUONG</t>
  </si>
  <si>
    <t>RITA.LODOLA</t>
  </si>
  <si>
    <t>MANUELA.SCALMANI</t>
  </si>
  <si>
    <t>ALESSANDRO.ARDEMAGN2</t>
  </si>
  <si>
    <t>MARA.MORONI</t>
  </si>
  <si>
    <t>COSTANZA.GALLINARI</t>
  </si>
  <si>
    <t>SABRINA.CODAZZI</t>
  </si>
  <si>
    <t>FLAVIA.BERGAMASCHI</t>
  </si>
  <si>
    <t>JULES.ORIOU</t>
  </si>
  <si>
    <t>ANETA.STASIK</t>
  </si>
  <si>
    <t>SCOTT.ROBSON</t>
  </si>
  <si>
    <t>ROBERT.MCKEOWN</t>
  </si>
  <si>
    <t>MARIA-LUISA.FERREYRA</t>
  </si>
  <si>
    <t>BART.SLENDEBROEK</t>
  </si>
  <si>
    <t>SARAH.GILLIGAN</t>
  </si>
  <si>
    <t>CHRISTIAN.SMITH</t>
  </si>
  <si>
    <t>MAN.KHONGCHAROEN</t>
  </si>
  <si>
    <t>JANTIMA.MEEBUMROONG</t>
  </si>
  <si>
    <t>SAICHOL.MANKHETWIT</t>
  </si>
  <si>
    <t>PRATHAN.SURI</t>
  </si>
  <si>
    <t>KULTHIDA.CHALOODDONG</t>
  </si>
  <si>
    <t>MIRIAM.POLENGHI</t>
  </si>
  <si>
    <t>MARA.MAIETTI</t>
  </si>
  <si>
    <t>VALERIA.VACCHELLI</t>
  </si>
  <si>
    <t>MICHELE.STEFANONI</t>
  </si>
  <si>
    <t>JULIETTE.OLD</t>
  </si>
  <si>
    <t>JANETTE.PERRY</t>
  </si>
  <si>
    <t>KAT.BOUA</t>
  </si>
  <si>
    <t>LYNSEY.COAN</t>
  </si>
  <si>
    <t>GWEN.ALVAR</t>
  </si>
  <si>
    <t>JANA.GUELZOW</t>
  </si>
  <si>
    <t>ADAM.SOBEL</t>
  </si>
  <si>
    <t>JEANNINE.SEYFERT</t>
  </si>
  <si>
    <t>THOMAS.FISHWICK</t>
  </si>
  <si>
    <t>HONG.GU</t>
  </si>
  <si>
    <t>ANDRE.BOTHA</t>
  </si>
  <si>
    <t>ILARIA.TOSI</t>
  </si>
  <si>
    <t>ALEXANDRE.DE-CASSON</t>
  </si>
  <si>
    <t>EMANUELA.FERRO</t>
  </si>
  <si>
    <t>SANDRO.ANNESE</t>
  </si>
  <si>
    <t>NICHOLAS.BROWNBILL</t>
  </si>
  <si>
    <t>SHANNA.CULLINANE</t>
  </si>
  <si>
    <t>ABDUL.MUHIM</t>
  </si>
  <si>
    <t>ANGELO.FARUFFINI</t>
  </si>
  <si>
    <t>PING-HUAI.KEONG</t>
  </si>
  <si>
    <t>DAVID.ALLAN</t>
  </si>
  <si>
    <t>ANGELO.PADOVANI</t>
  </si>
  <si>
    <t>KENAN.DEMIRKAYA</t>
  </si>
  <si>
    <t>CHANTANARTH.PONCHAMN</t>
  </si>
  <si>
    <t>ANDREW.DAVIS</t>
  </si>
  <si>
    <t>WORAPORN.SIRIPONG</t>
  </si>
  <si>
    <t>LEONIE.DRIES</t>
  </si>
  <si>
    <t>TRAN-TUAN.KHAI</t>
  </si>
  <si>
    <t>JAMES.COSBY</t>
  </si>
  <si>
    <t>PHAM-QUANG.VINH</t>
  </si>
  <si>
    <t>JACOB.ROWLANDS</t>
  </si>
  <si>
    <t>NEBAHAT.ASLAN</t>
  </si>
  <si>
    <t>YING-YI.LE</t>
  </si>
  <si>
    <t>LAN.ZHANG</t>
  </si>
  <si>
    <t>ANA-LAURA.FUCILE-GON</t>
  </si>
  <si>
    <t>ANNA.NEWLACZYL</t>
  </si>
  <si>
    <t>SOWMIYA.RAJAGOPALAN</t>
  </si>
  <si>
    <t>JENNY.BRADFORD</t>
  </si>
  <si>
    <t>ANGEL.RAMSAY</t>
  </si>
  <si>
    <t>OLI.MANZ</t>
  </si>
  <si>
    <t>INA.YAO</t>
  </si>
  <si>
    <t>JOOST.SMID</t>
  </si>
  <si>
    <t>TANAGOON.CONGKAEW</t>
  </si>
  <si>
    <t>WINKY.HSU</t>
  </si>
  <si>
    <t>ANDY.GRAY</t>
  </si>
  <si>
    <t>CEMRE.ALKUMRU</t>
  </si>
  <si>
    <t>SAM.CALLAGHAN</t>
  </si>
  <si>
    <t>ZULFU.ORNEK</t>
  </si>
  <si>
    <t>MARIA.LAKOTA</t>
  </si>
  <si>
    <t>EMANUELA.PREMOLI</t>
  </si>
  <si>
    <t>ROB.KALMEIJER</t>
  </si>
  <si>
    <t>MARIANNE.BALGOBIND</t>
  </si>
  <si>
    <t>KARIN.VRIESWIJK</t>
  </si>
  <si>
    <t>SUBIR.DAS</t>
  </si>
  <si>
    <t>DANIEL.HALL</t>
  </si>
  <si>
    <t>EMILY.MARQUES</t>
  </si>
  <si>
    <t>MAELYS.COURTAT2</t>
  </si>
  <si>
    <t>PAUL.WONG</t>
  </si>
  <si>
    <t>KATHERINE.CASTRO</t>
  </si>
  <si>
    <t>LUCIA.BENEDETTI</t>
  </si>
  <si>
    <t>MIKE.HOOPER</t>
  </si>
  <si>
    <t>AYUMI.KURAYA</t>
  </si>
  <si>
    <t>TAKASHI.INAMURA</t>
  </si>
  <si>
    <t>JOY.LIU</t>
  </si>
  <si>
    <t>SATORU.ASANO</t>
  </si>
  <si>
    <t>KARTIK.BHARDWAJ</t>
  </si>
  <si>
    <t>LORENA.DIPPOLITO</t>
  </si>
  <si>
    <t>PAU-WEI.YEAP</t>
  </si>
  <si>
    <t>JARUWAN.SAKTAVORNLER</t>
  </si>
  <si>
    <t>EMMY.SMEEMAN</t>
  </si>
  <si>
    <t>JEGOR.VELDT</t>
  </si>
  <si>
    <t>LORENA.OLIVEIRA</t>
  </si>
  <si>
    <t>DARREN.HARRIS</t>
  </si>
  <si>
    <t>XUEYANG.YUE</t>
  </si>
  <si>
    <t>JESSICA.MCHUGH</t>
  </si>
  <si>
    <t>XUE.XIAO</t>
  </si>
  <si>
    <t>NEIL.TAYLOR</t>
  </si>
  <si>
    <t>EMMA.WILKINSON</t>
  </si>
  <si>
    <t>JOHN.HUBBARD</t>
  </si>
  <si>
    <t>GIZEM.ESEL</t>
  </si>
  <si>
    <t>LUUK.POST</t>
  </si>
  <si>
    <t>FEDERICA.TACCHINI</t>
  </si>
  <si>
    <t>SAVINA.OMINI</t>
  </si>
  <si>
    <t>FARRAH.FARRO</t>
  </si>
  <si>
    <t>PAUL.BARRON</t>
  </si>
  <si>
    <t>SHANNON.TAYLOR2</t>
  </si>
  <si>
    <t>CAMERON.KAY2</t>
  </si>
  <si>
    <t>LUCA.PRETALI</t>
  </si>
  <si>
    <t>NNEKA.OGBENNA</t>
  </si>
  <si>
    <t>ONKAR.PRATIK</t>
  </si>
  <si>
    <t>DANIELLE.TATTERSON</t>
  </si>
  <si>
    <t>SHARD.GUICO</t>
  </si>
  <si>
    <t>DAYA.COOPUSAMY</t>
  </si>
  <si>
    <t>CRISTINA.DELFANTI</t>
  </si>
  <si>
    <t>PAMELA.ORTEGA</t>
  </si>
  <si>
    <t>SNE.MCHUNU</t>
  </si>
  <si>
    <t>MARIASSUNTA.SIMONE</t>
  </si>
  <si>
    <t>THAIS.TAFARELLO</t>
  </si>
  <si>
    <t>ALEXANDRA.COLLET</t>
  </si>
  <si>
    <t>IAN.HUSSEY</t>
  </si>
  <si>
    <t>ANTONIS.AMPATZOGLOU</t>
  </si>
  <si>
    <t>GLORIA.LIU</t>
  </si>
  <si>
    <t>NAYELI.BARRERA</t>
  </si>
  <si>
    <t>BARBARA.WESOLOWSKA</t>
  </si>
  <si>
    <t>QING.SONG</t>
  </si>
  <si>
    <t>SAMANTHA.ROBERTS</t>
  </si>
  <si>
    <t>BRAJIN.VAZQUEZ</t>
  </si>
  <si>
    <t>GOKHAN.TOPCU</t>
  </si>
  <si>
    <t>ALICE.NEWTONFENNER</t>
  </si>
  <si>
    <t>OLIVER.EVANS</t>
  </si>
  <si>
    <t>SASWATI.PUJARI</t>
  </si>
  <si>
    <t>REBECCA.DODGSON</t>
  </si>
  <si>
    <t>ESRA.ONAT</t>
  </si>
  <si>
    <t>LIDIA.TRACZYK</t>
  </si>
  <si>
    <t>ALESSANDRO.FARINA</t>
  </si>
  <si>
    <t>MARIUS.MUELLER</t>
  </si>
  <si>
    <t>SHINYA.TSUKAMOTO</t>
  </si>
  <si>
    <t>SANYA.MANKHETWIT</t>
  </si>
  <si>
    <t>RICARDO.A.MILANI</t>
  </si>
  <si>
    <t>SONA.MIHOKOVA</t>
  </si>
  <si>
    <t>NESE.IMAMOGLU</t>
  </si>
  <si>
    <t>NIKHIL.KOTHE</t>
  </si>
  <si>
    <t>AMY.YEH</t>
  </si>
  <si>
    <t>IVAN.VALCARENGHI</t>
  </si>
  <si>
    <t>ANDREW.HUTCHINSON</t>
  </si>
  <si>
    <t>NIAMH.AINSWORTH</t>
  </si>
  <si>
    <t>TORIN.DUBIEL</t>
  </si>
  <si>
    <t>MINGJUN.YUAN</t>
  </si>
  <si>
    <t>EMILY.WALLACE</t>
  </si>
  <si>
    <t>SUMAN.MAURYA</t>
  </si>
  <si>
    <t>CLAUDETTE.ALLEN</t>
  </si>
  <si>
    <t>ADITI.BANERJEE</t>
  </si>
  <si>
    <t>TAYLOR.BRADFORD</t>
  </si>
  <si>
    <t>FEDOR.VAN-DEN-BOS</t>
  </si>
  <si>
    <t>ROSE.WEN</t>
  </si>
  <si>
    <t>ORGE.KAYA</t>
  </si>
  <si>
    <t>CHIARA.ZAFFINO</t>
  </si>
  <si>
    <t>EMANUEL.SANDRINI</t>
  </si>
  <si>
    <t>CRISTINA.DEL-ROSARIO</t>
  </si>
  <si>
    <t>SANDIP.MHAPASEKAR</t>
  </si>
  <si>
    <t>SERENA.PEZZIA</t>
  </si>
  <si>
    <t>PINAR.BABAT</t>
  </si>
  <si>
    <t>ECHO-SH.YANG</t>
  </si>
  <si>
    <t>YI.YANG</t>
  </si>
  <si>
    <t>GEMMA.LEE</t>
  </si>
  <si>
    <t>RICHARD.BENTLEY</t>
  </si>
  <si>
    <t>SAM.TERRY</t>
  </si>
  <si>
    <t>GLENDA.COBO</t>
  </si>
  <si>
    <t>CHANTARAWADEE.WIWITT</t>
  </si>
  <si>
    <t>BETHANY.SMITH</t>
  </si>
  <si>
    <t>XIAOBO.LIU</t>
  </si>
  <si>
    <t>TOM.VAN-DEN-BRULE</t>
  </si>
  <si>
    <t>MARCEL.GUARDA</t>
  </si>
  <si>
    <t>THOMAS.CHALKER</t>
  </si>
  <si>
    <t>TARA.ADAMS</t>
  </si>
  <si>
    <t>JUMEL.MIAH</t>
  </si>
  <si>
    <t>ERSIN.BULU</t>
  </si>
  <si>
    <t>MANUELA.MUCCIO</t>
  </si>
  <si>
    <t>LETITIA.DOLLAMORE</t>
  </si>
  <si>
    <t>EMILY.MAXWELL</t>
  </si>
  <si>
    <t>ALISHA.SHADRACH</t>
  </si>
  <si>
    <t>RANDYCARLA.FAVIS</t>
  </si>
  <si>
    <t>ADRIANA.PICCHI</t>
  </si>
  <si>
    <t>MALGORZATA.PAWLOWSKA</t>
  </si>
  <si>
    <t>CLAIRE.QIAN</t>
  </si>
  <si>
    <t>GENEVIEVE.KUTTER</t>
  </si>
  <si>
    <t>MATTHEW.D.MCDONALD</t>
  </si>
  <si>
    <t>LEWIS.COOPER2</t>
  </si>
  <si>
    <t>PETER.SCHROOYEN</t>
  </si>
  <si>
    <t>SANJANA.JADHAV</t>
  </si>
  <si>
    <t>ANGELINA.KUIJPERS</t>
  </si>
  <si>
    <t>WING-KIE.SIU</t>
  </si>
  <si>
    <t>KARTHIKA.B.NAIR</t>
  </si>
  <si>
    <t>DION.MORAN</t>
  </si>
  <si>
    <t>ANELE.DLAMINI</t>
  </si>
  <si>
    <t>FLOOR.SCHREUDERS</t>
  </si>
  <si>
    <t>YESIM.SEVIMSOY</t>
  </si>
  <si>
    <t>KYLE.GETHINGS</t>
  </si>
  <si>
    <t>RAFFAELLA.UGGERI</t>
  </si>
  <si>
    <t>PAOLO.PANTALONE</t>
  </si>
  <si>
    <t>ROBERT.SIMPSON</t>
  </si>
  <si>
    <t>PATRICK.PAUL</t>
  </si>
  <si>
    <t>TRANG.VU</t>
  </si>
  <si>
    <t>ANDREW.A.NEAL</t>
  </si>
  <si>
    <t>SIMONE.PYLE</t>
  </si>
  <si>
    <t>SATYENDRA.SINGH</t>
  </si>
  <si>
    <t>JONNALAGADDA.SUVARDH</t>
  </si>
  <si>
    <t>SHEN-SHEN.ZHANG</t>
  </si>
  <si>
    <t>MOHAMED.MANGA</t>
  </si>
  <si>
    <t>UNAL.GUNES</t>
  </si>
  <si>
    <t>NATALIE.DAVIES</t>
  </si>
  <si>
    <t>EVA.ALMEKINDERS</t>
  </si>
  <si>
    <t>SANKET.DESAI</t>
  </si>
  <si>
    <t>JORIEN.PETERS</t>
  </si>
  <si>
    <t>GEORGIA.DUFFY</t>
  </si>
  <si>
    <t>MARK.CARUS</t>
  </si>
  <si>
    <t>EMINE.TIRYAKI</t>
  </si>
  <si>
    <t>STUART.WATSON</t>
  </si>
  <si>
    <t>EMMA.HAYNES</t>
  </si>
  <si>
    <t>LUANA.CAMPOS</t>
  </si>
  <si>
    <t>KITTIWAT.PUTANAPIBUL</t>
  </si>
  <si>
    <t>APSARA.MEEPAGE</t>
  </si>
  <si>
    <t>ELLA.GOLDING</t>
  </si>
  <si>
    <t>POOWANAT.POOCHINYA</t>
  </si>
  <si>
    <t>CIGDEM.KARAKAYA</t>
  </si>
  <si>
    <t>SINEAD.OCALLAGHAN</t>
  </si>
  <si>
    <t>SAHITI.MATTAPARTHI</t>
  </si>
  <si>
    <t>MALGORZATA.KRYSTKOWI</t>
  </si>
  <si>
    <t>SANI.HASSAN</t>
  </si>
  <si>
    <t>SARA.FILGUEIRA-MARTI</t>
  </si>
  <si>
    <t>OLIVER.EVENDEN</t>
  </si>
  <si>
    <t>MANASI.DESHMUKH</t>
  </si>
  <si>
    <t>LUISA.PEREIRA</t>
  </si>
  <si>
    <t>VALERIA.REBECCHI</t>
  </si>
  <si>
    <t>DUNCAN.FELDMAN</t>
  </si>
  <si>
    <t>PARAG.SHAH</t>
  </si>
  <si>
    <t>SUHA.JOSHI</t>
  </si>
  <si>
    <t>OLIVIA.ADAMS</t>
  </si>
  <si>
    <t>NADIA.GROSSI</t>
  </si>
  <si>
    <t>HEBE.LIU</t>
  </si>
  <si>
    <t>KISHAN.MADURAY</t>
  </si>
  <si>
    <t>JYOTHI.S</t>
  </si>
  <si>
    <t>KUNAL.PAWAR</t>
  </si>
  <si>
    <t>RAJAN.MHAMUNKAR</t>
  </si>
  <si>
    <t>AKSHATHA.N</t>
  </si>
  <si>
    <t>GIRISH.SISODIYA</t>
  </si>
  <si>
    <t>NADEEM.SHAIKH</t>
  </si>
  <si>
    <t>COURTNEY.LEIGH</t>
  </si>
  <si>
    <t>JAMES.MARSHALL</t>
  </si>
  <si>
    <t>AGUSTINA.GENTILE</t>
  </si>
  <si>
    <t>SOPHIE.GREEN</t>
  </si>
  <si>
    <t>TOM.HUGHES</t>
  </si>
  <si>
    <t>MARIANA.CORVINO</t>
  </si>
  <si>
    <t>ANDREA.JIMENEZ</t>
  </si>
  <si>
    <t>GURBET.YORGUN</t>
  </si>
  <si>
    <t>PRANAY.RATHOD</t>
  </si>
  <si>
    <t>LUYOLO.PHUTHUMA</t>
  </si>
  <si>
    <t>CLAUDIA.CREMONESI</t>
  </si>
  <si>
    <t>HOLLY.BRADSHAW</t>
  </si>
  <si>
    <t>LUCIENNE.VRIJHOEF</t>
  </si>
  <si>
    <t>EMMA.RYZY</t>
  </si>
  <si>
    <t>NAGARAJA.ACHARYAIS</t>
  </si>
  <si>
    <t>SRIPRADHA.S</t>
  </si>
  <si>
    <t>NATHALIA.HERNANDEZ</t>
  </si>
  <si>
    <t>ELDA.BAHAR</t>
  </si>
  <si>
    <t>GRZEGORZ.BEDNARSKI</t>
  </si>
  <si>
    <t>GRZEGORZ.ROGALA</t>
  </si>
  <si>
    <t>VERONICA.STRIANO</t>
  </si>
  <si>
    <t>AVIGAIL.CARANTO</t>
  </si>
  <si>
    <t>LUCY.TALBOT</t>
  </si>
  <si>
    <t>MARCEL.RIJSHOUWER</t>
  </si>
  <si>
    <t>POLLIANA.SCAFFA</t>
  </si>
  <si>
    <t>PADAMAKAR.SALUNKE</t>
  </si>
  <si>
    <t>MURAT.PURTUL</t>
  </si>
  <si>
    <t>MARGAUX.CADE</t>
  </si>
  <si>
    <t>PERMINDER.SANGHA</t>
  </si>
  <si>
    <t>KALAVATHI.R</t>
  </si>
  <si>
    <t>SANOOP.NAIR</t>
  </si>
  <si>
    <t>HIMANSHU.AKRE2</t>
  </si>
  <si>
    <t>MARISOL.SOLORIO</t>
  </si>
  <si>
    <t>NATASHA.BLAKE</t>
  </si>
  <si>
    <t>ZHAOLIANG.ZHENG</t>
  </si>
  <si>
    <t>SUDARSHANA.MUHANDIRA</t>
  </si>
  <si>
    <t>SAYALEE.BANDAGALE</t>
  </si>
  <si>
    <t>JADE.BURNS</t>
  </si>
  <si>
    <t>SILVIA.PINHEIRO</t>
  </si>
  <si>
    <t>JOSHUA.BOOTH</t>
  </si>
  <si>
    <t>RENEE.MALLICK</t>
  </si>
  <si>
    <t>REBECCA.GIBSON</t>
  </si>
  <si>
    <t>CHRISTOPHER.ELLINGFO</t>
  </si>
  <si>
    <t>AYANO.OGAWA</t>
  </si>
  <si>
    <t>CHRISTIAN.WU</t>
  </si>
  <si>
    <t>ELICIA.MCKNIGHT</t>
  </si>
  <si>
    <t>NAIARA.MARTINS</t>
  </si>
  <si>
    <t>JASON.WEI</t>
  </si>
  <si>
    <t>JENNA.DOUTHIT</t>
  </si>
  <si>
    <t>SADIYA.KHANOM</t>
  </si>
  <si>
    <t>QINGQING.LI</t>
  </si>
  <si>
    <t>ANA-PAULA.DE-ANGELIS</t>
  </si>
  <si>
    <t>HONGCHAO.PANG</t>
  </si>
  <si>
    <t>ROB.DAVIES</t>
  </si>
  <si>
    <t>ANACLAUDIA.OLAF</t>
  </si>
  <si>
    <t>MAGALI.MORALES</t>
  </si>
  <si>
    <t>RACHEL.MCDERMOTT</t>
  </si>
  <si>
    <t>BENJAMIN.LIU</t>
  </si>
  <si>
    <t>GRAHAM.BELLAMY</t>
  </si>
  <si>
    <t>MANSOOR.HUSAIN</t>
  </si>
  <si>
    <t>JYOTI.GUPTA</t>
  </si>
  <si>
    <t>JOSEPH.PODMORE</t>
  </si>
  <si>
    <t>AITRAIYEE.GUPTA</t>
  </si>
  <si>
    <t>ROBERTO.PIRONE2</t>
  </si>
  <si>
    <t>CAROL.SHEK</t>
  </si>
  <si>
    <t>MEGAN.JANKOVSKY</t>
  </si>
  <si>
    <t>EMILY.KEYES</t>
  </si>
  <si>
    <t>GIORGIA.DEPLANO</t>
  </si>
  <si>
    <t>POOJA.HULYALKAR</t>
  </si>
  <si>
    <t>EWAN.COOK</t>
  </si>
  <si>
    <t>SANJEEWA.DE-SILVA</t>
  </si>
  <si>
    <t>BRIAN.LIU</t>
  </si>
  <si>
    <t>HANNAH.PIERRE-LOUIS</t>
  </si>
  <si>
    <t>YVONNE.LIANG</t>
  </si>
  <si>
    <t>STEPHANIE.EDWARDS</t>
  </si>
  <si>
    <t>MARCO.DISTASO</t>
  </si>
  <si>
    <t>ILSE.DENEKAMP</t>
  </si>
  <si>
    <t>TAHIR.VOLKAN</t>
  </si>
  <si>
    <t>YICHEN.YU</t>
  </si>
  <si>
    <t>CHARLOTTE.BEDDOES</t>
  </si>
  <si>
    <t>MARCO.GALLI</t>
  </si>
  <si>
    <t>LAURA.LUPI</t>
  </si>
  <si>
    <t>SWATHI.S</t>
  </si>
  <si>
    <t>CASSIDY.LUCAS</t>
  </si>
  <si>
    <t>PRIYA.KORIA</t>
  </si>
  <si>
    <t>EZGI.KURU</t>
  </si>
  <si>
    <t>ESRA.ERTURK</t>
  </si>
  <si>
    <t>MARK.SMITH3</t>
  </si>
  <si>
    <t>BIRUK.URGESSA</t>
  </si>
  <si>
    <t>ROBERT.DIXON</t>
  </si>
  <si>
    <t>SANDEEP.VARMA</t>
  </si>
  <si>
    <t>ADRIAN.JERVIS</t>
  </si>
  <si>
    <t>MEGAN.GODFREY</t>
  </si>
  <si>
    <t>ROSEMARIE.DERBYSHIRE</t>
  </si>
  <si>
    <t>JENNIFER.MOSS</t>
  </si>
  <si>
    <t>RACHEL.FENWICK</t>
  </si>
  <si>
    <t>AJIT.RAWOOL</t>
  </si>
  <si>
    <t>NIMISHA.SIMON</t>
  </si>
  <si>
    <t>RAVINA.BHIVGADE</t>
  </si>
  <si>
    <t>DAMON.GREEN</t>
  </si>
  <si>
    <t>GERARD.VOLANTE</t>
  </si>
  <si>
    <t>JOE.JANKOLOVITS</t>
  </si>
  <si>
    <t>FAISAL.SHAH2</t>
  </si>
  <si>
    <t>SWAPNA.ALGIN</t>
  </si>
  <si>
    <t>RIPFUMELO-TERSHIA.MA</t>
  </si>
  <si>
    <t>PHAM-THI-NGOC.DIEP</t>
  </si>
  <si>
    <t>LAXMIKANT.JODAVE</t>
  </si>
  <si>
    <t>FERNANDA.GERALDI</t>
  </si>
  <si>
    <t>PRIYANKA.SINGH3</t>
  </si>
  <si>
    <t>ISHITA.DAS</t>
  </si>
  <si>
    <t>NAMISHA.MOHAPATRA</t>
  </si>
  <si>
    <t>KATARZYNA.FIGLAK</t>
  </si>
  <si>
    <t>CAROLE.PAVAN</t>
  </si>
  <si>
    <t>BARRY.ONEILL</t>
  </si>
  <si>
    <t>NATHAN.ARUMUGAM</t>
  </si>
  <si>
    <t>KHAING-PWINT.PHYU</t>
  </si>
  <si>
    <t>ASHA.BAWA</t>
  </si>
  <si>
    <t>FARAZ.AHMED</t>
  </si>
  <si>
    <t>CAITLIN.PRETORIUS</t>
  </si>
  <si>
    <t>KELLY.YORKE</t>
  </si>
  <si>
    <t>ARVIND.BHURE</t>
  </si>
  <si>
    <t>DAVID.BROSSAULT</t>
  </si>
  <si>
    <t>ARUN.KHUNTIA</t>
  </si>
  <si>
    <t>SAMEERA.KULKARNI</t>
  </si>
  <si>
    <t>LOUISE.STUART</t>
  </si>
  <si>
    <t>REBECCA.METCALFE</t>
  </si>
  <si>
    <t>VALENTINA.ABET</t>
  </si>
  <si>
    <t>JUSTINE.RYAN</t>
  </si>
  <si>
    <t>VANESSA.HUGHES</t>
  </si>
  <si>
    <t>JAMPANI.RAVI</t>
  </si>
  <si>
    <t>SAHARSH.SINGHAL</t>
  </si>
  <si>
    <t>FRANCESCA.FIORELLINO</t>
  </si>
  <si>
    <t>ADAM.CORBETT</t>
  </si>
  <si>
    <t>VICTORIA.CROMWELL</t>
  </si>
  <si>
    <t>LIAM.JOHNSTON</t>
  </si>
  <si>
    <t>KANE.HEARD</t>
  </si>
  <si>
    <t>VASUDEVAN.LAKSHMINAR</t>
  </si>
  <si>
    <t>LIAM.COX</t>
  </si>
  <si>
    <t>LOUISE.SHIPLEY</t>
  </si>
  <si>
    <t>BHUVANA.BAGAVATHI</t>
  </si>
  <si>
    <t>DANAI.TZIOURI</t>
  </si>
  <si>
    <t>DIONYSSIS.SOURLAS</t>
  </si>
  <si>
    <t>ANDREW.MINTER</t>
  </si>
  <si>
    <t>ANNA.TONGCO</t>
  </si>
  <si>
    <t>MEGAN.THORN</t>
  </si>
  <si>
    <t>PAULAN.POLET</t>
  </si>
  <si>
    <t>NAYOON.KIM</t>
  </si>
  <si>
    <t>AMIR.SHEIKH</t>
  </si>
  <si>
    <t>AHALI.CHATTERJEE</t>
  </si>
  <si>
    <t>JAVIER.APONTE</t>
  </si>
  <si>
    <t>UPASANA.MAYEKAR</t>
  </si>
  <si>
    <t>VICENTI.DALMAZZO</t>
  </si>
  <si>
    <t>FERRAN.MELERO-ROBLES</t>
  </si>
  <si>
    <t>MPUMELELO.BHENGU</t>
  </si>
  <si>
    <t>ASHWINI.SAWANT2</t>
  </si>
  <si>
    <t>ASANDA.ZIWANE</t>
  </si>
  <si>
    <t>VALENTINA.LOZANO</t>
  </si>
  <si>
    <t>BINNIAN.WEI</t>
  </si>
  <si>
    <t>CARYS.JOHN</t>
  </si>
  <si>
    <t>NISITA.RATNASARI</t>
  </si>
  <si>
    <t>NONTUTHUKO.SELEPE</t>
  </si>
  <si>
    <t>JAVIER.VASQUEZ</t>
  </si>
  <si>
    <t>PATTARAPORN.WEERAVAI</t>
  </si>
  <si>
    <t>AISHWARYA.KHOBRAGADE</t>
  </si>
  <si>
    <t>MOLLIE.CYR</t>
  </si>
  <si>
    <t>ANDREA.VINNARASI</t>
  </si>
  <si>
    <t>MAY.AWAD</t>
  </si>
  <si>
    <t>ANDREW.SAUNDERS</t>
  </si>
  <si>
    <t>SHRIYASH.RANGANEKAR</t>
  </si>
  <si>
    <t>GABRIELLI.SEROTINI</t>
  </si>
  <si>
    <t>KELLY.MILLEN</t>
  </si>
  <si>
    <t>NATELIE.CHUAH</t>
  </si>
  <si>
    <t>JAKE.JENNINGS</t>
  </si>
  <si>
    <t>AMAAN.CHOWDHURY</t>
  </si>
  <si>
    <t>EMILIA.DUTA</t>
  </si>
  <si>
    <t>RAHUL.BACHPALLE</t>
  </si>
  <si>
    <t>TYLER.FERLAND</t>
  </si>
  <si>
    <t>CHRISTINE.JUSINO</t>
  </si>
  <si>
    <t>CEVHER.YILDIZ</t>
  </si>
  <si>
    <t>AURELIA-KARTIKA.DHAR</t>
  </si>
  <si>
    <t>ROSIE.BARNES</t>
  </si>
  <si>
    <t>ALEX.ZALAF</t>
  </si>
  <si>
    <t>SAIRAH.AFZAL</t>
  </si>
  <si>
    <t>ALEXANDRA.SOTIRIOU</t>
  </si>
  <si>
    <t>LARISSA.MORTEAN</t>
  </si>
  <si>
    <t>HANA.KOLIKKAL</t>
  </si>
  <si>
    <t>BATUHAN.ALTINTAS</t>
  </si>
  <si>
    <t>VALERIA.PROBOSTE</t>
  </si>
  <si>
    <t>JAYAKRISHNAN.P</t>
  </si>
  <si>
    <t>SELEN.VATANSEVER</t>
  </si>
  <si>
    <t>ALINA.FURNITUREWALLA</t>
  </si>
  <si>
    <t>AUGUSTO.EBAINETTI</t>
  </si>
  <si>
    <t>JORIE.VAN-ZANTEN-VLE</t>
  </si>
  <si>
    <t>EMMA.SIMPSON</t>
  </si>
  <si>
    <t>C.PRIYANKA</t>
  </si>
  <si>
    <t>LILIANE.ACCORSI</t>
  </si>
  <si>
    <t>TRAN-THIEN.NHAN</t>
  </si>
  <si>
    <t>JULIE.KIRKWOOD</t>
  </si>
  <si>
    <t>MIRA.THEUNISSEN</t>
  </si>
  <si>
    <t>SAMIR.CHANDANSHIVE</t>
  </si>
  <si>
    <t>OZGE.ALTUN</t>
  </si>
  <si>
    <t>ELIZABETH.JAMIE</t>
  </si>
  <si>
    <t>JING.LIN</t>
  </si>
  <si>
    <t>EMMELINE.KAISER</t>
  </si>
  <si>
    <t>ISABELLA.SONG</t>
  </si>
  <si>
    <t>JO.SAKELLARI</t>
  </si>
  <si>
    <t>STEFANIE.WEAVER</t>
  </si>
  <si>
    <t>SOUPARNA.DIKSHIT</t>
  </si>
  <si>
    <t>DOMINIQUE.INGRAM</t>
  </si>
  <si>
    <t>SINEM.KURTULUS</t>
  </si>
  <si>
    <t>SUZANNE.BARR</t>
  </si>
  <si>
    <t>ASHLEY.ELLISON</t>
  </si>
  <si>
    <t>QIMING.GUO</t>
  </si>
  <si>
    <t>SHRINIVAS.VENKATARAM</t>
  </si>
  <si>
    <t>BASTIAAN.VAN-DAM</t>
  </si>
  <si>
    <t>RENATA.BRUGLIATO</t>
  </si>
  <si>
    <t>HELEN.GONG</t>
  </si>
  <si>
    <t>JOHN.ZHANG3</t>
  </si>
  <si>
    <t>JOSH.DAVIES</t>
  </si>
  <si>
    <t>ANIL.KUMAR7</t>
  </si>
  <si>
    <t>LACIN.OZEKENCI</t>
  </si>
  <si>
    <t>ANANDH.P</t>
  </si>
  <si>
    <t>MARIA-MAGDALENA.AMOR</t>
  </si>
  <si>
    <t>BENJAMIN.MOFFAT</t>
  </si>
  <si>
    <t>CARLO.SUGABO2</t>
  </si>
  <si>
    <t>RAGHUL.KUMAR</t>
  </si>
  <si>
    <t>DAISY.SAMS</t>
  </si>
  <si>
    <t>IVY.YI</t>
  </si>
  <si>
    <t>JULIA.WHARTON</t>
  </si>
  <si>
    <t>SANJANA.SRIDHAR</t>
  </si>
  <si>
    <t>VAIBHAV.SHAH</t>
  </si>
  <si>
    <t>EKIN.ERSOY</t>
  </si>
  <si>
    <t>KANJANA.PHATTARASAKU</t>
  </si>
  <si>
    <t>ADITYA.SAHA</t>
  </si>
  <si>
    <t>MIKYO.KIM</t>
  </si>
  <si>
    <t>ANESTIS.KASTRINAKIS</t>
  </si>
  <si>
    <t>MINNA.TEREVA</t>
  </si>
  <si>
    <t>KATIE.OAKE</t>
  </si>
  <si>
    <t>ISAO.TANAKA</t>
  </si>
  <si>
    <t>CRISTIANA.DE-MATOS</t>
  </si>
  <si>
    <t>MYA.BOLA</t>
  </si>
  <si>
    <t>SANYOG.MANDLEKAR</t>
  </si>
  <si>
    <t>LERATO.MOSS</t>
  </si>
  <si>
    <t>CAITLIN.CONNOR</t>
  </si>
  <si>
    <t>NATALIA.WOLFE</t>
  </si>
  <si>
    <t>AMANDA.LEITE</t>
  </si>
  <si>
    <t>ELOY.TESTERINK</t>
  </si>
  <si>
    <t>HONG-EUN.CHOI</t>
  </si>
  <si>
    <t>JACHYM.JARKULISCH</t>
  </si>
  <si>
    <t>MURILO.SANTOS</t>
  </si>
  <si>
    <t>LORENA.MIRANDA</t>
  </si>
  <si>
    <t>ANJALI.DIGAL</t>
  </si>
  <si>
    <t>SHEETAL.PARCHA</t>
  </si>
  <si>
    <t>JAMES.CAMPEY</t>
  </si>
  <si>
    <t>JOSINE.NOHLMANS</t>
  </si>
  <si>
    <t>ANNIE.KEARY</t>
  </si>
  <si>
    <t>KAROLINA.FOX</t>
  </si>
  <si>
    <t>MIRIAM.HARES</t>
  </si>
  <si>
    <t>ANIMESH.MALAKAR</t>
  </si>
  <si>
    <t>ANUSHA.PRIYA</t>
  </si>
  <si>
    <t>TANISHA.DUTTA</t>
  </si>
  <si>
    <t>JOHN.AGBIKE</t>
  </si>
  <si>
    <t>THIRUGNANAM.SARAVANA</t>
  </si>
  <si>
    <t>ANIRUDH.MONGA</t>
  </si>
  <si>
    <t>KIERSTYN.HARRIS</t>
  </si>
  <si>
    <t>KIMCHHAY.LAO</t>
  </si>
  <si>
    <t>DIANA.CHEN</t>
  </si>
  <si>
    <t>HOLLY.BIBBY</t>
  </si>
  <si>
    <t>ALESSANDRA.CASTAGNA</t>
  </si>
  <si>
    <t>SAURABH.MATHUR</t>
  </si>
  <si>
    <t>CAMILA.GERALDO</t>
  </si>
  <si>
    <t>PRATHMESH.MANSING-SH</t>
  </si>
  <si>
    <t>SUMANTH.M2</t>
  </si>
  <si>
    <t>BUSE.SONMEZ</t>
  </si>
  <si>
    <t>ECATERINA.STRIBITCAI</t>
  </si>
  <si>
    <t>ROBERT.BENTLEY</t>
  </si>
  <si>
    <t>SAGAR.TEMBE</t>
  </si>
  <si>
    <t>AYUSHI.CHAUHAN</t>
  </si>
  <si>
    <t>ONKAR.GHAG</t>
  </si>
  <si>
    <t>AJINKYA.GOYAL</t>
  </si>
  <si>
    <t>DANIEL.LATHAM</t>
  </si>
  <si>
    <t>NGUYEN-T-PHUONG.TRAN</t>
  </si>
  <si>
    <t>SEYHAN.CIROGLU</t>
  </si>
  <si>
    <t>MONICA.DEMERS</t>
  </si>
  <si>
    <t>JO-ANN.MARSHALL</t>
  </si>
  <si>
    <t>GILLIAN.COTTRELL</t>
  </si>
  <si>
    <t>JUAN.LONDONO</t>
  </si>
  <si>
    <t>AISHWARYA.PAKHALE</t>
  </si>
  <si>
    <t>DIVYA.DCUNHA</t>
  </si>
  <si>
    <t>CAITLIN.KIRWAN</t>
  </si>
  <si>
    <t>SANJANA.RANE2</t>
  </si>
  <si>
    <t>NICOLE.CHINNERY</t>
  </si>
  <si>
    <t>LOUISA-BETH.PEARCE-M</t>
  </si>
  <si>
    <t>VICTORIA.GUIDI</t>
  </si>
  <si>
    <t>LUKE.RICHARDSON</t>
  </si>
  <si>
    <t>ARTHUR.BRUNO</t>
  </si>
  <si>
    <t>PUVANESH.PANDI</t>
  </si>
  <si>
    <t>MO.DAI</t>
  </si>
  <si>
    <t>SUCHARITA.MONDAL</t>
  </si>
  <si>
    <t>KIMBERLY.SODEN</t>
  </si>
  <si>
    <t>SAMEERA.DIERIE</t>
  </si>
  <si>
    <t>JULIAN.THOMPSON</t>
  </si>
  <si>
    <t>FELIPE.FURBINO</t>
  </si>
  <si>
    <t>VISHNU.P</t>
  </si>
  <si>
    <t>MARINA.JOVETTA</t>
  </si>
  <si>
    <t>CHRISTIEN.WIJNE</t>
  </si>
  <si>
    <t>THRISHA.ALEXANDER</t>
  </si>
  <si>
    <t>JOSEPH.MCGARRY</t>
  </si>
  <si>
    <t>SLILA.CHAYANUN</t>
  </si>
  <si>
    <t>DEEPTI.CHITNIS</t>
  </si>
  <si>
    <t>LETICIA.M.SILVA</t>
  </si>
  <si>
    <t>CARMEN.YAU</t>
  </si>
  <si>
    <t>CLAIRE.MEAKIN</t>
  </si>
  <si>
    <t>DESPOINA.PRASINOU</t>
  </si>
  <si>
    <t>PRASHANT.MISHRA</t>
  </si>
  <si>
    <t>GINA.COBOS</t>
  </si>
  <si>
    <t>CARINA.LOPES</t>
  </si>
  <si>
    <t>ELLA.RAY</t>
  </si>
  <si>
    <t>DAVID.TROPIA</t>
  </si>
  <si>
    <t>TUGCE.KARABURUN</t>
  </si>
  <si>
    <t>RIA.MAJUMDAR</t>
  </si>
  <si>
    <t>ALASTAIR.DYSON</t>
  </si>
  <si>
    <t>DANIEL.WILLIAMS</t>
  </si>
  <si>
    <t>LUCIA.CUELLO</t>
  </si>
  <si>
    <t>LIAN.LEUNG</t>
  </si>
  <si>
    <t>ANISHA.CHITHAPURAM</t>
  </si>
  <si>
    <t>KRISTIN.SPODEN</t>
  </si>
  <si>
    <t>ROHIT.MAHALE</t>
  </si>
  <si>
    <t>IEUAN.ROBERTSHARRY</t>
  </si>
  <si>
    <t>ZHUOTONG.LIAO</t>
  </si>
  <si>
    <t>ASLI.AKYOL</t>
  </si>
  <si>
    <t>FORTUNATE.MZOBE</t>
  </si>
  <si>
    <t>NJABULO.SIBIYA</t>
  </si>
  <si>
    <t>SHERWIN.TLHOAELE</t>
  </si>
  <si>
    <t>DAVID.RICHARDSON3</t>
  </si>
  <si>
    <t>EVELINA.IZRAILOVA</t>
  </si>
  <si>
    <t>RAHIDA.ISLAM</t>
  </si>
  <si>
    <t>ADAM.NEWBOULD</t>
  </si>
  <si>
    <t>PRANALI.JADHAV</t>
  </si>
  <si>
    <t>NANDHITHA.M</t>
  </si>
  <si>
    <t>EMILE.ENGEL</t>
  </si>
  <si>
    <t>MARYAM.DERKANI</t>
  </si>
  <si>
    <t>AYDIN.ALIUSTAOGLU</t>
  </si>
  <si>
    <t>ANUP.GUPTA</t>
  </si>
  <si>
    <t>JESS.ANDREWS</t>
  </si>
  <si>
    <t>DAVID.CONWAY</t>
  </si>
  <si>
    <t>IMTIAZ.SHAIKH</t>
  </si>
  <si>
    <t>KATHY.BROWNE</t>
  </si>
  <si>
    <t>KATE.PURVIS</t>
  </si>
  <si>
    <t>GRACE.LEE</t>
  </si>
  <si>
    <t>HARRY.TRIHARYOGI</t>
  </si>
  <si>
    <t>KEERTHI.PRASAD</t>
  </si>
  <si>
    <t>ADRIANUS.ERNEST</t>
  </si>
  <si>
    <t>GUADALUPE.VAZQUEZ</t>
  </si>
  <si>
    <t>TANYA.STEVENSON</t>
  </si>
  <si>
    <t>ALOKIK.GUPTA</t>
  </si>
  <si>
    <t>MICHELLE.LEONG2</t>
  </si>
  <si>
    <t>SAHITHI.VINDHYA</t>
  </si>
  <si>
    <t>ARUSH.CHHABRA</t>
  </si>
  <si>
    <t>ELENI.JACKSON</t>
  </si>
  <si>
    <t>FERNANDA.GUERRERO-BE</t>
  </si>
  <si>
    <t>HANG.TRUONG</t>
  </si>
  <si>
    <t>DEDIX.GONZALEZ</t>
  </si>
  <si>
    <t>ROSS.ASHTON</t>
  </si>
  <si>
    <t>KIEU-PHI.QUOC</t>
  </si>
  <si>
    <t>KEVIN.HANDA</t>
  </si>
  <si>
    <t>STIJN-VAN-DER.SPOEL</t>
  </si>
  <si>
    <t>JABIR.SAYYED</t>
  </si>
  <si>
    <t>GIZEM.YILMAZ</t>
  </si>
  <si>
    <t>KENNY.OYESOLA</t>
  </si>
  <si>
    <t>KATARI.SALVESEN</t>
  </si>
  <si>
    <t>LUCSEBASTIAN.JARZYNS</t>
  </si>
  <si>
    <t>HARSHITHA.CHINIWALAR</t>
  </si>
  <si>
    <t>NIAMH.MALONEY</t>
  </si>
  <si>
    <t>JOEL-DAVID.VALIENTE</t>
  </si>
  <si>
    <t>SALTANAT.TOIGANBAYEV</t>
  </si>
  <si>
    <t>BUSRA.DEMIR</t>
  </si>
  <si>
    <t>CIARA.PAOLINI</t>
  </si>
  <si>
    <t>JOHN.CAGAPE</t>
  </si>
  <si>
    <t>ROSANNA.WILLIAMS</t>
  </si>
  <si>
    <t>TARIQ.FENEMORE</t>
  </si>
  <si>
    <t>ELLAKYA.PRABHU</t>
  </si>
  <si>
    <t>LUISA.MERZ</t>
  </si>
  <si>
    <t>AKBATU-ALP.AKOSAY</t>
  </si>
  <si>
    <t>DHARA.MISTRY</t>
  </si>
  <si>
    <t>LARISSA.MEIADO</t>
  </si>
  <si>
    <t>TABISH.KHAN</t>
  </si>
  <si>
    <t>CLAUDIA.BRAMBILLA</t>
  </si>
  <si>
    <t>NAMRATA.KARGUTKAR</t>
  </si>
  <si>
    <t>CASSIE.NIU</t>
  </si>
  <si>
    <t>MANAS.KUMAR</t>
  </si>
  <si>
    <t>NAGARAJAN.M</t>
  </si>
  <si>
    <t>KUMAR.BHARADWAJ</t>
  </si>
  <si>
    <t>KIERAN.OWENS</t>
  </si>
  <si>
    <t>ALEXA.DELUCIA</t>
  </si>
  <si>
    <t>JAMIE.SPADARO</t>
  </si>
  <si>
    <t>EVA.ENCISO</t>
  </si>
  <si>
    <t>VICTORIA.MOLLINEDO</t>
  </si>
  <si>
    <t>KHADIJAH.A.DANIELS</t>
  </si>
  <si>
    <t>DAVID.GRIFFIN</t>
  </si>
  <si>
    <t>ALAN.CASTILLO</t>
  </si>
  <si>
    <t>ELIZABETH.KIM</t>
  </si>
  <si>
    <t>MURAT.YILMAZ</t>
  </si>
  <si>
    <t>DOMINICK.PICCININNI</t>
  </si>
  <si>
    <t>WENDY-VAN.HERPEN</t>
  </si>
  <si>
    <t>ELSAYED.ABDELFATAH</t>
  </si>
  <si>
    <t>NAMITHA.AN</t>
  </si>
  <si>
    <t>JOSEPH.WOODHOUSE</t>
  </si>
  <si>
    <t>BURCIN.GULER</t>
  </si>
  <si>
    <t>LAURA.RAMOS-DEL-CANO</t>
  </si>
  <si>
    <t>PETRA.GROENENDIJK</t>
  </si>
  <si>
    <t>ORLA.BUENSOZ</t>
  </si>
  <si>
    <t>KUBRA.DAL-SANAP</t>
  </si>
  <si>
    <t>LOURDES.ROSA</t>
  </si>
  <si>
    <t>DANNI.XU</t>
  </si>
  <si>
    <t>TERENCE.FARRELL</t>
  </si>
  <si>
    <t>AMELIA.BOOTH</t>
  </si>
  <si>
    <t>AMAUTOMATION.NONSAP2</t>
  </si>
  <si>
    <t>SUHEB.TAMBOLI</t>
  </si>
  <si>
    <t>LAUREN.JONES</t>
  </si>
  <si>
    <t>PRINCY.SAVSANI</t>
  </si>
  <si>
    <t>LUKE.TAYLORNEWMAN</t>
  </si>
  <si>
    <t>NADIYAH.HAFEJI</t>
  </si>
  <si>
    <t>AMY.HUNNICUTT</t>
  </si>
  <si>
    <t>TRACY.HAIR2</t>
  </si>
  <si>
    <t>LERATO.MOILOE</t>
  </si>
  <si>
    <t>ELEANOR.HINDE</t>
  </si>
  <si>
    <t>JAVIER.NAVA</t>
  </si>
  <si>
    <t>KAVITA.HIRA</t>
  </si>
  <si>
    <t>CHERRI.CHAN</t>
  </si>
  <si>
    <t>SAKETH.TUNGALA</t>
  </si>
  <si>
    <t>MYLES.BLURTON</t>
  </si>
  <si>
    <t>GAGANA.VELUR</t>
  </si>
  <si>
    <t>JULIANA.BARANY</t>
  </si>
  <si>
    <t>SALONI.TRIPATHI2</t>
  </si>
  <si>
    <t>UPSORN.SOTTIMAI</t>
  </si>
  <si>
    <t>SIMONE.P.BUENO</t>
  </si>
  <si>
    <t>CLAUDIA.CASTELLANELL</t>
  </si>
  <si>
    <t>RAMU.THAMMYSHETTY</t>
  </si>
  <si>
    <t>JOAQUIN.HIERNARD</t>
  </si>
  <si>
    <t>JANICE-EVITA.SUNDAH</t>
  </si>
  <si>
    <t>RUBY.PEREZ-FRY</t>
  </si>
  <si>
    <t>CHRIS.ANACLETO</t>
  </si>
  <si>
    <t>BENJAMIN.PUTWAIN</t>
  </si>
  <si>
    <t>ANA-DE-ARAUJO.CARDOS</t>
  </si>
  <si>
    <t>DORA-XINYU.ZHANG</t>
  </si>
  <si>
    <t>DAVID.TIEMESSEN</t>
  </si>
  <si>
    <t>OZGE.EREN</t>
  </si>
  <si>
    <t>BEATRIZ.ALBANO</t>
  </si>
  <si>
    <t>KAREN.WHITEHEAD</t>
  </si>
  <si>
    <t>POOJA.RAMNATHKAR</t>
  </si>
  <si>
    <t>GIDEON.RONO</t>
  </si>
  <si>
    <t>APURVA.SAWANT</t>
  </si>
  <si>
    <t>VEENA.MOKAL</t>
  </si>
  <si>
    <t>BELLE.ZHANG</t>
  </si>
  <si>
    <t>ALEYNA.BAYKAL</t>
  </si>
  <si>
    <t>TUGBA.OZALTIN</t>
  </si>
  <si>
    <t>DANIEL.GRIMES2</t>
  </si>
  <si>
    <t>VALERIA.VANO</t>
  </si>
  <si>
    <t>SMRUTHI.RAO</t>
  </si>
  <si>
    <t>MIRNA.SAMIR</t>
  </si>
  <si>
    <t>PING-SH.ZHANG</t>
  </si>
  <si>
    <t>KARIS.PIPER</t>
  </si>
  <si>
    <t>DEEPANSHU.GAUR</t>
  </si>
  <si>
    <t>NANDHINI.J</t>
  </si>
  <si>
    <t>CHINMAYEE.JADHAV</t>
  </si>
  <si>
    <t>PRATIBHA.MEENA</t>
  </si>
  <si>
    <t>AGRAJA.PS</t>
  </si>
  <si>
    <t>TEGAN.DAVIES</t>
  </si>
  <si>
    <t>RIDA.AKHTAR</t>
  </si>
  <si>
    <t>JOAO-PEDRO.MARQUES</t>
  </si>
  <si>
    <t>LORRAINE.SOARES-DE-O</t>
  </si>
  <si>
    <t>ROB.DEVITO</t>
  </si>
  <si>
    <t>REINARDUS-KEVIN.SEBA</t>
  </si>
  <si>
    <t>GUUS.ROESELERS</t>
  </si>
  <si>
    <t>OMKAR.NANDIWDEKAR</t>
  </si>
  <si>
    <t>LAUREN.HUSSEY</t>
  </si>
  <si>
    <t>MEHMET.KOPAN</t>
  </si>
  <si>
    <t>JEREMY.FRISCH</t>
  </si>
  <si>
    <t>HEERAMONICA.R</t>
  </si>
  <si>
    <t>JAMILLA.DENT</t>
  </si>
  <si>
    <t>GURUPRASAD.NAIK</t>
  </si>
  <si>
    <t>DANIEL.THOMAS</t>
  </si>
  <si>
    <t>CRYSTAL.DANIELS</t>
  </si>
  <si>
    <t>JASPER.LIU</t>
  </si>
  <si>
    <t>RIDDHI.DAS</t>
  </si>
  <si>
    <t>PRATIKET.BAMANE</t>
  </si>
  <si>
    <t>SARAH.DELORENZO</t>
  </si>
  <si>
    <t>NEVE.THOMSON</t>
  </si>
  <si>
    <t>JULIA.VESER</t>
  </si>
  <si>
    <t>RUPAL.SONTAKEY</t>
  </si>
  <si>
    <t>ANTHONY.LONGUEIRA</t>
  </si>
  <si>
    <t>MARCOS.REINOSO</t>
  </si>
  <si>
    <t>CALLY.WATSON</t>
  </si>
  <si>
    <t>LEANNE.STRETCH</t>
  </si>
  <si>
    <t>AMEYA.KAMATH</t>
  </si>
  <si>
    <t>SHEILA.TANON-GONZALE</t>
  </si>
  <si>
    <t>NGUYEN-LUONG.HUY</t>
  </si>
  <si>
    <t>ANURADHA.BUSANI</t>
  </si>
  <si>
    <t>YANYAN.LIU</t>
  </si>
  <si>
    <t>EMILY.NICHOLSON</t>
  </si>
  <si>
    <t>NOLITHANDO.MAHLANGU</t>
  </si>
  <si>
    <t>MADONA.SHELLIAH</t>
  </si>
  <si>
    <t>SIHAM.ELAANI</t>
  </si>
  <si>
    <t>COLIN.BURT</t>
  </si>
  <si>
    <t>SHANNON.VANHORNEQUAR</t>
  </si>
  <si>
    <t>NICOLE.ROWTHAM-FENDE</t>
  </si>
  <si>
    <t>MOE.AMITANI</t>
  </si>
  <si>
    <t>PRASANNA.S</t>
  </si>
  <si>
    <t>ALICE.RODENBURG</t>
  </si>
  <si>
    <t>JENNIFER.BAE</t>
  </si>
  <si>
    <t>BERNA.UNLUTURK</t>
  </si>
  <si>
    <t>JACOB.GUILDFORD</t>
  </si>
  <si>
    <t>AMIT.PATTANAIK</t>
  </si>
  <si>
    <t>HARRIET.GIBSON</t>
  </si>
  <si>
    <t>LEENA.NATRAJAN</t>
  </si>
  <si>
    <t>KAMILE.GARUOLYTE</t>
  </si>
  <si>
    <t>KHATEEJAH.IQBAL</t>
  </si>
  <si>
    <t>JASMINE.TO2</t>
  </si>
  <si>
    <t>SERGIO.GUZMAN</t>
  </si>
  <si>
    <t>SHUSHU.DING</t>
  </si>
  <si>
    <t>GWENDOLYN-ANA.LINDBE</t>
  </si>
  <si>
    <t>LYDIA.ROBERTS</t>
  </si>
  <si>
    <t>RITUTAMA.GHOSH</t>
  </si>
  <si>
    <t>AISHWARYA.SURESHKUMA</t>
  </si>
  <si>
    <t>RITU.NIRULA</t>
  </si>
  <si>
    <t>ANA.BRAZ</t>
  </si>
  <si>
    <t>PRERNA.JAIN2</t>
  </si>
  <si>
    <t>MOHIT.MANHAS</t>
  </si>
  <si>
    <t>AGALYA.AMALANATHAN</t>
  </si>
  <si>
    <t>MONALI.PANCHARIYA</t>
  </si>
  <si>
    <t>EVANGELOS.LIAMAS</t>
  </si>
  <si>
    <t>PAUL.SHERWOOD</t>
  </si>
  <si>
    <t>MUSTAFA.ALMAQDAD</t>
  </si>
  <si>
    <t>IDHESH.SALIAN</t>
  </si>
  <si>
    <t>BUTCHELLE.AMIGABLE</t>
  </si>
  <si>
    <t>NAOMI.PETCH</t>
  </si>
  <si>
    <t>JESSICA.HENDERSON</t>
  </si>
  <si>
    <t>NELSON.MALDONADO</t>
  </si>
  <si>
    <t>MARTHA.STAGG</t>
  </si>
  <si>
    <t>LIKHITH.J</t>
  </si>
  <si>
    <t>TRAN-T-HUYNH.NGAN</t>
  </si>
  <si>
    <t>SKYLAR.ZHANG</t>
  </si>
  <si>
    <t>PEARL.ONYENEKE</t>
  </si>
  <si>
    <t>MUHAMMED.SHAHAM</t>
  </si>
  <si>
    <t>VEYSEL.SAKIN</t>
  </si>
  <si>
    <t>SABAN.TULU</t>
  </si>
  <si>
    <t>LUCY.LU2</t>
  </si>
  <si>
    <t>YASNA.TAVASSOLI</t>
  </si>
  <si>
    <t>GLORIA.P-HUANG</t>
  </si>
  <si>
    <t>LUCIANA.LOPEZ</t>
  </si>
  <si>
    <t>STEPHEN.BOOTHROYD</t>
  </si>
  <si>
    <t>BRUNA.DUARTE</t>
  </si>
  <si>
    <t>ANASTASIA.PANTELI</t>
  </si>
  <si>
    <t>LOBNA.GALAL</t>
  </si>
  <si>
    <t>TAMIKO.WADA</t>
  </si>
  <si>
    <t>ABHIRAMI.PA</t>
  </si>
  <si>
    <t>ENIOLA.OMOTADE</t>
  </si>
  <si>
    <t>KIRSTEN.VAN-KOOTEN</t>
  </si>
  <si>
    <t>MIYA.BENNER</t>
  </si>
  <si>
    <t>MIA.DEMOULPIED</t>
  </si>
  <si>
    <t>NAO.YAMAZAKI2</t>
  </si>
  <si>
    <t>XIAOBO.LI</t>
  </si>
  <si>
    <t>AMEENAH.AREF</t>
  </si>
  <si>
    <t>KAMAND.HAJIAGHAPOUR</t>
  </si>
  <si>
    <t>PATRICK.CHUNG</t>
  </si>
  <si>
    <t>WHITNEY.YAN</t>
  </si>
  <si>
    <t>BRUNA.FACCIN</t>
  </si>
  <si>
    <t>TRAN-NGOC-MY.DUNG</t>
  </si>
  <si>
    <t>RUTGER.BROUWER</t>
  </si>
  <si>
    <t>WANAPORN.PISALSONGKR</t>
  </si>
  <si>
    <t>MUJAHIDEISLAM.SHAIKH</t>
  </si>
  <si>
    <t>RAHUL.RAHUL</t>
  </si>
  <si>
    <t>MARK.LIDASAN</t>
  </si>
  <si>
    <t>ARPITA.CHITRE</t>
  </si>
  <si>
    <t>ADAM.DAVIS</t>
  </si>
  <si>
    <t>CHRIS.CABRY</t>
  </si>
  <si>
    <t>AKIRA.NAIDU</t>
  </si>
  <si>
    <t>LAURYN.GU</t>
  </si>
  <si>
    <t>CARYS.MAY</t>
  </si>
  <si>
    <t>CHRISHANTHA.PERERA</t>
  </si>
  <si>
    <t>SEENA.JOSEPH</t>
  </si>
  <si>
    <t>ELIF.GONEN</t>
  </si>
  <si>
    <t>GONCA.CELIK2</t>
  </si>
  <si>
    <t>TANYA.RACHAEL</t>
  </si>
  <si>
    <t>SAPHORA.DABO</t>
  </si>
  <si>
    <t>CALUM.THOMAS</t>
  </si>
  <si>
    <t>CHARLENE.LOVE</t>
  </si>
  <si>
    <t>ESRA.SERTCETIN</t>
  </si>
  <si>
    <t>JOSHUA.BELL</t>
  </si>
  <si>
    <t>GEZ.ADAMS</t>
  </si>
  <si>
    <t>THANDO.MABANDLA</t>
  </si>
  <si>
    <t>KAREENA.BAINS</t>
  </si>
  <si>
    <t>CHARLOTTE.EDGE</t>
  </si>
  <si>
    <t>THOMAS.BACK</t>
  </si>
  <si>
    <t>JELLE.POTAPPEL</t>
  </si>
  <si>
    <t>ZLATA.KALAMOYETS</t>
  </si>
  <si>
    <t>DILNA.POTHUM-KATTIL</t>
  </si>
  <si>
    <t>ALMA.IBARRA-GOMEZ</t>
  </si>
  <si>
    <t>CHAN.HAN</t>
  </si>
  <si>
    <t>THANYA.HM</t>
  </si>
  <si>
    <t>KANCHAN.MEHTA</t>
  </si>
  <si>
    <t>ABHAY.SACHAN</t>
  </si>
  <si>
    <t>MANJUSHA.JOARDAR</t>
  </si>
  <si>
    <t>SWEE-LAN.CHONG</t>
  </si>
  <si>
    <t>INSANA-NAZIA.BEGUM</t>
  </si>
  <si>
    <t>ANNA.BRADSHAW</t>
  </si>
  <si>
    <t>NICOLAE.DUMBRAVEANU</t>
  </si>
  <si>
    <t>MATIAS.LECHTMAN</t>
  </si>
  <si>
    <t>GALA.GUILLAN-CARBALL</t>
  </si>
  <si>
    <t>LAURENCE.DUDLEY</t>
  </si>
  <si>
    <t>MELISSA.TISKAYA</t>
  </si>
  <si>
    <t>ABIGAIL.BROWN</t>
  </si>
  <si>
    <t>THOMAS.FARMER</t>
  </si>
  <si>
    <t>SAMUEL.RICE</t>
  </si>
  <si>
    <t>JIA.XU</t>
  </si>
  <si>
    <t>CHLOE.BUTLER2</t>
  </si>
  <si>
    <t>ERYN.SHI</t>
  </si>
  <si>
    <t>CHUENE.TLABELA</t>
  </si>
  <si>
    <t>KANITTHA.KONGKAWIN</t>
  </si>
  <si>
    <t>JAMES.MUSCROFT</t>
  </si>
  <si>
    <t>YULIYA.ZAIKINA</t>
  </si>
  <si>
    <t>CLAIRE.POINTON</t>
  </si>
  <si>
    <t>COURTENEY.THORP</t>
  </si>
  <si>
    <t>HUDA.HASSAN</t>
  </si>
  <si>
    <t>MORGAN.ADAMS</t>
  </si>
  <si>
    <t>SHANTANU.TIWARI</t>
  </si>
  <si>
    <t>XAVIER.HAKKAART</t>
  </si>
  <si>
    <t>PRAVEEN.CHOUDARY</t>
  </si>
  <si>
    <t>JUVEN.PREMLALL</t>
  </si>
  <si>
    <t>GUADALUPE.ETCHAIDE</t>
  </si>
  <si>
    <t>JODIE.WOOLSGROVE</t>
  </si>
  <si>
    <t>RASHMITA.G</t>
  </si>
  <si>
    <t>NEHA.RAWAT</t>
  </si>
  <si>
    <t>MANISHA.RAWAT</t>
  </si>
  <si>
    <t>SONIA.BISLA</t>
  </si>
  <si>
    <t>MALESELA.LEKOTA</t>
  </si>
  <si>
    <t>MIRAC.GUNDUZ</t>
  </si>
  <si>
    <t>THOMAS.NISSINK</t>
  </si>
  <si>
    <t>MARIANA.IBARRA2</t>
  </si>
  <si>
    <t>DAVIDE.LOLIVA</t>
  </si>
  <si>
    <t>CALUM.DUKE</t>
  </si>
  <si>
    <t>NATALIA.HERRERA-VARG</t>
  </si>
  <si>
    <t>MAX.BISHOP</t>
  </si>
  <si>
    <t>GOZDE.YAMANER</t>
  </si>
  <si>
    <t>CHUCK.CAIKOSKI</t>
  </si>
  <si>
    <t>VIDUR.BHOGATE</t>
  </si>
  <si>
    <t>SANDHYA.RANABOTHU</t>
  </si>
  <si>
    <t>NAGARAJ.BANAKAR</t>
  </si>
  <si>
    <t>DIANE.HAVARD</t>
  </si>
  <si>
    <t>JONATHAN.FAIRHURST</t>
  </si>
  <si>
    <t>EMILY.HALL2</t>
  </si>
  <si>
    <t>ABBY.MILLS</t>
  </si>
  <si>
    <t>VELITCHKA.BOSMAN</t>
  </si>
  <si>
    <t>TESSA.DE-BIE</t>
  </si>
  <si>
    <t>SUMIT.PHULERA</t>
  </si>
  <si>
    <t>SARAH.GOLDING</t>
  </si>
  <si>
    <t>OZKAN.ERCIYAS</t>
  </si>
  <si>
    <t>FUNBI.OMOYEMI</t>
  </si>
  <si>
    <t>ELLEN.CLANCY</t>
  </si>
  <si>
    <t>MAX.MOLENDIJK</t>
  </si>
  <si>
    <t>JOSEPH.HUMPHREYS</t>
  </si>
  <si>
    <t>PRANIT.BURUNKAR</t>
  </si>
  <si>
    <t>VIBHA.S</t>
  </si>
  <si>
    <t>HOANG-PHUC-TIEN.NGUY</t>
  </si>
  <si>
    <t>THOMAS.FELL</t>
  </si>
  <si>
    <t>RACHEL.STARCK</t>
  </si>
  <si>
    <t>SAZIYA.PARVEEN</t>
  </si>
  <si>
    <t>ALEXANDRA.COWBURN</t>
  </si>
  <si>
    <t>S-M.PRASANTH2</t>
  </si>
  <si>
    <t>DILARA.UNLUTURK</t>
  </si>
  <si>
    <t>ROSSANA.CHIOCCA</t>
  </si>
  <si>
    <t>ALAN.OROZCO</t>
  </si>
  <si>
    <t>RODA.IBRAHIM</t>
  </si>
  <si>
    <t>LALITA.WATHANAKUL</t>
  </si>
  <si>
    <t>JOAO.MELLO</t>
  </si>
  <si>
    <t>ELIZABETH.JOUBERT</t>
  </si>
  <si>
    <t>SAM.COCHRANE</t>
  </si>
  <si>
    <t>FLORENCIA-MICHELLE.C</t>
  </si>
  <si>
    <t>FAIZ.MAHDI</t>
  </si>
  <si>
    <t>SALINEE.KRIANGKRAI</t>
  </si>
  <si>
    <t>NATECHANOK.TANEERAT</t>
  </si>
  <si>
    <t>ISABELA.PEREIRA</t>
  </si>
  <si>
    <t>NUTDHANAI.PATHUMANON</t>
  </si>
  <si>
    <t>SARAH.LIEDER</t>
  </si>
  <si>
    <t>MOUSAM.ROY</t>
  </si>
  <si>
    <t>ANJALI.DUBEY2</t>
  </si>
  <si>
    <t>SHRUTI.KHANAL</t>
  </si>
  <si>
    <t>ANGELA.OSEI-AMOAKO</t>
  </si>
  <si>
    <t>AKSHAY.BANSODE</t>
  </si>
  <si>
    <t>LUCA.CICERI</t>
  </si>
  <si>
    <t>AMALU.WILSON</t>
  </si>
  <si>
    <t>SHRUTI.MALVIYA</t>
  </si>
  <si>
    <t>IONA.FOSTER</t>
  </si>
  <si>
    <t>SOUMYASHREE.MOHANTY2</t>
  </si>
  <si>
    <t>LUKE.LANGTON</t>
  </si>
  <si>
    <t>JUSTIN-SHAJI.GEORGE</t>
  </si>
  <si>
    <t>KISHOR.PANDA</t>
  </si>
  <si>
    <t>MARIKO.KONDO2</t>
  </si>
  <si>
    <t>GIGI.DITAUSKAITE</t>
  </si>
  <si>
    <t>ANIKET.CHITRE</t>
  </si>
  <si>
    <t>DEVON.CROUCH</t>
  </si>
  <si>
    <t>NICOLE.NOVAK</t>
  </si>
  <si>
    <t>SIRIPHAT.PLOYTABTIM</t>
  </si>
  <si>
    <t>ERICA.LAU</t>
  </si>
  <si>
    <t>HARAN.PRASAD</t>
  </si>
  <si>
    <t>MARIA-YVETTE.ALAPIZC</t>
  </si>
  <si>
    <t>APEKSHA.RAMESH</t>
  </si>
  <si>
    <t>TANYA.TOWNSEND</t>
  </si>
  <si>
    <t>VISHAL.TRIVEDI</t>
  </si>
  <si>
    <t>GIRIDHAR.SANKARAN</t>
  </si>
  <si>
    <t>MARTA.CHIAPASCO</t>
  </si>
  <si>
    <t>DILLON.MCGURTY</t>
  </si>
  <si>
    <t>KALLUM.MISTRY</t>
  </si>
  <si>
    <t>ELIZABETH.BROWN</t>
  </si>
  <si>
    <t>YANNICK.JACQUES</t>
  </si>
  <si>
    <t>SARA.LOUREIRO</t>
  </si>
  <si>
    <t>HAKAN.CAY</t>
  </si>
  <si>
    <t>ANNA.COLLEY</t>
  </si>
  <si>
    <t>NELISIWE.MNAMETSI2</t>
  </si>
  <si>
    <t>SHOVAL.SANDLER</t>
  </si>
  <si>
    <t>ADITI.SHARMA</t>
  </si>
  <si>
    <t>ANNA.MCKIE</t>
  </si>
  <si>
    <t>SASHA.SOFAT</t>
  </si>
  <si>
    <t>RON.LIGERAS</t>
  </si>
  <si>
    <t>MIRA.MA</t>
  </si>
  <si>
    <t>DANIELA.ROJAS</t>
  </si>
  <si>
    <t>TAKABUMI.KOSAKA</t>
  </si>
  <si>
    <t>ANJALI.G2</t>
  </si>
  <si>
    <t>BHOOMIKA.HOLLA</t>
  </si>
  <si>
    <t>AVINASH.REDDY</t>
  </si>
  <si>
    <t>MERIN.KURIAKOSE2</t>
  </si>
  <si>
    <t>RENJINI.RAJESWARI</t>
  </si>
  <si>
    <t>AVANI.BHAKE</t>
  </si>
  <si>
    <t>BELA.RANDHAWA</t>
  </si>
  <si>
    <t>JOE.ANDRIAC</t>
  </si>
  <si>
    <t>GONZALO-MURICIO.FIGU</t>
  </si>
  <si>
    <t>SARAH.CULVERHOUSE</t>
  </si>
  <si>
    <t>TOOBA.SAJID</t>
  </si>
  <si>
    <t>OZGE.DEMIREL</t>
  </si>
  <si>
    <t>SHRADDHA.KADAM</t>
  </si>
  <si>
    <t>MARISKA.BRULSGILL</t>
  </si>
  <si>
    <t>JYOTIRMAYEE.PARIDA</t>
  </si>
  <si>
    <t>CAROLINA.DIEDEREN</t>
  </si>
  <si>
    <t>DENIZ.ARDAL</t>
  </si>
  <si>
    <t>SUPITCHA.SINPOONPAK</t>
  </si>
  <si>
    <t>SHAILJA.KHANDELWAL</t>
  </si>
  <si>
    <t>SAHIL.DHAMIJA</t>
  </si>
  <si>
    <t>SUSHMITA.CHIKATE</t>
  </si>
  <si>
    <t>ELLYSE.CIPOLLA</t>
  </si>
  <si>
    <t>ALI.IBTEHAJ</t>
  </si>
  <si>
    <t>ROMY.BESEMER</t>
  </si>
  <si>
    <t>GADIZA.HARIMAN</t>
  </si>
  <si>
    <t>EMRE.KARAOGLAN2</t>
  </si>
  <si>
    <t>MERVE.YILDIRIM2</t>
  </si>
  <si>
    <t>MAX.FRANCO</t>
  </si>
  <si>
    <t>MARK.RANDLE</t>
  </si>
  <si>
    <t>AARON.LEWIS</t>
  </si>
  <si>
    <t>JUSTIN.LIMKAICHONG</t>
  </si>
  <si>
    <t>MIA.LINDSAY</t>
  </si>
  <si>
    <t>TABITHA.SCHOFIELD</t>
  </si>
  <si>
    <t>MALAVIKA.T</t>
  </si>
  <si>
    <t>JENNY.NG2</t>
  </si>
  <si>
    <t>KIMBERLY-VAN-DER.ZEE</t>
  </si>
  <si>
    <t>MICHELLE.MORAN-SMITH</t>
  </si>
  <si>
    <t>JOSE.OSORIO</t>
  </si>
  <si>
    <t>ELAINE.ZHOU2</t>
  </si>
  <si>
    <t>FERNANDO.RODRIGUEZ</t>
  </si>
  <si>
    <t>LOTUS.CHENG</t>
  </si>
  <si>
    <t>XIAORUI.GUO</t>
  </si>
  <si>
    <t>SAMUEL.LOWE</t>
  </si>
  <si>
    <t>IAIN.STEVENSON</t>
  </si>
  <si>
    <t>DEEPAK.ALDAR</t>
  </si>
  <si>
    <t>CAMILA.SOUZA-SILVA-F</t>
  </si>
  <si>
    <t>FILIZ.HASSAN</t>
  </si>
  <si>
    <t>EKO.APRIANTORO</t>
  </si>
  <si>
    <t>SAALIHA.ESSACK</t>
  </si>
  <si>
    <t>DONNA.MACNAB</t>
  </si>
  <si>
    <t>AYCA.YILMAZ</t>
  </si>
  <si>
    <t>DINITHI.WEERAHANNED2</t>
  </si>
  <si>
    <t>MATHEUS.GIGO</t>
  </si>
  <si>
    <t>YAGMUR.IMAMOGLU</t>
  </si>
  <si>
    <t>ELENA.PENSA</t>
  </si>
  <si>
    <t>NOORTJE.GIESBERS</t>
  </si>
  <si>
    <t>KIARA.RACHMAN</t>
  </si>
  <si>
    <t>GUNABALAN.RAJU</t>
  </si>
  <si>
    <t>AIDAN.MOLONEY2</t>
  </si>
  <si>
    <t>EMIEL.VAN-LAAR</t>
  </si>
  <si>
    <t>DAVID.CHURCHLEY</t>
  </si>
  <si>
    <t>BILGE.AYDIN</t>
  </si>
  <si>
    <t>ALICIA.BYRNE</t>
  </si>
  <si>
    <t>NIDHIN.KOOKKAL</t>
  </si>
  <si>
    <t>TIANYU.ZHAO</t>
  </si>
  <si>
    <t>ELIFNUR.OZKOPRULU</t>
  </si>
  <si>
    <t>SANEM.PEKTAS</t>
  </si>
  <si>
    <t>PRASHANTH.MC</t>
  </si>
  <si>
    <t>SUNNY.BHAGAT</t>
  </si>
  <si>
    <t>YZADORA.SOUZA</t>
  </si>
  <si>
    <t>ANDREW.FORSSTROM</t>
  </si>
  <si>
    <t>MINAKSHI.S.SINGH</t>
  </si>
  <si>
    <t>CLAIRE.YU</t>
  </si>
  <si>
    <t>MUHARREM.ERCAN</t>
  </si>
  <si>
    <t>JANE.ALBERT</t>
  </si>
  <si>
    <t>NIRVAN.MARATHE</t>
  </si>
  <si>
    <t>MARIANE.GIROTO</t>
  </si>
  <si>
    <t>SUBHABRATA.MAZUMDER</t>
  </si>
  <si>
    <t>SAYAN.HALDER2</t>
  </si>
  <si>
    <t>CHANIKA.SONALI</t>
  </si>
  <si>
    <t>SINDHIYA.S</t>
  </si>
  <si>
    <t>ESLI.ROCKLAND</t>
  </si>
  <si>
    <t>SRI.SUNARTI</t>
  </si>
  <si>
    <t>MAEGAN.FARRELLY</t>
  </si>
  <si>
    <t>HELEN.RAFFERTY</t>
  </si>
  <si>
    <t>ISABEL.HUIJBERS</t>
  </si>
  <si>
    <t>NICHOLAS.CONTE</t>
  </si>
  <si>
    <t>KIMIA.SHARIF</t>
  </si>
  <si>
    <t>GIANFRANCO.UNALI</t>
  </si>
  <si>
    <t>MEREL.GIELEN</t>
  </si>
  <si>
    <t>TOM.JACOBS</t>
  </si>
  <si>
    <t>User Id</t>
  </si>
  <si>
    <t>ELN</t>
  </si>
  <si>
    <t>Jan</t>
  </si>
  <si>
    <t>Feb</t>
  </si>
  <si>
    <t>Y</t>
  </si>
  <si>
    <t>STEPHEN.BATCHELOR</t>
  </si>
  <si>
    <t>FELIX.OPPONG</t>
  </si>
  <si>
    <t>PAUL.PRICE</t>
  </si>
  <si>
    <t>MAYA.JOSEPH</t>
  </si>
  <si>
    <t>ASISH.NANDI</t>
  </si>
  <si>
    <t>SUUS.OOMES</t>
  </si>
  <si>
    <t>SUDARSHANA.PURKAYAST</t>
  </si>
  <si>
    <t>LUISA.Z.COLLINS</t>
  </si>
  <si>
    <t>UMA.MADHAVAN</t>
  </si>
  <si>
    <t>STEPHANIE.BLISSETT</t>
  </si>
  <si>
    <t>DEBBIE.ALDRED</t>
  </si>
  <si>
    <t>JOSHUA.MANSFIELD</t>
  </si>
  <si>
    <t>MARK.CARROLL</t>
  </si>
  <si>
    <t>ERIN.SAUNDERS</t>
  </si>
  <si>
    <t>WILMA.KORNAAT</t>
  </si>
  <si>
    <t>EVAN.L.SMITH</t>
  </si>
  <si>
    <t>MARIANA.HUEZO</t>
  </si>
  <si>
    <t>HAIDEE.BOOTH</t>
  </si>
  <si>
    <t>AMY.ELLIS</t>
  </si>
  <si>
    <t>CHARISSA.ALCASID</t>
  </si>
  <si>
    <t>OLIVIER.LONTOUO</t>
  </si>
  <si>
    <t>VERONIQUE.MUNIER</t>
  </si>
  <si>
    <t>FRANCESCA.PASSOLUNGH</t>
  </si>
  <si>
    <t>MAHIDER.MILLION</t>
  </si>
  <si>
    <t>HANNAH.THOMAS</t>
  </si>
  <si>
    <t>TEERAPORN.SENPROM</t>
  </si>
  <si>
    <t>JULIAN.CLARKE</t>
  </si>
  <si>
    <t>BEN.CAMERON</t>
  </si>
  <si>
    <t>SUBHAJIT.SARKAR</t>
  </si>
  <si>
    <t>STEPHANIE.ERBYNN</t>
  </si>
  <si>
    <t>NUR-AZIZAH.RACHMAN</t>
  </si>
  <si>
    <t>KARIANNA.NJIEHA</t>
  </si>
  <si>
    <t>ARUN.MANGAVE</t>
  </si>
  <si>
    <t>NEHA.MAWATWAL</t>
  </si>
  <si>
    <t>ANDREW.REDMAN</t>
  </si>
  <si>
    <t>JEAN-PAUL.CLAESSEN</t>
  </si>
  <si>
    <t>MARTA.MUNOZ-IBANEZ</t>
  </si>
  <si>
    <t>PAUL.VARGAS</t>
  </si>
  <si>
    <t>SOPHIE.GOODMAN</t>
  </si>
  <si>
    <t>HAPPY.MATHEKGA</t>
  </si>
  <si>
    <t>ANUSHREE.PATIL</t>
  </si>
  <si>
    <t>AMIT.A.MONDAL</t>
  </si>
  <si>
    <t>LYNN.COWIE</t>
  </si>
  <si>
    <t>BUKA.MAGWAZA</t>
  </si>
  <si>
    <t>BENNY.TAO</t>
  </si>
  <si>
    <t>ASHA.RANI-RAM</t>
  </si>
  <si>
    <t>JESSICA.CAIRO</t>
  </si>
  <si>
    <t>WANNAPORN.PINDUANG</t>
  </si>
  <si>
    <t>ALLY.ROBINSON</t>
  </si>
  <si>
    <t>NINA.SIMOU</t>
  </si>
  <si>
    <t>JAMIE.FRISK</t>
  </si>
  <si>
    <t>NELLY.YIMBO</t>
  </si>
  <si>
    <t>SOPHIA.SARFRAZ</t>
  </si>
  <si>
    <t>THOMAS.WALTON</t>
  </si>
  <si>
    <t>AMRUTA-UBALE.SARAF</t>
  </si>
  <si>
    <t>BUDI-WIDYA.SEPTIAWAN</t>
  </si>
  <si>
    <t>ASIF.AHMED</t>
  </si>
  <si>
    <t>SENA.KARAL</t>
  </si>
  <si>
    <t>SAMBULO.SHAMASE</t>
  </si>
  <si>
    <t>ASHLEY.POINTON</t>
  </si>
  <si>
    <t>SAMANTHA.MIEL</t>
  </si>
  <si>
    <t>ANISHA.KHAN</t>
  </si>
  <si>
    <t>SIWE.MJALI</t>
  </si>
  <si>
    <t>LAUREN.CUNNINGHAM</t>
  </si>
  <si>
    <t>SAUMYA.SOOD</t>
  </si>
  <si>
    <t>WILLIAM.ATKINSON</t>
  </si>
  <si>
    <t>SARAH.TIMNEY</t>
  </si>
  <si>
    <t>DANA.KRAJCSIK</t>
  </si>
  <si>
    <t>CARLA.VAZQUEZ</t>
  </si>
  <si>
    <t>SARAH.HWANG2</t>
  </si>
  <si>
    <t>LENNARD.SCHULTE</t>
  </si>
  <si>
    <t>AHMED.ALAAELDIN</t>
  </si>
  <si>
    <t>MADHAVI.KOCHAREKAR</t>
  </si>
  <si>
    <t>Total</t>
  </si>
  <si>
    <t>N</t>
  </si>
  <si>
    <t>RDPLP</t>
  </si>
  <si>
    <t>SCINET</t>
  </si>
  <si>
    <t>FLEX</t>
  </si>
  <si>
    <t>Cum 2026</t>
  </si>
  <si>
    <t>Jan'26</t>
  </si>
  <si>
    <t>Feb'26</t>
  </si>
  <si>
    <t>Cum'26</t>
  </si>
  <si>
    <t>Check</t>
  </si>
  <si>
    <t>Cum 2025</t>
  </si>
  <si>
    <t>Alexandra.Mooney</t>
  </si>
  <si>
    <t>ahali.chatterjee</t>
  </si>
  <si>
    <t>aditya-bangalore.nag</t>
  </si>
  <si>
    <t>alison.clough</t>
  </si>
  <si>
    <t>aishwarya.aloni</t>
  </si>
  <si>
    <t>Ana.Braz</t>
  </si>
  <si>
    <t>aishwarya.khobragade</t>
  </si>
  <si>
    <t>alisha.shadrach</t>
  </si>
  <si>
    <t>Andrew.Henderson</t>
  </si>
  <si>
    <t>aitraiyee.gupta</t>
  </si>
  <si>
    <t>alokik.gupta</t>
  </si>
  <si>
    <t>Anna.Bradshaw</t>
  </si>
  <si>
    <t>Anthony.McKee</t>
  </si>
  <si>
    <t>ally.robinson</t>
  </si>
  <si>
    <t>aniket.chitre</t>
  </si>
  <si>
    <t>Ashutosh.Chaurasia</t>
  </si>
  <si>
    <t>archita.jain</t>
  </si>
  <si>
    <t>apeksha.ramesh</t>
  </si>
  <si>
    <t>Bethany.Smith</t>
  </si>
  <si>
    <t>asha.rani-ram</t>
  </si>
  <si>
    <t>Caitlin.Stephens</t>
  </si>
  <si>
    <t>amruta-ubale.saraf</t>
  </si>
  <si>
    <t>ashwini.sawant2</t>
  </si>
  <si>
    <t>Carl.Gibson</t>
  </si>
  <si>
    <t>beatrice.fekete</t>
  </si>
  <si>
    <t>biplab.dutta</t>
  </si>
  <si>
    <t>Chloe.taylor</t>
  </si>
  <si>
    <t>anuradha.busani</t>
  </si>
  <si>
    <t>Dana-Elena.Erbasu</t>
  </si>
  <si>
    <t>arie-a.krijgsman</t>
  </si>
  <si>
    <t>caitlin.kirwan</t>
  </si>
  <si>
    <t>Daniel.Latham</t>
  </si>
  <si>
    <t>belinda.dawson</t>
  </si>
  <si>
    <t>charissa.alcasid</t>
  </si>
  <si>
    <t>David.Halligan</t>
  </si>
  <si>
    <t>claudia.cremonesi</t>
  </si>
  <si>
    <t>bhuvana.bagavathi</t>
  </si>
  <si>
    <t>David.Tiemessen</t>
  </si>
  <si>
    <t>carlo.sugabo2</t>
  </si>
  <si>
    <t>david.brossault</t>
  </si>
  <si>
    <t>deepika.sharma3</t>
  </si>
  <si>
    <t>Elda.Bahar</t>
  </si>
  <si>
    <t>dhanalakshmi.thirume</t>
  </si>
  <si>
    <t>Emma.Luke</t>
  </si>
  <si>
    <t>caroline.hall</t>
  </si>
  <si>
    <t>elizabeth.brown</t>
  </si>
  <si>
    <t>elsayed.abdelfatah</t>
  </si>
  <si>
    <t>richard.stone</t>
  </si>
  <si>
    <t>charlotte.edge</t>
  </si>
  <si>
    <t>ellie.williams</t>
  </si>
  <si>
    <t>Eniola.Omotade</t>
  </si>
  <si>
    <t>david.gunn</t>
  </si>
  <si>
    <t>Ewan.Johnson</t>
  </si>
  <si>
    <t>georgina.wadsley</t>
  </si>
  <si>
    <t>Gokhan.TOPCU</t>
  </si>
  <si>
    <t>hugh.barlow</t>
  </si>
  <si>
    <t>Haidee.Booth</t>
  </si>
  <si>
    <t>georgie.wilson</t>
  </si>
  <si>
    <t>ian.g.wood</t>
  </si>
  <si>
    <t>Haitham.Higgins</t>
  </si>
  <si>
    <t>gerta.kotsi</t>
  </si>
  <si>
    <t>Hana.Kolikkal</t>
  </si>
  <si>
    <t>gert-jan.goudappel</t>
  </si>
  <si>
    <t>Heidi.Biltcliffe-Gray</t>
  </si>
  <si>
    <t>grzegorz.rogala</t>
  </si>
  <si>
    <t>Ian.Pye</t>
  </si>
  <si>
    <t>himadri.kumar</t>
  </si>
  <si>
    <t>jane.shaw</t>
  </si>
  <si>
    <t>julie.cullen</t>
  </si>
  <si>
    <t>holly.bibby</t>
  </si>
  <si>
    <t>joanna.dawson</t>
  </si>
  <si>
    <t>javier.burgos-marmol</t>
  </si>
  <si>
    <t>julie.x.bennett</t>
  </si>
  <si>
    <t>jumel.miah</t>
  </si>
  <si>
    <t>jeremy.shen</t>
  </si>
  <si>
    <t>Katherine.Thompson</t>
  </si>
  <si>
    <t>isao.tanaka</t>
  </si>
  <si>
    <t>joshua.booth</t>
  </si>
  <si>
    <t>kopparapu.bee</t>
  </si>
  <si>
    <t>ivonne-van-den.berg</t>
  </si>
  <si>
    <t>kayla.kemler</t>
  </si>
  <si>
    <t>Labman.Automation</t>
  </si>
  <si>
    <t>laura.stapley</t>
  </si>
  <si>
    <t>kyle.gethings</t>
  </si>
  <si>
    <t>leanne.jenkins2</t>
  </si>
  <si>
    <t>javier.aponte</t>
  </si>
  <si>
    <t>lewis.helsby</t>
  </si>
  <si>
    <t>leonardo.contreas</t>
  </si>
  <si>
    <t>Luke.Langton</t>
  </si>
  <si>
    <t>jelle.potappel</t>
  </si>
  <si>
    <t>Michael.cooke</t>
  </si>
  <si>
    <t>joost.smid</t>
  </si>
  <si>
    <t>louise.roberts</t>
  </si>
  <si>
    <t>lucie.jones</t>
  </si>
  <si>
    <t>Naseef.Khan</t>
  </si>
  <si>
    <t>Nicholas.Brownbill</t>
  </si>
  <si>
    <t>julia.telford</t>
  </si>
  <si>
    <t>Noah.Phipps</t>
  </si>
  <si>
    <t>mark.smith3</t>
  </si>
  <si>
    <t>marco.distaso</t>
  </si>
  <si>
    <t>Oliver.Evenden</t>
  </si>
  <si>
    <t>matthew.tynan</t>
  </si>
  <si>
    <t>matt.rienzo</t>
  </si>
  <si>
    <t>Paolo.Pantalone</t>
  </si>
  <si>
    <t>kelly.millen</t>
  </si>
  <si>
    <t>mohamed.manga</t>
  </si>
  <si>
    <t>Peak.Automation</t>
  </si>
  <si>
    <t>kimchhay.lao</t>
  </si>
  <si>
    <t>molly.irons</t>
  </si>
  <si>
    <t>mustafa.almaqdad</t>
  </si>
  <si>
    <t>Perminder.Sangha</t>
  </si>
  <si>
    <t>PLP_Access</t>
  </si>
  <si>
    <t>letitia.dollamore</t>
  </si>
  <si>
    <t>nolithando.mahlangu</t>
  </si>
  <si>
    <t>olivier.lontouo</t>
  </si>
  <si>
    <t>rachel.toomes</t>
  </si>
  <si>
    <t>lia.verhoeff</t>
  </si>
  <si>
    <t>orla.buensoz</t>
  </si>
  <si>
    <t>panitan.chinnawong</t>
  </si>
  <si>
    <t>Raj.Thatipamula</t>
  </si>
  <si>
    <t>paul.carpenter</t>
  </si>
  <si>
    <t>Sairah.Afzal</t>
  </si>
  <si>
    <t>lynn.cowie</t>
  </si>
  <si>
    <t>Sara.Filgueira-Martinez</t>
  </si>
  <si>
    <t>maarten.lieshout</t>
  </si>
  <si>
    <t>paul.whitehead</t>
  </si>
  <si>
    <t>sarah.lomas</t>
  </si>
  <si>
    <t>rahul.rahul</t>
  </si>
  <si>
    <t>rosemarie.derbyshire</t>
  </si>
  <si>
    <t>Sasha.Sofat</t>
  </si>
  <si>
    <t>robert.machen</t>
  </si>
  <si>
    <t>ruediger.zillmer</t>
  </si>
  <si>
    <t>smita.puntambekar</t>
  </si>
  <si>
    <t>mark-van.dijk</t>
  </si>
  <si>
    <t>sarah.sandison</t>
  </si>
  <si>
    <t>Sophia.Sarfraz</t>
  </si>
  <si>
    <t>martin.crossman</t>
  </si>
  <si>
    <t>ryan.brocklebank</t>
  </si>
  <si>
    <t>Susanne.Rogers</t>
  </si>
  <si>
    <t>sameera.dierie</t>
  </si>
  <si>
    <t>Thomas.Back</t>
  </si>
  <si>
    <t>samuel.grimes</t>
  </si>
  <si>
    <t>shaziya.chowdhary</t>
  </si>
  <si>
    <t>Valeria.Rebecchi</t>
  </si>
  <si>
    <t>monique-van-der.burg</t>
  </si>
  <si>
    <t>suzanne.harris</t>
  </si>
  <si>
    <t>Viktorija.Stikonaite</t>
  </si>
  <si>
    <t>nancy.moseley</t>
  </si>
  <si>
    <t>sangamesh.sajjan2</t>
  </si>
  <si>
    <t>Wendy.Kearney</t>
  </si>
  <si>
    <t>thomas.fishwick</t>
  </si>
  <si>
    <t>nidhi.jagadish</t>
  </si>
  <si>
    <t>sara.martinez</t>
  </si>
  <si>
    <t>veena.mokal</t>
  </si>
  <si>
    <t>nileema.janbandhu</t>
  </si>
  <si>
    <t>shubham.sethi</t>
  </si>
  <si>
    <t>sona.mihokova</t>
  </si>
  <si>
    <t>pinar.babat</t>
  </si>
  <si>
    <t>svc_plpqa</t>
  </si>
  <si>
    <t>tariq.fenemore</t>
  </si>
  <si>
    <t>thomas.chalker</t>
  </si>
  <si>
    <t>sarah.culverhouse</t>
  </si>
  <si>
    <t>scott.robson</t>
  </si>
  <si>
    <t>shannon.vanhornequar</t>
  </si>
  <si>
    <t>sophia.moghadam</t>
  </si>
  <si>
    <t>stephanie.erbynn</t>
  </si>
  <si>
    <t>subhajit.sarkar</t>
  </si>
  <si>
    <t>suus.oomes</t>
  </si>
  <si>
    <t>svc_acc_dormancyprod</t>
  </si>
  <si>
    <t>swee-lan.chong</t>
  </si>
  <si>
    <t>tadsanee.tangsakul</t>
  </si>
  <si>
    <t>theerarat.sirirat</t>
  </si>
  <si>
    <t>tom.van-den-brule</t>
  </si>
  <si>
    <t>vanessa.hughes</t>
  </si>
  <si>
    <t>vishmai.chapara</t>
  </si>
  <si>
    <t>woraporn.siripong</t>
  </si>
  <si>
    <t>yuliya.zaikina</t>
  </si>
  <si>
    <t>zaida.salazar</t>
  </si>
  <si>
    <t>Product</t>
  </si>
  <si>
    <t>Available licenses</t>
  </si>
  <si>
    <t>2025 usage</t>
  </si>
  <si>
    <t>2026 (Jan&amp;Feb) usage</t>
  </si>
  <si>
    <t>PLP</t>
  </si>
  <si>
    <t>2026 PO</t>
  </si>
  <si>
    <t>Reference Document</t>
  </si>
  <si>
    <t>Owner/User</t>
  </si>
  <si>
    <t>Director</t>
  </si>
  <si>
    <t>Description</t>
  </si>
  <si>
    <t>Start date</t>
  </si>
  <si>
    <t>End Date</t>
  </si>
  <si>
    <t>No of License</t>
  </si>
  <si>
    <t>Cost</t>
  </si>
  <si>
    <t>Currency</t>
  </si>
  <si>
    <t>License Key</t>
  </si>
  <si>
    <t>PO17269130</t>
  </si>
  <si>
    <t>RN0001875285</t>
  </si>
  <si>
    <t>Ian Stott</t>
  </si>
  <si>
    <t>Adam Kowalski</t>
  </si>
  <si>
    <t>PLP Prof</t>
  </si>
  <si>
    <t>Euro</t>
  </si>
  <si>
    <t>200000000048907_BIO_PP00000000397_0032_1</t>
  </si>
  <si>
    <t>PO17268090</t>
  </si>
  <si>
    <t>RN0001875313</t>
  </si>
  <si>
    <t>R Nurrish</t>
  </si>
  <si>
    <t>Jen Starkey</t>
  </si>
  <si>
    <t>3DX - IWU</t>
  </si>
  <si>
    <t>PO17277421</t>
  </si>
  <si>
    <t>RN0001713371</t>
  </si>
  <si>
    <t>Naga, NG</t>
  </si>
  <si>
    <t>UNILEVER U.K. CENTRAL RESOURCES LTD_1953_NBU_LKO4072427_Case#25004560</t>
  </si>
  <si>
    <t>PO17277423</t>
  </si>
  <si>
    <t>RN0001710847</t>
  </si>
  <si>
    <t>PLP $</t>
  </si>
  <si>
    <t>% usage 2026</t>
  </si>
  <si>
    <t>%usage 2025</t>
  </si>
  <si>
    <t>Cost of license</t>
  </si>
  <si>
    <t>robert.cornmell</t>
  </si>
  <si>
    <t>neil.taylor</t>
  </si>
  <si>
    <t>victoria.guidi</t>
  </si>
  <si>
    <t>elilan.yogenthiran2</t>
  </si>
  <si>
    <t>March</t>
  </si>
  <si>
    <t>parag.shah</t>
  </si>
  <si>
    <t>simon.fraser</t>
  </si>
  <si>
    <t>sneha.manohar</t>
  </si>
  <si>
    <t>paula.tu</t>
  </si>
  <si>
    <t>gareth.jones</t>
  </si>
  <si>
    <t>patrick.paul</t>
  </si>
  <si>
    <t>kunal.pawar</t>
  </si>
  <si>
    <t>lauren.jones</t>
  </si>
  <si>
    <t>luong-nh.thuy</t>
  </si>
  <si>
    <t>william.lathrop</t>
  </si>
  <si>
    <t>daisy.sams</t>
  </si>
  <si>
    <t>emily.marques</t>
  </si>
  <si>
    <t>ersin.bulu</t>
  </si>
  <si>
    <t>floor.schreuders</t>
  </si>
  <si>
    <t>ozgur.gunyol</t>
  </si>
  <si>
    <t>christian.wu</t>
  </si>
  <si>
    <t>heather.cottrell</t>
  </si>
  <si>
    <t>george.mulkerrin</t>
  </si>
  <si>
    <t>elena.venturini</t>
  </si>
  <si>
    <t>kathy.browne</t>
  </si>
  <si>
    <t>raffaella.uggeri</t>
  </si>
  <si>
    <t>amy.vanvelsor</t>
  </si>
  <si>
    <t>sagar.tembe</t>
  </si>
  <si>
    <t>suha.joshi</t>
  </si>
  <si>
    <t>vida.sukiene</t>
  </si>
  <si>
    <t>saharsh.singhal</t>
  </si>
  <si>
    <t>trang.vu</t>
  </si>
  <si>
    <t>marco.galli</t>
  </si>
  <si>
    <t>nick.page</t>
  </si>
  <si>
    <t>thomas.fell</t>
  </si>
  <si>
    <t>Mar'26</t>
  </si>
  <si>
    <t>ANTHONY.MCKEE</t>
  </si>
  <si>
    <t>GEORGE.MULKERRIN</t>
  </si>
  <si>
    <t>CLARE.A.JONES</t>
  </si>
  <si>
    <t>VADIVEL.G</t>
  </si>
  <si>
    <t>JULIET.SAMUEL</t>
  </si>
  <si>
    <t>SUJATHA.JAYARAMAN</t>
  </si>
  <si>
    <t>LOKESH.BASAVARAJU</t>
  </si>
  <si>
    <t>DEEPAK.MHASAVADE</t>
  </si>
  <si>
    <t>AMANDA.LANE</t>
  </si>
  <si>
    <t>HASIBA.PEHRATOVIC</t>
  </si>
  <si>
    <t>MARISKA.DOTSCH</t>
  </si>
  <si>
    <t>LEO-VAN.BUREN</t>
  </si>
  <si>
    <t>WENDY.BLOM</t>
  </si>
  <si>
    <t>VETRI.KUMARAN</t>
  </si>
  <si>
    <t>AMY.FRATE</t>
  </si>
  <si>
    <t>ELODIE.DEGUERVILLE</t>
  </si>
  <si>
    <t>ELIF.AKIN</t>
  </si>
  <si>
    <t>ROBERT.W.DAWSON</t>
  </si>
  <si>
    <t>VIJAY.GONGANE</t>
  </si>
  <si>
    <t>DAYANI.RAJAMANOHARAN</t>
  </si>
  <si>
    <t>ADAWAN.SUKSOMJIN</t>
  </si>
  <si>
    <t>ERICA.LIANG</t>
  </si>
  <si>
    <t>EMALYN.LLAGAS</t>
  </si>
  <si>
    <t>KARLA.WEBB</t>
  </si>
  <si>
    <t>VIVIAN.GUEVARA</t>
  </si>
  <si>
    <t>FRANCA.MARIANINI</t>
  </si>
  <si>
    <t>ELENA.VENTURINI</t>
  </si>
  <si>
    <t>ALESSIA.GAMBARINI</t>
  </si>
  <si>
    <t>MARIANA.VINCENZI</t>
  </si>
  <si>
    <t>RAQUEL.GUTIERREZ-ABA</t>
  </si>
  <si>
    <t>NGUYEN-THI-THUY.CHUN</t>
  </si>
  <si>
    <t>GERTA.KOTSI</t>
  </si>
  <si>
    <t>SOHEILA.ETMINAN-BASS</t>
  </si>
  <si>
    <t>VIHANGA.MUNASINGHE</t>
  </si>
  <si>
    <t>ROOPUM.PORWAL</t>
  </si>
  <si>
    <t>MEENAKSHI.JAIN</t>
  </si>
  <si>
    <t>ISADELLE.REYES</t>
  </si>
  <si>
    <t>ANGELIE.TORRE</t>
  </si>
  <si>
    <t>ELISABETH-NOVI.CHRIS</t>
  </si>
  <si>
    <t>JULIE.FABRYKIEWICZ</t>
  </si>
  <si>
    <t>NAKUL.SHARMA</t>
  </si>
  <si>
    <t>VIJAY.NARALE</t>
  </si>
  <si>
    <t>ROSELLE.SUPIL</t>
  </si>
  <si>
    <t>THOWANA.PORNVIRIYAMO</t>
  </si>
  <si>
    <t>ANGELINA.ANGELINA</t>
  </si>
  <si>
    <t>DANIEL.FERNANDES2</t>
  </si>
  <si>
    <t>ADAM.MCDONALD</t>
  </si>
  <si>
    <t>NANCY.WANG</t>
  </si>
  <si>
    <t>FUSAYO.TSUKAHARA</t>
  </si>
  <si>
    <t>SAMEER.KHAN</t>
  </si>
  <si>
    <t>NAOTO.EGUCHI</t>
  </si>
  <si>
    <t>AROHI.NATU</t>
  </si>
  <si>
    <t>HITESH.GC</t>
  </si>
  <si>
    <t>BABAK.RAHI</t>
  </si>
  <si>
    <t>DEEPTI.KHANNA2</t>
  </si>
  <si>
    <t>BETH.STAFFORD</t>
  </si>
  <si>
    <t>VANSHIKA.MEHTA</t>
  </si>
  <si>
    <t>KAREN.BARRIOS-TARAZO</t>
  </si>
  <si>
    <t>KIRAN.BASAVARAJA</t>
  </si>
  <si>
    <t>DEEPAKRAJ.YADAV</t>
  </si>
  <si>
    <t>SOUNDARYA.KARAMCHETI</t>
  </si>
  <si>
    <t>YOGITA.SHARMA2</t>
  </si>
  <si>
    <t>ELS-DE.GROENE</t>
  </si>
  <si>
    <t>SELVAPRAKASH.N</t>
  </si>
  <si>
    <t>SAURABH.SHARMA3</t>
  </si>
  <si>
    <t>LUONG-NH.THUY</t>
  </si>
  <si>
    <t>SHAMEZA.KATIDEEN</t>
  </si>
  <si>
    <t>YOGYATA.MALHOTRA</t>
  </si>
  <si>
    <t>TANUJ.PIPLANI</t>
  </si>
  <si>
    <t>KAMOLRAT.SARASIT</t>
  </si>
  <si>
    <t>THITIYA.SNEATH</t>
  </si>
  <si>
    <t>DOAN-HOANG.NHAT</t>
  </si>
  <si>
    <t>WALAIWARANTHORN.DECH</t>
  </si>
  <si>
    <t>JM.DE-SILVA</t>
  </si>
  <si>
    <t>ADAM.FLEET</t>
  </si>
  <si>
    <t>PRIYANKA.KHOPADE</t>
  </si>
  <si>
    <t>LEINA.UDDIN</t>
  </si>
  <si>
    <t>SHWETA.THAKUR</t>
  </si>
  <si>
    <t>JOSHUA.DUNN</t>
  </si>
  <si>
    <t>MARIAVITORIA.ARAUJO</t>
  </si>
  <si>
    <t>SAURABH.NARAWADE</t>
  </si>
  <si>
    <t>DOMINIC.WARD</t>
  </si>
  <si>
    <t>VIKESH.JAIN</t>
  </si>
  <si>
    <t>PIYANUCH.THIRARDKUER</t>
  </si>
  <si>
    <t>SAMEER.KHAN2</t>
  </si>
  <si>
    <t>LOUISE.SHORTEN</t>
  </si>
  <si>
    <t>TARVEEN.KAUR</t>
  </si>
  <si>
    <t>AGOSH.MALIK</t>
  </si>
  <si>
    <t>SUNDARAMURTHY.SRAVAN</t>
  </si>
  <si>
    <t>OURANIA.KISTI</t>
  </si>
  <si>
    <t>KEAVY.POWELL</t>
  </si>
  <si>
    <t>LYDIA.GODDARD</t>
  </si>
  <si>
    <t>MADHURA.MESTRY</t>
  </si>
  <si>
    <t>GAE.REDOBLADO</t>
  </si>
  <si>
    <t>SANA.MINHAS</t>
  </si>
  <si>
    <t>CORRINE.LAWRENCE</t>
  </si>
  <si>
    <t>YENG.SISON</t>
  </si>
  <si>
    <t>JANIKO.LUNETA</t>
  </si>
  <si>
    <t>DOAN-TIEU.LONG</t>
  </si>
  <si>
    <t>MEYRICK.PRINCIPE</t>
  </si>
  <si>
    <t>ANNA-LIZA.ESPIRITU</t>
  </si>
  <si>
    <t>PAJAREE.PAKAJAI</t>
  </si>
  <si>
    <t>AUSTINA.PUTRI</t>
  </si>
  <si>
    <t>PAWARIS.SAENGKHIEO</t>
  </si>
  <si>
    <t>INDRI.ASTUTI</t>
  </si>
  <si>
    <t>QUACH-THI-NGOC.CHAU</t>
  </si>
  <si>
    <t>MARIA.BRULL-VAN-ELK</t>
  </si>
  <si>
    <t>JAKTHON.SRIVILAI</t>
  </si>
  <si>
    <t>UTI-DANIAWATI.MAHANA</t>
  </si>
  <si>
    <t>PRIYANKA.SAWANT</t>
  </si>
  <si>
    <t>MANSI.WALAVALKAR</t>
  </si>
  <si>
    <t>ILIANA.GIANNOULA</t>
  </si>
  <si>
    <t>AILEEN.OCHOA</t>
  </si>
  <si>
    <t>ALICE.DYSON</t>
  </si>
  <si>
    <t>LEVENTE.NAGY</t>
  </si>
  <si>
    <t>JOSHUA.SWINDELL</t>
  </si>
  <si>
    <t>PRIYANKA.MANDAL</t>
  </si>
  <si>
    <t>MIMMY.VERGARA</t>
  </si>
  <si>
    <t>SACHIN.JANJANI</t>
  </si>
  <si>
    <t>SOUMYA.PUNDI</t>
  </si>
  <si>
    <t>RANJITH.RAMA</t>
  </si>
  <si>
    <t>LILIAN.KOCSIS</t>
  </si>
  <si>
    <t>THEERAYUT.LERTTHITIV</t>
  </si>
  <si>
    <t>RAVIPRASAD.SHANKAR</t>
  </si>
  <si>
    <t>DANIEL.PODZIEMSKI</t>
  </si>
  <si>
    <t>WATCHARAPORN.PAVIJIT</t>
  </si>
  <si>
    <t>NG-PHUC-THUY.ANH</t>
  </si>
  <si>
    <t>AMNAT.SAIAMWONG</t>
  </si>
  <si>
    <t>NOEL.JAVIER</t>
  </si>
  <si>
    <t>SUPATTRA.AUNGKUTRANO</t>
  </si>
  <si>
    <t>WENQI.LUAN</t>
  </si>
  <si>
    <t>VIDA.SUKIENE</t>
  </si>
  <si>
    <t>HIMANSHI.PANERI</t>
  </si>
  <si>
    <t>MEREL.ELFERINK</t>
  </si>
  <si>
    <t>SIBANTI.CHAUDHURY</t>
  </si>
  <si>
    <t>PRAKASH.NAGABHUSHAN</t>
  </si>
  <si>
    <t>PRAKHAR.KUSHWAHA</t>
  </si>
  <si>
    <t>R.PIRABHAKARAN</t>
  </si>
  <si>
    <t>MOSHARAF.HUSSAIN2</t>
  </si>
  <si>
    <t>EKTA.CHOPRA</t>
  </si>
  <si>
    <t>ABIRAMI.ANNAMALAI</t>
  </si>
  <si>
    <t>ALEKSANDRA.MILOVANOV</t>
  </si>
  <si>
    <t>PADMANABH.PAWAGI</t>
  </si>
  <si>
    <t>PRIYANKA.AGARWAL2</t>
  </si>
  <si>
    <t>BOOPATHIKRISHNAN.M</t>
  </si>
  <si>
    <t>SWATHI.BALARAJU</t>
  </si>
  <si>
    <t>RAGHAV.SONI</t>
  </si>
  <si>
    <t>BIPLAB.SARKER</t>
  </si>
  <si>
    <t>AMRITHA.DEVNANI</t>
  </si>
  <si>
    <t>VIKRAM.BHARDWAJ</t>
  </si>
  <si>
    <t>NORMAN.BOYD</t>
  </si>
  <si>
    <t>HOLLY.PARNELL2</t>
  </si>
  <si>
    <t>BIJON.DAS</t>
  </si>
  <si>
    <t>SARATH.BHAVIRISETTY</t>
  </si>
  <si>
    <t>RUDOLPH.HAMONANGAN</t>
  </si>
  <si>
    <t>KISHOR.SHEWALE</t>
  </si>
  <si>
    <t>APIPORN.ADULPICHIT</t>
  </si>
  <si>
    <t>RUNGJARAT.ADTHAYASAI</t>
  </si>
  <si>
    <t>RIA.BHADRA</t>
  </si>
  <si>
    <t>SARVJEET.KAUR</t>
  </si>
  <si>
    <t>SHARON.SHIRI</t>
  </si>
  <si>
    <t>RAO.TANUJA</t>
  </si>
  <si>
    <t>PANKAJ.VERMA3</t>
  </si>
  <si>
    <t>ERIKA.CASTANHO</t>
  </si>
  <si>
    <t>SERGIO.QUISPE</t>
  </si>
  <si>
    <t>DENA.FEBRIANA</t>
  </si>
  <si>
    <t>SUPINYA.TANUGAPITAK</t>
  </si>
  <si>
    <t>RUDI.HERAWANTO</t>
  </si>
  <si>
    <t>AMYRA-FIRDHAUSYA.ANA</t>
  </si>
  <si>
    <t>JANET.GUO2</t>
  </si>
  <si>
    <t>INSHARAH.SALMAN</t>
  </si>
  <si>
    <t>SHUBHAM.GAUTAM</t>
  </si>
  <si>
    <t>SURIA.DEONARAIN</t>
  </si>
  <si>
    <t>KRITI.DSILVA</t>
  </si>
  <si>
    <t>NGUYEN-THIEN.KIM</t>
  </si>
  <si>
    <t>MUBEEN.HAROUN</t>
  </si>
  <si>
    <t>MURIEL.VAN-DER-HEIJD</t>
  </si>
  <si>
    <t>MEHAK.MANTOO</t>
  </si>
  <si>
    <t>NUTTHUN.TULAYATHUN</t>
  </si>
  <si>
    <t>CHUTIKARN.KERDLARPPH</t>
  </si>
  <si>
    <t>HUYNH-QUOC.TRUNG</t>
  </si>
  <si>
    <t>WANNITA.JIRANGRAT</t>
  </si>
  <si>
    <t>EILEEN.FELIZCO</t>
  </si>
  <si>
    <t>URACHA.CHAROENSUK</t>
  </si>
  <si>
    <t>KAI-KAI.CHONG</t>
  </si>
  <si>
    <t>MATTHEW.MEUNIER</t>
  </si>
  <si>
    <t>JASLEEN.CHASS</t>
  </si>
  <si>
    <t>DAO-ANH.TUYET</t>
  </si>
  <si>
    <t>THIAGO.CANTARANI</t>
  </si>
  <si>
    <t>PRASHANT.KETU</t>
  </si>
  <si>
    <t>PH-NGOC.THAI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</si>
</sst>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1FBE1"/>
        <bgColor rgb="FF000000"/>
      </patternFill>
    </fill>
    <fill>
      <patternFill patternType="solid">
        <fgColor rgb="FFF1FBE1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99BBE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1" fillId="5" borderId="0" xfId="0" applyFont="1" applyFill="1"/>
    <xf numFmtId="0" fontId="5" fillId="5" borderId="0" xfId="0" applyFont="1" applyFill="1"/>
    <xf numFmtId="0" fontId="0" fillId="8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horizontal="right"/>
    </xf>
    <xf numFmtId="3" fontId="2" fillId="0" borderId="1" xfId="0" applyNumberFormat="1" applyFont="1" applyBorder="1" applyAlignment="1">
      <alignment horizontal="right" vertical="center" wrapText="1"/>
    </xf>
    <xf numFmtId="9" fontId="0" fillId="0" borderId="0" xfId="1" applyFont="1"/>
    <xf numFmtId="1" fontId="0" fillId="0" borderId="0" xfId="0" applyNumberFormat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center"/>
    </xf>
    <xf numFmtId="0" fontId="6" fillId="0" borderId="0" xfId="0" applyFont="1"/>
    <xf numFmtId="0" fontId="6" fillId="10" borderId="1" xfId="0" applyFont="1" applyFill="1" applyBorder="1"/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0" fillId="6" borderId="0" xfId="0" applyFill="1" applyBorder="1"/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left" vertical="top"/>
    </xf>
    <xf numFmtId="0" fontId="0" fillId="0" borderId="1" xfId="0" applyFill="1" applyBorder="1"/>
  </cellXfs>
  <cellStyles count="2">
    <cellStyle name="Normal" xfId="0" builtinId="0"/>
    <cellStyle name="Percent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A58F-457B-494B-8871-749969F2ECD1}">
  <dimension ref="C3:I7"/>
  <sheetViews>
    <sheetView workbookViewId="0">
      <selection activeCell="H4" sqref="H4"/>
    </sheetView>
  </sheetViews>
  <sheetFormatPr defaultRowHeight="14.5" x14ac:dyDescent="0.35"/>
  <cols>
    <col min="4" max="4" width="15.26953125" bestFit="1" customWidth="1"/>
    <col min="5" max="5" width="10" bestFit="1" customWidth="1"/>
    <col min="6" max="6" width="18.6328125" bestFit="1" customWidth="1"/>
    <col min="7" max="7" width="11.54296875" bestFit="1" customWidth="1"/>
    <col min="8" max="8" width="11.90625" bestFit="1" customWidth="1"/>
    <col min="9" max="9" width="12.7265625" bestFit="1" customWidth="1"/>
  </cols>
  <sheetData>
    <row r="3" spans="3:9" x14ac:dyDescent="0.35">
      <c r="C3" t="s">
        <v>2015</v>
      </c>
      <c r="D3" t="s">
        <v>2016</v>
      </c>
      <c r="E3" t="s">
        <v>2017</v>
      </c>
      <c r="F3" t="s">
        <v>2018</v>
      </c>
      <c r="G3" t="s">
        <v>2051</v>
      </c>
      <c r="H3" t="s">
        <v>2050</v>
      </c>
      <c r="I3" t="s">
        <v>2052</v>
      </c>
    </row>
    <row r="4" spans="3:9" x14ac:dyDescent="0.35">
      <c r="C4" t="s">
        <v>1749</v>
      </c>
      <c r="D4">
        <v>1953</v>
      </c>
      <c r="E4">
        <v>1773</v>
      </c>
      <c r="F4">
        <v>1632</v>
      </c>
      <c r="G4" s="37">
        <f>E4/D4</f>
        <v>0.90783410138248843</v>
      </c>
      <c r="H4" s="37">
        <f>F4/D4</f>
        <v>0.83563748079877109</v>
      </c>
      <c r="I4">
        <v>502869</v>
      </c>
    </row>
    <row r="5" spans="3:9" x14ac:dyDescent="0.35">
      <c r="C5" t="s">
        <v>2019</v>
      </c>
      <c r="D5">
        <v>490</v>
      </c>
      <c r="E5">
        <v>278</v>
      </c>
      <c r="F5">
        <v>185</v>
      </c>
      <c r="G5" s="37">
        <f>E5/D5</f>
        <v>0.56734693877551023</v>
      </c>
      <c r="H5" s="37">
        <f>F5/D5</f>
        <v>0.37755102040816324</v>
      </c>
      <c r="I5">
        <v>264592</v>
      </c>
    </row>
    <row r="7" spans="3:9" x14ac:dyDescent="0.35">
      <c r="C7" t="s">
        <v>1826</v>
      </c>
      <c r="I7">
        <f>SUM(I4:I5)</f>
        <v>767461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9D6D-2B4D-4627-A7B4-92EEECEC1DB6}">
  <dimension ref="A1:N1826"/>
  <sheetViews>
    <sheetView tabSelected="1" topLeftCell="A1633" workbookViewId="0">
      <selection activeCell="G1642" sqref="G1642"/>
    </sheetView>
  </sheetViews>
  <sheetFormatPr defaultRowHeight="14.5" x14ac:dyDescent="0.35"/>
  <cols>
    <col min="1" max="1" width="24.81640625" bestFit="1" customWidth="1"/>
    <col min="2" max="2" width="10.6328125" style="2" bestFit="1" customWidth="1"/>
    <col min="3" max="4" width="8.7265625" style="2"/>
  </cols>
  <sheetData>
    <row r="1" spans="1:5" x14ac:dyDescent="0.35">
      <c r="A1" s="1" t="s">
        <v>2</v>
      </c>
      <c r="B1" s="9" t="s">
        <v>1750</v>
      </c>
      <c r="C1" s="9" t="s">
        <v>1751</v>
      </c>
      <c r="D1" s="9"/>
      <c r="E1" s="14" t="s">
        <v>1834</v>
      </c>
    </row>
    <row r="2" spans="1:5" x14ac:dyDescent="0.35">
      <c r="A2" s="10" t="s">
        <v>189</v>
      </c>
      <c r="B2" s="9" t="s">
        <v>1752</v>
      </c>
      <c r="C2" s="9" t="s">
        <v>1752</v>
      </c>
      <c r="D2" s="9" t="s">
        <v>1752</v>
      </c>
      <c r="E2" s="15">
        <f>IF(COUNTIF(B2:D2,"Y")&gt;0,1,0)</f>
        <v>1</v>
      </c>
    </row>
    <row r="3" spans="1:5" x14ac:dyDescent="0.35">
      <c r="A3" s="11" t="s">
        <v>190</v>
      </c>
      <c r="B3" s="9" t="s">
        <v>1752</v>
      </c>
      <c r="C3" s="9" t="s">
        <v>1752</v>
      </c>
      <c r="D3" s="9" t="s">
        <v>1752</v>
      </c>
      <c r="E3" s="15">
        <f t="shared" ref="E3:E66" si="0">IF(COUNTIF(B3:D3,"Y")&gt;0,1,0)</f>
        <v>1</v>
      </c>
    </row>
    <row r="4" spans="1:5" x14ac:dyDescent="0.35">
      <c r="A4" s="11" t="s">
        <v>191</v>
      </c>
      <c r="B4" s="9" t="s">
        <v>1752</v>
      </c>
      <c r="C4" s="9" t="s">
        <v>1752</v>
      </c>
      <c r="D4" s="9" t="s">
        <v>1752</v>
      </c>
      <c r="E4" s="15">
        <f t="shared" si="0"/>
        <v>1</v>
      </c>
    </row>
    <row r="5" spans="1:5" x14ac:dyDescent="0.35">
      <c r="A5" s="11" t="s">
        <v>192</v>
      </c>
      <c r="B5" s="9" t="s">
        <v>1752</v>
      </c>
      <c r="C5" s="9" t="s">
        <v>1752</v>
      </c>
      <c r="D5" s="9" t="s">
        <v>1752</v>
      </c>
      <c r="E5" s="15">
        <f t="shared" si="0"/>
        <v>1</v>
      </c>
    </row>
    <row r="6" spans="1:5" x14ac:dyDescent="0.35">
      <c r="A6" s="11" t="s">
        <v>193</v>
      </c>
      <c r="B6" s="9" t="s">
        <v>1752</v>
      </c>
      <c r="C6" s="9" t="s">
        <v>1752</v>
      </c>
      <c r="D6" s="9" t="s">
        <v>1827</v>
      </c>
      <c r="E6" s="15">
        <f t="shared" si="0"/>
        <v>1</v>
      </c>
    </row>
    <row r="7" spans="1:5" x14ac:dyDescent="0.35">
      <c r="A7" s="10" t="s">
        <v>194</v>
      </c>
      <c r="B7" s="9" t="s">
        <v>1752</v>
      </c>
      <c r="C7" s="9" t="s">
        <v>1752</v>
      </c>
      <c r="D7" s="9" t="s">
        <v>1827</v>
      </c>
      <c r="E7" s="15">
        <f t="shared" si="0"/>
        <v>1</v>
      </c>
    </row>
    <row r="8" spans="1:5" x14ac:dyDescent="0.35">
      <c r="A8" s="10" t="s">
        <v>195</v>
      </c>
      <c r="B8" s="9" t="s">
        <v>1752</v>
      </c>
      <c r="C8" s="9" t="s">
        <v>1752</v>
      </c>
      <c r="D8" s="9" t="s">
        <v>1827</v>
      </c>
      <c r="E8" s="15">
        <f t="shared" si="0"/>
        <v>1</v>
      </c>
    </row>
    <row r="9" spans="1:5" x14ac:dyDescent="0.35">
      <c r="A9" s="11" t="s">
        <v>196</v>
      </c>
      <c r="B9" s="9" t="s">
        <v>1752</v>
      </c>
      <c r="C9" s="9" t="s">
        <v>1752</v>
      </c>
      <c r="D9" s="9" t="s">
        <v>1827</v>
      </c>
      <c r="E9" s="15">
        <f t="shared" si="0"/>
        <v>1</v>
      </c>
    </row>
    <row r="10" spans="1:5" x14ac:dyDescent="0.35">
      <c r="A10" s="11" t="s">
        <v>197</v>
      </c>
      <c r="B10" s="9" t="s">
        <v>1752</v>
      </c>
      <c r="C10" s="9" t="s">
        <v>1752</v>
      </c>
      <c r="D10" s="9" t="s">
        <v>1827</v>
      </c>
      <c r="E10" s="15">
        <f t="shared" si="0"/>
        <v>1</v>
      </c>
    </row>
    <row r="11" spans="1:5" x14ac:dyDescent="0.35">
      <c r="A11" s="10" t="s">
        <v>198</v>
      </c>
      <c r="B11" s="9" t="s">
        <v>1752</v>
      </c>
      <c r="C11" s="9" t="s">
        <v>1752</v>
      </c>
      <c r="D11" s="9" t="s">
        <v>1827</v>
      </c>
      <c r="E11" s="15">
        <f t="shared" si="0"/>
        <v>1</v>
      </c>
    </row>
    <row r="12" spans="1:5" x14ac:dyDescent="0.35">
      <c r="A12" s="11" t="s">
        <v>199</v>
      </c>
      <c r="B12" s="9" t="s">
        <v>1752</v>
      </c>
      <c r="C12" s="9" t="s">
        <v>1752</v>
      </c>
      <c r="D12" s="9" t="s">
        <v>1827</v>
      </c>
      <c r="E12" s="15">
        <f t="shared" si="0"/>
        <v>1</v>
      </c>
    </row>
    <row r="13" spans="1:5" x14ac:dyDescent="0.35">
      <c r="A13" s="10" t="s">
        <v>200</v>
      </c>
      <c r="B13" s="9" t="s">
        <v>1752</v>
      </c>
      <c r="C13" s="9" t="s">
        <v>1752</v>
      </c>
      <c r="D13" s="9" t="s">
        <v>1827</v>
      </c>
      <c r="E13" s="15">
        <f t="shared" si="0"/>
        <v>1</v>
      </c>
    </row>
    <row r="14" spans="1:5" x14ac:dyDescent="0.35">
      <c r="A14" s="11" t="s">
        <v>201</v>
      </c>
      <c r="B14" s="9" t="s">
        <v>1752</v>
      </c>
      <c r="C14" s="9" t="s">
        <v>1752</v>
      </c>
      <c r="D14" s="9" t="s">
        <v>1827</v>
      </c>
      <c r="E14" s="15">
        <f t="shared" si="0"/>
        <v>1</v>
      </c>
    </row>
    <row r="15" spans="1:5" x14ac:dyDescent="0.35">
      <c r="A15" s="10" t="s">
        <v>202</v>
      </c>
      <c r="B15" s="9" t="s">
        <v>1752</v>
      </c>
      <c r="C15" s="9" t="s">
        <v>1752</v>
      </c>
      <c r="D15" s="9" t="s">
        <v>1827</v>
      </c>
      <c r="E15" s="15">
        <f t="shared" si="0"/>
        <v>1</v>
      </c>
    </row>
    <row r="16" spans="1:5" x14ac:dyDescent="0.35">
      <c r="A16" s="11" t="s">
        <v>203</v>
      </c>
      <c r="B16" s="9" t="s">
        <v>1752</v>
      </c>
      <c r="C16" s="9" t="s">
        <v>1752</v>
      </c>
      <c r="D16" s="9" t="s">
        <v>1827</v>
      </c>
      <c r="E16" s="15">
        <f t="shared" si="0"/>
        <v>1</v>
      </c>
    </row>
    <row r="17" spans="1:5" x14ac:dyDescent="0.35">
      <c r="A17" s="10" t="s">
        <v>204</v>
      </c>
      <c r="B17" s="9" t="s">
        <v>1752</v>
      </c>
      <c r="C17" s="9" t="s">
        <v>1752</v>
      </c>
      <c r="D17" s="9" t="s">
        <v>1827</v>
      </c>
      <c r="E17" s="15">
        <f t="shared" si="0"/>
        <v>1</v>
      </c>
    </row>
    <row r="18" spans="1:5" x14ac:dyDescent="0.35">
      <c r="A18" s="11" t="s">
        <v>205</v>
      </c>
      <c r="B18" s="9" t="s">
        <v>1752</v>
      </c>
      <c r="C18" s="9" t="s">
        <v>1752</v>
      </c>
      <c r="D18" s="9" t="s">
        <v>1752</v>
      </c>
      <c r="E18" s="15">
        <f t="shared" si="0"/>
        <v>1</v>
      </c>
    </row>
    <row r="19" spans="1:5" x14ac:dyDescent="0.35">
      <c r="A19" s="11" t="s">
        <v>206</v>
      </c>
      <c r="B19" s="9" t="s">
        <v>1752</v>
      </c>
      <c r="C19" s="9" t="s">
        <v>1752</v>
      </c>
      <c r="D19" s="9" t="s">
        <v>1752</v>
      </c>
      <c r="E19" s="15">
        <f t="shared" si="0"/>
        <v>1</v>
      </c>
    </row>
    <row r="20" spans="1:5" x14ac:dyDescent="0.35">
      <c r="A20" s="10" t="s">
        <v>207</v>
      </c>
      <c r="B20" s="9" t="s">
        <v>1752</v>
      </c>
      <c r="C20" s="9" t="s">
        <v>1752</v>
      </c>
      <c r="D20" s="9" t="s">
        <v>1752</v>
      </c>
      <c r="E20" s="15">
        <f t="shared" si="0"/>
        <v>1</v>
      </c>
    </row>
    <row r="21" spans="1:5" x14ac:dyDescent="0.35">
      <c r="A21" s="10" t="s">
        <v>208</v>
      </c>
      <c r="B21" s="9" t="s">
        <v>1752</v>
      </c>
      <c r="C21" s="9" t="s">
        <v>1752</v>
      </c>
      <c r="D21" s="9" t="s">
        <v>1752</v>
      </c>
      <c r="E21" s="15">
        <f t="shared" si="0"/>
        <v>1</v>
      </c>
    </row>
    <row r="22" spans="1:5" x14ac:dyDescent="0.35">
      <c r="A22" s="11" t="s">
        <v>209</v>
      </c>
      <c r="B22" s="9" t="s">
        <v>1752</v>
      </c>
      <c r="C22" s="9" t="s">
        <v>1752</v>
      </c>
      <c r="D22" s="9" t="s">
        <v>1752</v>
      </c>
      <c r="E22" s="15">
        <f t="shared" si="0"/>
        <v>1</v>
      </c>
    </row>
    <row r="23" spans="1:5" x14ac:dyDescent="0.35">
      <c r="A23" s="11" t="s">
        <v>210</v>
      </c>
      <c r="B23" s="9" t="s">
        <v>1752</v>
      </c>
      <c r="C23" s="9" t="s">
        <v>1752</v>
      </c>
      <c r="D23" s="9" t="s">
        <v>1752</v>
      </c>
      <c r="E23" s="15">
        <f t="shared" si="0"/>
        <v>1</v>
      </c>
    </row>
    <row r="24" spans="1:5" x14ac:dyDescent="0.35">
      <c r="A24" s="11" t="s">
        <v>211</v>
      </c>
      <c r="B24" s="9" t="s">
        <v>1752</v>
      </c>
      <c r="C24" s="9" t="s">
        <v>1752</v>
      </c>
      <c r="D24" s="9" t="s">
        <v>1752</v>
      </c>
      <c r="E24" s="15">
        <f t="shared" si="0"/>
        <v>1</v>
      </c>
    </row>
    <row r="25" spans="1:5" x14ac:dyDescent="0.35">
      <c r="A25" s="10" t="s">
        <v>212</v>
      </c>
      <c r="B25" s="9" t="s">
        <v>1752</v>
      </c>
      <c r="C25" s="9" t="s">
        <v>1752</v>
      </c>
      <c r="D25" s="9" t="s">
        <v>1752</v>
      </c>
      <c r="E25" s="15">
        <f t="shared" si="0"/>
        <v>1</v>
      </c>
    </row>
    <row r="26" spans="1:5" x14ac:dyDescent="0.35">
      <c r="A26" s="11" t="s">
        <v>213</v>
      </c>
      <c r="B26" s="9" t="s">
        <v>1752</v>
      </c>
      <c r="C26" s="9" t="s">
        <v>1752</v>
      </c>
      <c r="D26" s="9" t="s">
        <v>1752</v>
      </c>
      <c r="E26" s="15">
        <f t="shared" si="0"/>
        <v>1</v>
      </c>
    </row>
    <row r="27" spans="1:5" x14ac:dyDescent="0.35">
      <c r="A27" s="10" t="s">
        <v>214</v>
      </c>
      <c r="B27" s="9" t="s">
        <v>1752</v>
      </c>
      <c r="C27" s="9" t="s">
        <v>1752</v>
      </c>
      <c r="D27" s="9" t="s">
        <v>1752</v>
      </c>
      <c r="E27" s="15">
        <f t="shared" si="0"/>
        <v>1</v>
      </c>
    </row>
    <row r="28" spans="1:5" x14ac:dyDescent="0.35">
      <c r="A28" s="10" t="s">
        <v>215</v>
      </c>
      <c r="B28" s="9" t="s">
        <v>1827</v>
      </c>
      <c r="C28" s="9" t="s">
        <v>1752</v>
      </c>
      <c r="D28" s="9" t="s">
        <v>1752</v>
      </c>
      <c r="E28" s="15">
        <f t="shared" si="0"/>
        <v>1</v>
      </c>
    </row>
    <row r="29" spans="1:5" x14ac:dyDescent="0.35">
      <c r="A29" s="11" t="s">
        <v>216</v>
      </c>
      <c r="B29" s="9" t="s">
        <v>1752</v>
      </c>
      <c r="C29" s="9" t="s">
        <v>1752</v>
      </c>
      <c r="D29" s="9" t="s">
        <v>1752</v>
      </c>
      <c r="E29" s="15">
        <f t="shared" si="0"/>
        <v>1</v>
      </c>
    </row>
    <row r="30" spans="1:5" x14ac:dyDescent="0.35">
      <c r="A30" s="11" t="s">
        <v>217</v>
      </c>
      <c r="B30" s="9" t="s">
        <v>1752</v>
      </c>
      <c r="C30" s="9" t="s">
        <v>1752</v>
      </c>
      <c r="D30" s="9" t="s">
        <v>1752</v>
      </c>
      <c r="E30" s="15">
        <f t="shared" si="0"/>
        <v>1</v>
      </c>
    </row>
    <row r="31" spans="1:5" x14ac:dyDescent="0.35">
      <c r="A31" s="10" t="s">
        <v>218</v>
      </c>
      <c r="B31" s="9" t="s">
        <v>1752</v>
      </c>
      <c r="C31" s="9" t="s">
        <v>1752</v>
      </c>
      <c r="D31" s="9" t="s">
        <v>1752</v>
      </c>
      <c r="E31" s="15">
        <f t="shared" si="0"/>
        <v>1</v>
      </c>
    </row>
    <row r="32" spans="1:5" x14ac:dyDescent="0.35">
      <c r="A32" s="11" t="s">
        <v>219</v>
      </c>
      <c r="B32" s="9" t="s">
        <v>1752</v>
      </c>
      <c r="C32" s="9" t="s">
        <v>1752</v>
      </c>
      <c r="D32" s="9" t="s">
        <v>1827</v>
      </c>
      <c r="E32" s="15">
        <f t="shared" si="0"/>
        <v>1</v>
      </c>
    </row>
    <row r="33" spans="1:5" x14ac:dyDescent="0.35">
      <c r="A33" s="10" t="s">
        <v>220</v>
      </c>
      <c r="B33" s="9" t="s">
        <v>1752</v>
      </c>
      <c r="C33" s="9" t="s">
        <v>1752</v>
      </c>
      <c r="D33" s="9" t="s">
        <v>1752</v>
      </c>
      <c r="E33" s="15">
        <f t="shared" si="0"/>
        <v>1</v>
      </c>
    </row>
    <row r="34" spans="1:5" x14ac:dyDescent="0.35">
      <c r="A34" s="10" t="s">
        <v>221</v>
      </c>
      <c r="B34" s="9" t="s">
        <v>1752</v>
      </c>
      <c r="C34" s="9" t="s">
        <v>1752</v>
      </c>
      <c r="D34" s="9" t="s">
        <v>1752</v>
      </c>
      <c r="E34" s="15">
        <f t="shared" si="0"/>
        <v>1</v>
      </c>
    </row>
    <row r="35" spans="1:5" x14ac:dyDescent="0.35">
      <c r="A35" s="11" t="s">
        <v>222</v>
      </c>
      <c r="B35" s="9" t="s">
        <v>1752</v>
      </c>
      <c r="C35" s="9" t="s">
        <v>1752</v>
      </c>
      <c r="D35" s="9" t="s">
        <v>1752</v>
      </c>
      <c r="E35" s="15">
        <f t="shared" si="0"/>
        <v>1</v>
      </c>
    </row>
    <row r="36" spans="1:5" x14ac:dyDescent="0.35">
      <c r="A36" s="11" t="s">
        <v>223</v>
      </c>
      <c r="B36" s="9" t="s">
        <v>1752</v>
      </c>
      <c r="C36" s="9" t="s">
        <v>1752</v>
      </c>
      <c r="D36" s="9" t="s">
        <v>1752</v>
      </c>
      <c r="E36" s="15">
        <f t="shared" si="0"/>
        <v>1</v>
      </c>
    </row>
    <row r="37" spans="1:5" x14ac:dyDescent="0.35">
      <c r="A37" s="10" t="s">
        <v>224</v>
      </c>
      <c r="B37" s="9" t="s">
        <v>1752</v>
      </c>
      <c r="C37" s="9" t="s">
        <v>1752</v>
      </c>
      <c r="D37" s="9" t="s">
        <v>1752</v>
      </c>
      <c r="E37" s="15">
        <f t="shared" si="0"/>
        <v>1</v>
      </c>
    </row>
    <row r="38" spans="1:5" x14ac:dyDescent="0.35">
      <c r="A38" s="11" t="s">
        <v>225</v>
      </c>
      <c r="B38" s="9" t="s">
        <v>1752</v>
      </c>
      <c r="C38" s="9" t="s">
        <v>1752</v>
      </c>
      <c r="D38" s="9" t="s">
        <v>1752</v>
      </c>
      <c r="E38" s="15">
        <f t="shared" si="0"/>
        <v>1</v>
      </c>
    </row>
    <row r="39" spans="1:5" x14ac:dyDescent="0.35">
      <c r="A39" s="11" t="s">
        <v>226</v>
      </c>
      <c r="B39" s="9" t="s">
        <v>1752</v>
      </c>
      <c r="C39" s="9" t="s">
        <v>1752</v>
      </c>
      <c r="D39" s="9" t="s">
        <v>1752</v>
      </c>
      <c r="E39" s="15">
        <f t="shared" si="0"/>
        <v>1</v>
      </c>
    </row>
    <row r="40" spans="1:5" x14ac:dyDescent="0.35">
      <c r="A40" s="10" t="s">
        <v>227</v>
      </c>
      <c r="B40" s="9" t="s">
        <v>1752</v>
      </c>
      <c r="C40" s="9" t="s">
        <v>1752</v>
      </c>
      <c r="D40" s="9" t="s">
        <v>1752</v>
      </c>
      <c r="E40" s="15">
        <f t="shared" si="0"/>
        <v>1</v>
      </c>
    </row>
    <row r="41" spans="1:5" x14ac:dyDescent="0.35">
      <c r="A41" s="11" t="s">
        <v>228</v>
      </c>
      <c r="B41" s="9" t="s">
        <v>1752</v>
      </c>
      <c r="C41" s="9" t="s">
        <v>1752</v>
      </c>
      <c r="D41" s="9" t="s">
        <v>1752</v>
      </c>
      <c r="E41" s="15">
        <f t="shared" si="0"/>
        <v>1</v>
      </c>
    </row>
    <row r="42" spans="1:5" x14ac:dyDescent="0.35">
      <c r="A42" s="11" t="s">
        <v>229</v>
      </c>
      <c r="B42" s="9" t="s">
        <v>1752</v>
      </c>
      <c r="C42" s="9" t="s">
        <v>1752</v>
      </c>
      <c r="D42" s="9" t="s">
        <v>1752</v>
      </c>
      <c r="E42" s="15">
        <f t="shared" si="0"/>
        <v>1</v>
      </c>
    </row>
    <row r="43" spans="1:5" x14ac:dyDescent="0.35">
      <c r="A43" s="11" t="s">
        <v>230</v>
      </c>
      <c r="B43" s="9" t="s">
        <v>1752</v>
      </c>
      <c r="C43" s="9" t="s">
        <v>1752</v>
      </c>
      <c r="D43" s="9" t="s">
        <v>1752</v>
      </c>
      <c r="E43" s="15">
        <f t="shared" si="0"/>
        <v>1</v>
      </c>
    </row>
    <row r="44" spans="1:5" x14ac:dyDescent="0.35">
      <c r="A44" s="11" t="s">
        <v>231</v>
      </c>
      <c r="B44" s="9" t="s">
        <v>1752</v>
      </c>
      <c r="C44" s="9" t="s">
        <v>1752</v>
      </c>
      <c r="D44" s="9" t="s">
        <v>1752</v>
      </c>
      <c r="E44" s="15">
        <f t="shared" si="0"/>
        <v>1</v>
      </c>
    </row>
    <row r="45" spans="1:5" x14ac:dyDescent="0.35">
      <c r="A45" s="10" t="s">
        <v>232</v>
      </c>
      <c r="B45" s="9" t="s">
        <v>1752</v>
      </c>
      <c r="C45" s="9" t="s">
        <v>1752</v>
      </c>
      <c r="D45" s="9" t="s">
        <v>1752</v>
      </c>
      <c r="E45" s="15">
        <f t="shared" si="0"/>
        <v>1</v>
      </c>
    </row>
    <row r="46" spans="1:5" x14ac:dyDescent="0.35">
      <c r="A46" s="10" t="s">
        <v>233</v>
      </c>
      <c r="B46" s="9" t="s">
        <v>1752</v>
      </c>
      <c r="C46" s="9" t="s">
        <v>1752</v>
      </c>
      <c r="D46" s="9" t="s">
        <v>1752</v>
      </c>
      <c r="E46" s="15">
        <f t="shared" si="0"/>
        <v>1</v>
      </c>
    </row>
    <row r="47" spans="1:5" x14ac:dyDescent="0.35">
      <c r="A47" s="11" t="s">
        <v>234</v>
      </c>
      <c r="B47" s="9" t="s">
        <v>1752</v>
      </c>
      <c r="C47" s="9" t="s">
        <v>1752</v>
      </c>
      <c r="D47" s="9" t="s">
        <v>1752</v>
      </c>
      <c r="E47" s="15">
        <f t="shared" si="0"/>
        <v>1</v>
      </c>
    </row>
    <row r="48" spans="1:5" x14ac:dyDescent="0.35">
      <c r="A48" s="11" t="s">
        <v>235</v>
      </c>
      <c r="B48" s="9" t="s">
        <v>1752</v>
      </c>
      <c r="C48" s="9" t="s">
        <v>1752</v>
      </c>
      <c r="D48" s="9" t="s">
        <v>1752</v>
      </c>
      <c r="E48" s="15">
        <f t="shared" si="0"/>
        <v>1</v>
      </c>
    </row>
    <row r="49" spans="1:5" x14ac:dyDescent="0.35">
      <c r="A49" s="11" t="s">
        <v>236</v>
      </c>
      <c r="B49" s="9" t="s">
        <v>1752</v>
      </c>
      <c r="C49" s="9" t="s">
        <v>1752</v>
      </c>
      <c r="D49" s="9" t="s">
        <v>1752</v>
      </c>
      <c r="E49" s="15">
        <f t="shared" si="0"/>
        <v>1</v>
      </c>
    </row>
    <row r="50" spans="1:5" x14ac:dyDescent="0.35">
      <c r="A50" s="11" t="s">
        <v>237</v>
      </c>
      <c r="B50" s="9" t="s">
        <v>1752</v>
      </c>
      <c r="C50" s="9" t="s">
        <v>1752</v>
      </c>
      <c r="D50" s="9" t="s">
        <v>1752</v>
      </c>
      <c r="E50" s="15">
        <f t="shared" si="0"/>
        <v>1</v>
      </c>
    </row>
    <row r="51" spans="1:5" x14ac:dyDescent="0.35">
      <c r="A51" s="10" t="s">
        <v>238</v>
      </c>
      <c r="B51" s="9" t="s">
        <v>1752</v>
      </c>
      <c r="C51" s="9" t="s">
        <v>1752</v>
      </c>
      <c r="D51" s="9" t="s">
        <v>1752</v>
      </c>
      <c r="E51" s="15">
        <f t="shared" si="0"/>
        <v>1</v>
      </c>
    </row>
    <row r="52" spans="1:5" x14ac:dyDescent="0.35">
      <c r="A52" s="11" t="s">
        <v>239</v>
      </c>
      <c r="B52" s="9" t="s">
        <v>1752</v>
      </c>
      <c r="C52" s="9" t="s">
        <v>1752</v>
      </c>
      <c r="D52" s="9" t="s">
        <v>1752</v>
      </c>
      <c r="E52" s="15">
        <f t="shared" si="0"/>
        <v>1</v>
      </c>
    </row>
    <row r="53" spans="1:5" x14ac:dyDescent="0.35">
      <c r="A53" s="10" t="s">
        <v>240</v>
      </c>
      <c r="B53" s="9" t="s">
        <v>1752</v>
      </c>
      <c r="C53" s="9" t="s">
        <v>1752</v>
      </c>
      <c r="D53" s="9" t="s">
        <v>1752</v>
      </c>
      <c r="E53" s="15">
        <f t="shared" si="0"/>
        <v>1</v>
      </c>
    </row>
    <row r="54" spans="1:5" x14ac:dyDescent="0.35">
      <c r="A54" s="11" t="s">
        <v>241</v>
      </c>
      <c r="B54" s="9" t="s">
        <v>1752</v>
      </c>
      <c r="C54" s="9" t="s">
        <v>1752</v>
      </c>
      <c r="D54" s="9" t="s">
        <v>1752</v>
      </c>
      <c r="E54" s="15">
        <f t="shared" si="0"/>
        <v>1</v>
      </c>
    </row>
    <row r="55" spans="1:5" x14ac:dyDescent="0.35">
      <c r="A55" s="10" t="s">
        <v>242</v>
      </c>
      <c r="B55" s="9" t="s">
        <v>1752</v>
      </c>
      <c r="C55" s="9" t="s">
        <v>1752</v>
      </c>
      <c r="D55" s="9" t="s">
        <v>1752</v>
      </c>
      <c r="E55" s="15">
        <f t="shared" si="0"/>
        <v>1</v>
      </c>
    </row>
    <row r="56" spans="1:5" x14ac:dyDescent="0.35">
      <c r="A56" s="10" t="s">
        <v>243</v>
      </c>
      <c r="B56" s="9" t="s">
        <v>1752</v>
      </c>
      <c r="C56" s="9" t="s">
        <v>1752</v>
      </c>
      <c r="D56" s="9" t="s">
        <v>1752</v>
      </c>
      <c r="E56" s="15">
        <f t="shared" si="0"/>
        <v>1</v>
      </c>
    </row>
    <row r="57" spans="1:5" x14ac:dyDescent="0.35">
      <c r="A57" s="10" t="s">
        <v>244</v>
      </c>
      <c r="B57" s="9" t="s">
        <v>1752</v>
      </c>
      <c r="C57" s="9" t="s">
        <v>1752</v>
      </c>
      <c r="D57" s="9" t="s">
        <v>1752</v>
      </c>
      <c r="E57" s="15">
        <f t="shared" si="0"/>
        <v>1</v>
      </c>
    </row>
    <row r="58" spans="1:5" x14ac:dyDescent="0.35">
      <c r="A58" s="11" t="s">
        <v>245</v>
      </c>
      <c r="B58" s="9" t="s">
        <v>1752</v>
      </c>
      <c r="C58" s="9" t="s">
        <v>1752</v>
      </c>
      <c r="D58" s="9" t="s">
        <v>1752</v>
      </c>
      <c r="E58" s="15">
        <f t="shared" si="0"/>
        <v>1</v>
      </c>
    </row>
    <row r="59" spans="1:5" x14ac:dyDescent="0.35">
      <c r="A59" s="10" t="s">
        <v>246</v>
      </c>
      <c r="B59" s="9" t="s">
        <v>1752</v>
      </c>
      <c r="C59" s="9" t="s">
        <v>1752</v>
      </c>
      <c r="D59" s="9" t="s">
        <v>1752</v>
      </c>
      <c r="E59" s="15">
        <f t="shared" si="0"/>
        <v>1</v>
      </c>
    </row>
    <row r="60" spans="1:5" x14ac:dyDescent="0.35">
      <c r="A60" s="11" t="s">
        <v>247</v>
      </c>
      <c r="B60" s="9" t="s">
        <v>1752</v>
      </c>
      <c r="C60" s="9" t="s">
        <v>1752</v>
      </c>
      <c r="D60" s="9" t="s">
        <v>1752</v>
      </c>
      <c r="E60" s="15">
        <f t="shared" si="0"/>
        <v>1</v>
      </c>
    </row>
    <row r="61" spans="1:5" x14ac:dyDescent="0.35">
      <c r="A61" s="11" t="s">
        <v>248</v>
      </c>
      <c r="B61" s="9" t="s">
        <v>1752</v>
      </c>
      <c r="C61" s="9" t="s">
        <v>1752</v>
      </c>
      <c r="D61" s="9" t="s">
        <v>1752</v>
      </c>
      <c r="E61" s="15">
        <f t="shared" si="0"/>
        <v>1</v>
      </c>
    </row>
    <row r="62" spans="1:5" x14ac:dyDescent="0.35">
      <c r="A62" s="10" t="s">
        <v>249</v>
      </c>
      <c r="B62" s="9" t="s">
        <v>1752</v>
      </c>
      <c r="C62" s="9" t="s">
        <v>1752</v>
      </c>
      <c r="D62" s="9" t="s">
        <v>1752</v>
      </c>
      <c r="E62" s="15">
        <f t="shared" si="0"/>
        <v>1</v>
      </c>
    </row>
    <row r="63" spans="1:5" x14ac:dyDescent="0.35">
      <c r="A63" s="10" t="s">
        <v>250</v>
      </c>
      <c r="B63" s="9" t="s">
        <v>1752</v>
      </c>
      <c r="C63" s="9" t="s">
        <v>1752</v>
      </c>
      <c r="D63" s="9" t="s">
        <v>1752</v>
      </c>
      <c r="E63" s="15">
        <f t="shared" si="0"/>
        <v>1</v>
      </c>
    </row>
    <row r="64" spans="1:5" x14ac:dyDescent="0.35">
      <c r="A64" s="11" t="s">
        <v>251</v>
      </c>
      <c r="B64" s="9" t="s">
        <v>1752</v>
      </c>
      <c r="C64" s="9" t="s">
        <v>1752</v>
      </c>
      <c r="D64" s="9" t="s">
        <v>1752</v>
      </c>
      <c r="E64" s="15">
        <f t="shared" si="0"/>
        <v>1</v>
      </c>
    </row>
    <row r="65" spans="1:5" x14ac:dyDescent="0.35">
      <c r="A65" s="10" t="s">
        <v>252</v>
      </c>
      <c r="B65" s="9" t="s">
        <v>1827</v>
      </c>
      <c r="C65" s="9" t="s">
        <v>1752</v>
      </c>
      <c r="D65" s="9" t="s">
        <v>1752</v>
      </c>
      <c r="E65" s="15">
        <f t="shared" si="0"/>
        <v>1</v>
      </c>
    </row>
    <row r="66" spans="1:5" x14ac:dyDescent="0.35">
      <c r="A66" s="10" t="s">
        <v>253</v>
      </c>
      <c r="B66" s="9" t="s">
        <v>1752</v>
      </c>
      <c r="C66" s="9" t="s">
        <v>1752</v>
      </c>
      <c r="D66" s="9" t="s">
        <v>1752</v>
      </c>
      <c r="E66" s="15">
        <f t="shared" si="0"/>
        <v>1</v>
      </c>
    </row>
    <row r="67" spans="1:5" x14ac:dyDescent="0.35">
      <c r="A67" s="11" t="s">
        <v>254</v>
      </c>
      <c r="B67" s="9" t="s">
        <v>1752</v>
      </c>
      <c r="C67" s="9" t="s">
        <v>1752</v>
      </c>
      <c r="D67" s="9" t="s">
        <v>1827</v>
      </c>
      <c r="E67" s="15">
        <f t="shared" ref="E67:E130" si="1">IF(COUNTIF(B67:D67,"Y")&gt;0,1,0)</f>
        <v>1</v>
      </c>
    </row>
    <row r="68" spans="1:5" x14ac:dyDescent="0.35">
      <c r="A68" s="10" t="s">
        <v>255</v>
      </c>
      <c r="B68" s="9" t="s">
        <v>1752</v>
      </c>
      <c r="C68" s="9" t="s">
        <v>1752</v>
      </c>
      <c r="D68" s="9" t="s">
        <v>1752</v>
      </c>
      <c r="E68" s="15">
        <f t="shared" si="1"/>
        <v>1</v>
      </c>
    </row>
    <row r="69" spans="1:5" x14ac:dyDescent="0.35">
      <c r="A69" s="11" t="s">
        <v>256</v>
      </c>
      <c r="B69" s="9" t="s">
        <v>1752</v>
      </c>
      <c r="C69" s="9" t="s">
        <v>1752</v>
      </c>
      <c r="D69" s="9" t="s">
        <v>1752</v>
      </c>
      <c r="E69" s="15">
        <f t="shared" si="1"/>
        <v>1</v>
      </c>
    </row>
    <row r="70" spans="1:5" x14ac:dyDescent="0.35">
      <c r="A70" s="10" t="s">
        <v>257</v>
      </c>
      <c r="B70" s="9" t="s">
        <v>1752</v>
      </c>
      <c r="C70" s="9" t="s">
        <v>1752</v>
      </c>
      <c r="D70" s="9" t="s">
        <v>1752</v>
      </c>
      <c r="E70" s="15">
        <f t="shared" si="1"/>
        <v>1</v>
      </c>
    </row>
    <row r="71" spans="1:5" x14ac:dyDescent="0.35">
      <c r="A71" s="10" t="s">
        <v>258</v>
      </c>
      <c r="B71" s="9" t="s">
        <v>1752</v>
      </c>
      <c r="C71" s="9" t="s">
        <v>1752</v>
      </c>
      <c r="D71" s="9" t="s">
        <v>1752</v>
      </c>
      <c r="E71" s="15">
        <f t="shared" si="1"/>
        <v>1</v>
      </c>
    </row>
    <row r="72" spans="1:5" x14ac:dyDescent="0.35">
      <c r="A72" s="11" t="s">
        <v>259</v>
      </c>
      <c r="B72" s="9" t="s">
        <v>1752</v>
      </c>
      <c r="C72" s="9" t="s">
        <v>1752</v>
      </c>
      <c r="D72" s="9" t="s">
        <v>1752</v>
      </c>
      <c r="E72" s="15">
        <f t="shared" si="1"/>
        <v>1</v>
      </c>
    </row>
    <row r="73" spans="1:5" x14ac:dyDescent="0.35">
      <c r="A73" s="11" t="s">
        <v>260</v>
      </c>
      <c r="B73" s="9" t="s">
        <v>1752</v>
      </c>
      <c r="C73" s="9" t="s">
        <v>1752</v>
      </c>
      <c r="D73" s="9" t="s">
        <v>1752</v>
      </c>
      <c r="E73" s="15">
        <f t="shared" si="1"/>
        <v>1</v>
      </c>
    </row>
    <row r="74" spans="1:5" x14ac:dyDescent="0.35">
      <c r="A74" s="10" t="s">
        <v>261</v>
      </c>
      <c r="B74" s="9" t="s">
        <v>1752</v>
      </c>
      <c r="C74" s="9" t="s">
        <v>1752</v>
      </c>
      <c r="D74" s="9" t="s">
        <v>1752</v>
      </c>
      <c r="E74" s="15">
        <f t="shared" si="1"/>
        <v>1</v>
      </c>
    </row>
    <row r="75" spans="1:5" x14ac:dyDescent="0.35">
      <c r="A75" s="11" t="s">
        <v>262</v>
      </c>
      <c r="B75" s="9" t="s">
        <v>1752</v>
      </c>
      <c r="C75" s="9" t="s">
        <v>1752</v>
      </c>
      <c r="D75" s="9" t="s">
        <v>1752</v>
      </c>
      <c r="E75" s="15">
        <f t="shared" si="1"/>
        <v>1</v>
      </c>
    </row>
    <row r="76" spans="1:5" x14ac:dyDescent="0.35">
      <c r="A76" s="11" t="s">
        <v>263</v>
      </c>
      <c r="B76" s="9" t="s">
        <v>1752</v>
      </c>
      <c r="C76" s="9" t="s">
        <v>1752</v>
      </c>
      <c r="D76" s="9" t="s">
        <v>1752</v>
      </c>
      <c r="E76" s="15">
        <f t="shared" si="1"/>
        <v>1</v>
      </c>
    </row>
    <row r="77" spans="1:5" x14ac:dyDescent="0.35">
      <c r="A77" s="10" t="s">
        <v>264</v>
      </c>
      <c r="B77" s="9" t="s">
        <v>1752</v>
      </c>
      <c r="C77" s="9" t="s">
        <v>1752</v>
      </c>
      <c r="D77" s="9" t="s">
        <v>1752</v>
      </c>
      <c r="E77" s="15">
        <f t="shared" si="1"/>
        <v>1</v>
      </c>
    </row>
    <row r="78" spans="1:5" x14ac:dyDescent="0.35">
      <c r="A78" s="10" t="s">
        <v>265</v>
      </c>
      <c r="B78" s="9" t="s">
        <v>1752</v>
      </c>
      <c r="C78" s="9" t="s">
        <v>1752</v>
      </c>
      <c r="D78" s="9" t="s">
        <v>1827</v>
      </c>
      <c r="E78" s="15">
        <f t="shared" si="1"/>
        <v>1</v>
      </c>
    </row>
    <row r="79" spans="1:5" x14ac:dyDescent="0.35">
      <c r="A79" s="11" t="s">
        <v>266</v>
      </c>
      <c r="B79" s="9" t="s">
        <v>1752</v>
      </c>
      <c r="C79" s="9" t="s">
        <v>1752</v>
      </c>
      <c r="D79" s="9" t="s">
        <v>1752</v>
      </c>
      <c r="E79" s="15">
        <f t="shared" si="1"/>
        <v>1</v>
      </c>
    </row>
    <row r="80" spans="1:5" x14ac:dyDescent="0.35">
      <c r="A80" s="10" t="s">
        <v>267</v>
      </c>
      <c r="B80" s="9" t="s">
        <v>1752</v>
      </c>
      <c r="C80" s="9" t="s">
        <v>1752</v>
      </c>
      <c r="D80" s="9" t="s">
        <v>1752</v>
      </c>
      <c r="E80" s="15">
        <f t="shared" si="1"/>
        <v>1</v>
      </c>
    </row>
    <row r="81" spans="1:5" x14ac:dyDescent="0.35">
      <c r="A81" s="10" t="s">
        <v>268</v>
      </c>
      <c r="B81" s="9" t="s">
        <v>1752</v>
      </c>
      <c r="C81" s="9" t="s">
        <v>1752</v>
      </c>
      <c r="D81" s="9" t="s">
        <v>1827</v>
      </c>
      <c r="E81" s="15">
        <f t="shared" si="1"/>
        <v>1</v>
      </c>
    </row>
    <row r="82" spans="1:5" x14ac:dyDescent="0.35">
      <c r="A82" s="10" t="s">
        <v>269</v>
      </c>
      <c r="B82" s="9" t="s">
        <v>1752</v>
      </c>
      <c r="C82" s="9" t="s">
        <v>1752</v>
      </c>
      <c r="D82" s="9" t="s">
        <v>1752</v>
      </c>
      <c r="E82" s="15">
        <f t="shared" si="1"/>
        <v>1</v>
      </c>
    </row>
    <row r="83" spans="1:5" x14ac:dyDescent="0.35">
      <c r="A83" s="11" t="s">
        <v>270</v>
      </c>
      <c r="B83" s="9" t="s">
        <v>1752</v>
      </c>
      <c r="C83" s="9" t="s">
        <v>1752</v>
      </c>
      <c r="D83" s="9" t="s">
        <v>1827</v>
      </c>
      <c r="E83" s="15">
        <f t="shared" si="1"/>
        <v>1</v>
      </c>
    </row>
    <row r="84" spans="1:5" x14ac:dyDescent="0.35">
      <c r="A84" s="11" t="s">
        <v>271</v>
      </c>
      <c r="B84" s="9" t="s">
        <v>1752</v>
      </c>
      <c r="C84" s="9" t="s">
        <v>1752</v>
      </c>
      <c r="D84" s="9" t="s">
        <v>1752</v>
      </c>
      <c r="E84" s="15">
        <f t="shared" si="1"/>
        <v>1</v>
      </c>
    </row>
    <row r="85" spans="1:5" x14ac:dyDescent="0.35">
      <c r="A85" s="11" t="s">
        <v>272</v>
      </c>
      <c r="B85" s="9" t="s">
        <v>1752</v>
      </c>
      <c r="C85" s="9" t="s">
        <v>1752</v>
      </c>
      <c r="D85" s="9" t="s">
        <v>1752</v>
      </c>
      <c r="E85" s="15">
        <f t="shared" si="1"/>
        <v>1</v>
      </c>
    </row>
    <row r="86" spans="1:5" x14ac:dyDescent="0.35">
      <c r="A86" s="11" t="s">
        <v>273</v>
      </c>
      <c r="B86" s="9" t="s">
        <v>1752</v>
      </c>
      <c r="C86" s="9" t="s">
        <v>1752</v>
      </c>
      <c r="D86" s="9" t="s">
        <v>1752</v>
      </c>
      <c r="E86" s="15">
        <f t="shared" si="1"/>
        <v>1</v>
      </c>
    </row>
    <row r="87" spans="1:5" x14ac:dyDescent="0.35">
      <c r="A87" s="11" t="s">
        <v>274</v>
      </c>
      <c r="B87" s="9" t="s">
        <v>1752</v>
      </c>
      <c r="C87" s="9" t="s">
        <v>1752</v>
      </c>
      <c r="D87" s="9" t="s">
        <v>1752</v>
      </c>
      <c r="E87" s="15">
        <f t="shared" si="1"/>
        <v>1</v>
      </c>
    </row>
    <row r="88" spans="1:5" x14ac:dyDescent="0.35">
      <c r="A88" s="10" t="s">
        <v>275</v>
      </c>
      <c r="B88" s="9" t="s">
        <v>1752</v>
      </c>
      <c r="C88" s="9" t="s">
        <v>1752</v>
      </c>
      <c r="D88" s="9" t="s">
        <v>1752</v>
      </c>
      <c r="E88" s="15">
        <f t="shared" si="1"/>
        <v>1</v>
      </c>
    </row>
    <row r="89" spans="1:5" x14ac:dyDescent="0.35">
      <c r="A89" s="11" t="s">
        <v>276</v>
      </c>
      <c r="B89" s="9" t="s">
        <v>1752</v>
      </c>
      <c r="C89" s="9" t="s">
        <v>1752</v>
      </c>
      <c r="D89" s="9" t="s">
        <v>1752</v>
      </c>
      <c r="E89" s="15">
        <f t="shared" si="1"/>
        <v>1</v>
      </c>
    </row>
    <row r="90" spans="1:5" x14ac:dyDescent="0.35">
      <c r="A90" s="10" t="s">
        <v>277</v>
      </c>
      <c r="B90" s="9" t="s">
        <v>1752</v>
      </c>
      <c r="C90" s="9" t="s">
        <v>1752</v>
      </c>
      <c r="D90" s="9" t="s">
        <v>1752</v>
      </c>
      <c r="E90" s="15">
        <f t="shared" si="1"/>
        <v>1</v>
      </c>
    </row>
    <row r="91" spans="1:5" x14ac:dyDescent="0.35">
      <c r="A91" s="10" t="s">
        <v>278</v>
      </c>
      <c r="B91" s="9" t="s">
        <v>1752</v>
      </c>
      <c r="C91" s="9" t="s">
        <v>1752</v>
      </c>
      <c r="D91" s="9" t="s">
        <v>1752</v>
      </c>
      <c r="E91" s="15">
        <f t="shared" si="1"/>
        <v>1</v>
      </c>
    </row>
    <row r="92" spans="1:5" x14ac:dyDescent="0.35">
      <c r="A92" s="11" t="s">
        <v>279</v>
      </c>
      <c r="B92" s="9" t="s">
        <v>1752</v>
      </c>
      <c r="C92" s="9" t="s">
        <v>1752</v>
      </c>
      <c r="D92" s="9" t="s">
        <v>1752</v>
      </c>
      <c r="E92" s="15">
        <f t="shared" si="1"/>
        <v>1</v>
      </c>
    </row>
    <row r="93" spans="1:5" x14ac:dyDescent="0.35">
      <c r="A93" s="10" t="s">
        <v>280</v>
      </c>
      <c r="B93" s="9" t="s">
        <v>1752</v>
      </c>
      <c r="C93" s="9" t="s">
        <v>1752</v>
      </c>
      <c r="D93" s="9" t="s">
        <v>1752</v>
      </c>
      <c r="E93" s="15">
        <f t="shared" si="1"/>
        <v>1</v>
      </c>
    </row>
    <row r="94" spans="1:5" x14ac:dyDescent="0.35">
      <c r="A94" s="11" t="s">
        <v>281</v>
      </c>
      <c r="B94" s="9" t="s">
        <v>1752</v>
      </c>
      <c r="C94" s="9" t="s">
        <v>1752</v>
      </c>
      <c r="D94" s="9" t="s">
        <v>1752</v>
      </c>
      <c r="E94" s="15">
        <f t="shared" si="1"/>
        <v>1</v>
      </c>
    </row>
    <row r="95" spans="1:5" x14ac:dyDescent="0.35">
      <c r="A95" s="11" t="s">
        <v>282</v>
      </c>
      <c r="B95" s="9" t="s">
        <v>1752</v>
      </c>
      <c r="C95" s="9" t="s">
        <v>1752</v>
      </c>
      <c r="D95" s="9" t="s">
        <v>1752</v>
      </c>
      <c r="E95" s="15">
        <f t="shared" si="1"/>
        <v>1</v>
      </c>
    </row>
    <row r="96" spans="1:5" x14ac:dyDescent="0.35">
      <c r="A96" s="10" t="s">
        <v>283</v>
      </c>
      <c r="B96" s="9" t="s">
        <v>1752</v>
      </c>
      <c r="C96" s="9" t="s">
        <v>1752</v>
      </c>
      <c r="D96" s="9" t="s">
        <v>1752</v>
      </c>
      <c r="E96" s="15">
        <f t="shared" si="1"/>
        <v>1</v>
      </c>
    </row>
    <row r="97" spans="1:5" x14ac:dyDescent="0.35">
      <c r="A97" s="11" t="s">
        <v>284</v>
      </c>
      <c r="B97" s="9" t="s">
        <v>1752</v>
      </c>
      <c r="C97" s="9" t="s">
        <v>1752</v>
      </c>
      <c r="D97" s="9" t="s">
        <v>1752</v>
      </c>
      <c r="E97" s="15">
        <f t="shared" si="1"/>
        <v>1</v>
      </c>
    </row>
    <row r="98" spans="1:5" x14ac:dyDescent="0.35">
      <c r="A98" s="10" t="s">
        <v>285</v>
      </c>
      <c r="B98" s="9" t="s">
        <v>1752</v>
      </c>
      <c r="C98" s="9" t="s">
        <v>1752</v>
      </c>
      <c r="D98" s="9" t="s">
        <v>1752</v>
      </c>
      <c r="E98" s="15">
        <f t="shared" si="1"/>
        <v>1</v>
      </c>
    </row>
    <row r="99" spans="1:5" x14ac:dyDescent="0.35">
      <c r="A99" s="11" t="s">
        <v>286</v>
      </c>
      <c r="B99" s="9" t="s">
        <v>1752</v>
      </c>
      <c r="C99" s="9" t="s">
        <v>1752</v>
      </c>
      <c r="D99" s="9" t="s">
        <v>1827</v>
      </c>
      <c r="E99" s="15">
        <f t="shared" si="1"/>
        <v>1</v>
      </c>
    </row>
    <row r="100" spans="1:5" x14ac:dyDescent="0.35">
      <c r="A100" s="11" t="s">
        <v>287</v>
      </c>
      <c r="B100" s="9" t="s">
        <v>1752</v>
      </c>
      <c r="C100" s="9" t="s">
        <v>1752</v>
      </c>
      <c r="D100" s="9" t="s">
        <v>1752</v>
      </c>
      <c r="E100" s="15">
        <f t="shared" si="1"/>
        <v>1</v>
      </c>
    </row>
    <row r="101" spans="1:5" x14ac:dyDescent="0.35">
      <c r="A101" s="10" t="s">
        <v>288</v>
      </c>
      <c r="B101" s="9" t="s">
        <v>1752</v>
      </c>
      <c r="C101" s="9" t="s">
        <v>1752</v>
      </c>
      <c r="D101" s="9" t="s">
        <v>1752</v>
      </c>
      <c r="E101" s="15">
        <f t="shared" si="1"/>
        <v>1</v>
      </c>
    </row>
    <row r="102" spans="1:5" x14ac:dyDescent="0.35">
      <c r="A102" s="10" t="s">
        <v>289</v>
      </c>
      <c r="B102" s="9" t="s">
        <v>1752</v>
      </c>
      <c r="C102" s="9" t="s">
        <v>1752</v>
      </c>
      <c r="D102" s="9" t="s">
        <v>1752</v>
      </c>
      <c r="E102" s="15">
        <f t="shared" si="1"/>
        <v>1</v>
      </c>
    </row>
    <row r="103" spans="1:5" x14ac:dyDescent="0.35">
      <c r="A103" s="11" t="s">
        <v>290</v>
      </c>
      <c r="B103" s="9" t="s">
        <v>1752</v>
      </c>
      <c r="C103" s="9" t="s">
        <v>1752</v>
      </c>
      <c r="D103" s="9" t="s">
        <v>1752</v>
      </c>
      <c r="E103" s="15">
        <f t="shared" si="1"/>
        <v>1</v>
      </c>
    </row>
    <row r="104" spans="1:5" x14ac:dyDescent="0.35">
      <c r="A104" s="10" t="s">
        <v>291</v>
      </c>
      <c r="B104" s="9" t="s">
        <v>1752</v>
      </c>
      <c r="C104" s="9" t="s">
        <v>1752</v>
      </c>
      <c r="D104" s="9" t="s">
        <v>1752</v>
      </c>
      <c r="E104" s="15">
        <f t="shared" si="1"/>
        <v>1</v>
      </c>
    </row>
    <row r="105" spans="1:5" x14ac:dyDescent="0.35">
      <c r="A105" s="11" t="s">
        <v>292</v>
      </c>
      <c r="B105" s="9" t="s">
        <v>1752</v>
      </c>
      <c r="C105" s="9" t="s">
        <v>1752</v>
      </c>
      <c r="D105" s="9" t="s">
        <v>1752</v>
      </c>
      <c r="E105" s="15">
        <f t="shared" si="1"/>
        <v>1</v>
      </c>
    </row>
    <row r="106" spans="1:5" x14ac:dyDescent="0.35">
      <c r="A106" s="10" t="s">
        <v>293</v>
      </c>
      <c r="B106" s="9" t="s">
        <v>1752</v>
      </c>
      <c r="C106" s="9" t="s">
        <v>1752</v>
      </c>
      <c r="D106" s="9" t="s">
        <v>1752</v>
      </c>
      <c r="E106" s="15">
        <f t="shared" si="1"/>
        <v>1</v>
      </c>
    </row>
    <row r="107" spans="1:5" x14ac:dyDescent="0.35">
      <c r="A107" s="11" t="s">
        <v>294</v>
      </c>
      <c r="B107" s="9" t="s">
        <v>1752</v>
      </c>
      <c r="C107" s="9" t="s">
        <v>1752</v>
      </c>
      <c r="D107" s="9" t="s">
        <v>1752</v>
      </c>
      <c r="E107" s="15">
        <f t="shared" si="1"/>
        <v>1</v>
      </c>
    </row>
    <row r="108" spans="1:5" x14ac:dyDescent="0.35">
      <c r="A108" s="11" t="s">
        <v>295</v>
      </c>
      <c r="B108" s="9" t="s">
        <v>1752</v>
      </c>
      <c r="C108" s="9" t="s">
        <v>1752</v>
      </c>
      <c r="D108" s="9" t="s">
        <v>1752</v>
      </c>
      <c r="E108" s="15">
        <f t="shared" si="1"/>
        <v>1</v>
      </c>
    </row>
    <row r="109" spans="1:5" x14ac:dyDescent="0.35">
      <c r="A109" s="10" t="s">
        <v>296</v>
      </c>
      <c r="B109" s="9" t="s">
        <v>1752</v>
      </c>
      <c r="C109" s="9" t="s">
        <v>1752</v>
      </c>
      <c r="D109" s="9" t="s">
        <v>1752</v>
      </c>
      <c r="E109" s="15">
        <f t="shared" si="1"/>
        <v>1</v>
      </c>
    </row>
    <row r="110" spans="1:5" x14ac:dyDescent="0.35">
      <c r="A110" s="11" t="s">
        <v>297</v>
      </c>
      <c r="B110" s="9" t="s">
        <v>1752</v>
      </c>
      <c r="C110" s="9" t="s">
        <v>1752</v>
      </c>
      <c r="D110" s="9" t="s">
        <v>1752</v>
      </c>
      <c r="E110" s="15">
        <f t="shared" si="1"/>
        <v>1</v>
      </c>
    </row>
    <row r="111" spans="1:5" x14ac:dyDescent="0.35">
      <c r="A111" s="10" t="s">
        <v>298</v>
      </c>
      <c r="B111" s="9" t="s">
        <v>1752</v>
      </c>
      <c r="C111" s="9" t="s">
        <v>1752</v>
      </c>
      <c r="D111" s="9" t="s">
        <v>1752</v>
      </c>
      <c r="E111" s="15">
        <f t="shared" si="1"/>
        <v>1</v>
      </c>
    </row>
    <row r="112" spans="1:5" x14ac:dyDescent="0.35">
      <c r="A112" s="11" t="s">
        <v>299</v>
      </c>
      <c r="B112" s="9" t="s">
        <v>1752</v>
      </c>
      <c r="C112" s="9" t="s">
        <v>1752</v>
      </c>
      <c r="D112" s="9" t="s">
        <v>1752</v>
      </c>
      <c r="E112" s="15">
        <f t="shared" si="1"/>
        <v>1</v>
      </c>
    </row>
    <row r="113" spans="1:5" x14ac:dyDescent="0.35">
      <c r="A113" s="11" t="s">
        <v>300</v>
      </c>
      <c r="B113" s="9" t="s">
        <v>1752</v>
      </c>
      <c r="C113" s="9" t="s">
        <v>1752</v>
      </c>
      <c r="D113" s="9" t="s">
        <v>1752</v>
      </c>
      <c r="E113" s="15">
        <f t="shared" si="1"/>
        <v>1</v>
      </c>
    </row>
    <row r="114" spans="1:5" x14ac:dyDescent="0.35">
      <c r="A114" s="11" t="s">
        <v>301</v>
      </c>
      <c r="B114" s="9" t="s">
        <v>1752</v>
      </c>
      <c r="C114" s="9" t="s">
        <v>1752</v>
      </c>
      <c r="D114" s="9" t="s">
        <v>1752</v>
      </c>
      <c r="E114" s="15">
        <f t="shared" si="1"/>
        <v>1</v>
      </c>
    </row>
    <row r="115" spans="1:5" x14ac:dyDescent="0.35">
      <c r="A115" s="10" t="s">
        <v>302</v>
      </c>
      <c r="B115" s="9" t="s">
        <v>1752</v>
      </c>
      <c r="C115" s="9" t="s">
        <v>1752</v>
      </c>
      <c r="D115" s="9" t="s">
        <v>1752</v>
      </c>
      <c r="E115" s="15">
        <f t="shared" si="1"/>
        <v>1</v>
      </c>
    </row>
    <row r="116" spans="1:5" x14ac:dyDescent="0.35">
      <c r="A116" s="10" t="s">
        <v>303</v>
      </c>
      <c r="B116" s="9" t="s">
        <v>1752</v>
      </c>
      <c r="C116" s="9" t="s">
        <v>1752</v>
      </c>
      <c r="D116" s="9" t="s">
        <v>1752</v>
      </c>
      <c r="E116" s="15">
        <f t="shared" si="1"/>
        <v>1</v>
      </c>
    </row>
    <row r="117" spans="1:5" x14ac:dyDescent="0.35">
      <c r="A117" s="11" t="s">
        <v>304</v>
      </c>
      <c r="B117" s="9" t="s">
        <v>1752</v>
      </c>
      <c r="C117" s="9" t="s">
        <v>1752</v>
      </c>
      <c r="D117" s="9" t="s">
        <v>1752</v>
      </c>
      <c r="E117" s="15">
        <f t="shared" si="1"/>
        <v>1</v>
      </c>
    </row>
    <row r="118" spans="1:5" x14ac:dyDescent="0.35">
      <c r="A118" s="11" t="s">
        <v>305</v>
      </c>
      <c r="B118" s="9" t="s">
        <v>1752</v>
      </c>
      <c r="C118" s="9" t="s">
        <v>1752</v>
      </c>
      <c r="D118" s="9" t="s">
        <v>1752</v>
      </c>
      <c r="E118" s="15">
        <f t="shared" si="1"/>
        <v>1</v>
      </c>
    </row>
    <row r="119" spans="1:5" x14ac:dyDescent="0.35">
      <c r="A119" s="10" t="s">
        <v>306</v>
      </c>
      <c r="B119" s="9" t="s">
        <v>1752</v>
      </c>
      <c r="C119" s="9" t="s">
        <v>1752</v>
      </c>
      <c r="D119" s="9" t="s">
        <v>1752</v>
      </c>
      <c r="E119" s="15">
        <f t="shared" si="1"/>
        <v>1</v>
      </c>
    </row>
    <row r="120" spans="1:5" x14ac:dyDescent="0.35">
      <c r="A120" s="11" t="s">
        <v>307</v>
      </c>
      <c r="B120" s="9" t="s">
        <v>1752</v>
      </c>
      <c r="C120" s="9" t="s">
        <v>1752</v>
      </c>
      <c r="D120" s="9" t="s">
        <v>1752</v>
      </c>
      <c r="E120" s="15">
        <f t="shared" si="1"/>
        <v>1</v>
      </c>
    </row>
    <row r="121" spans="1:5" x14ac:dyDescent="0.35">
      <c r="A121" s="10" t="s">
        <v>308</v>
      </c>
      <c r="B121" s="9" t="s">
        <v>1752</v>
      </c>
      <c r="C121" s="9" t="s">
        <v>1752</v>
      </c>
      <c r="D121" s="9" t="s">
        <v>1752</v>
      </c>
      <c r="E121" s="15">
        <f t="shared" si="1"/>
        <v>1</v>
      </c>
    </row>
    <row r="122" spans="1:5" x14ac:dyDescent="0.35">
      <c r="A122" s="10" t="s">
        <v>309</v>
      </c>
      <c r="B122" s="9" t="s">
        <v>1752</v>
      </c>
      <c r="C122" s="9" t="s">
        <v>1752</v>
      </c>
      <c r="D122" s="9" t="s">
        <v>1752</v>
      </c>
      <c r="E122" s="15">
        <f t="shared" si="1"/>
        <v>1</v>
      </c>
    </row>
    <row r="123" spans="1:5" x14ac:dyDescent="0.35">
      <c r="A123" s="11" t="s">
        <v>310</v>
      </c>
      <c r="B123" s="9" t="s">
        <v>1752</v>
      </c>
      <c r="C123" s="9" t="s">
        <v>1752</v>
      </c>
      <c r="D123" s="9" t="s">
        <v>1752</v>
      </c>
      <c r="E123" s="15">
        <f t="shared" si="1"/>
        <v>1</v>
      </c>
    </row>
    <row r="124" spans="1:5" x14ac:dyDescent="0.35">
      <c r="A124" s="10" t="s">
        <v>311</v>
      </c>
      <c r="B124" s="9" t="s">
        <v>1752</v>
      </c>
      <c r="C124" s="9" t="s">
        <v>1752</v>
      </c>
      <c r="D124" s="9" t="s">
        <v>1752</v>
      </c>
      <c r="E124" s="15">
        <f t="shared" si="1"/>
        <v>1</v>
      </c>
    </row>
    <row r="125" spans="1:5" x14ac:dyDescent="0.35">
      <c r="A125" s="11" t="s">
        <v>312</v>
      </c>
      <c r="B125" s="9" t="s">
        <v>1752</v>
      </c>
      <c r="C125" s="9" t="s">
        <v>1752</v>
      </c>
      <c r="D125" s="9" t="s">
        <v>1752</v>
      </c>
      <c r="E125" s="15">
        <f t="shared" si="1"/>
        <v>1</v>
      </c>
    </row>
    <row r="126" spans="1:5" x14ac:dyDescent="0.35">
      <c r="A126" s="10" t="s">
        <v>313</v>
      </c>
      <c r="B126" s="9" t="s">
        <v>1752</v>
      </c>
      <c r="C126" s="9" t="s">
        <v>1752</v>
      </c>
      <c r="D126" s="9" t="s">
        <v>1752</v>
      </c>
      <c r="E126" s="15">
        <f t="shared" si="1"/>
        <v>1</v>
      </c>
    </row>
    <row r="127" spans="1:5" x14ac:dyDescent="0.35">
      <c r="A127" s="11" t="s">
        <v>314</v>
      </c>
      <c r="B127" s="9" t="s">
        <v>1752</v>
      </c>
      <c r="C127" s="9" t="s">
        <v>1752</v>
      </c>
      <c r="D127" s="9" t="s">
        <v>1752</v>
      </c>
      <c r="E127" s="15">
        <f t="shared" si="1"/>
        <v>1</v>
      </c>
    </row>
    <row r="128" spans="1:5" x14ac:dyDescent="0.35">
      <c r="A128" s="11" t="s">
        <v>315</v>
      </c>
      <c r="B128" s="9" t="s">
        <v>1752</v>
      </c>
      <c r="C128" s="9" t="s">
        <v>1752</v>
      </c>
      <c r="D128" s="9" t="s">
        <v>1752</v>
      </c>
      <c r="E128" s="15">
        <f t="shared" si="1"/>
        <v>1</v>
      </c>
    </row>
    <row r="129" spans="1:5" x14ac:dyDescent="0.35">
      <c r="A129" s="10" t="s">
        <v>316</v>
      </c>
      <c r="B129" s="9" t="s">
        <v>1752</v>
      </c>
      <c r="C129" s="9" t="s">
        <v>1752</v>
      </c>
      <c r="D129" s="9" t="s">
        <v>1752</v>
      </c>
      <c r="E129" s="15">
        <f t="shared" si="1"/>
        <v>1</v>
      </c>
    </row>
    <row r="130" spans="1:5" x14ac:dyDescent="0.35">
      <c r="A130" s="10" t="s">
        <v>317</v>
      </c>
      <c r="B130" s="9" t="s">
        <v>1752</v>
      </c>
      <c r="C130" s="9" t="s">
        <v>1752</v>
      </c>
      <c r="D130" s="9" t="s">
        <v>1752</v>
      </c>
      <c r="E130" s="15">
        <f t="shared" si="1"/>
        <v>1</v>
      </c>
    </row>
    <row r="131" spans="1:5" x14ac:dyDescent="0.35">
      <c r="A131" s="11" t="s">
        <v>318</v>
      </c>
      <c r="B131" s="9" t="s">
        <v>1752</v>
      </c>
      <c r="C131" s="9" t="s">
        <v>1752</v>
      </c>
      <c r="D131" s="9" t="s">
        <v>1752</v>
      </c>
      <c r="E131" s="15">
        <f t="shared" ref="E131:E194" si="2">IF(COUNTIF(B131:D131,"Y")&gt;0,1,0)</f>
        <v>1</v>
      </c>
    </row>
    <row r="132" spans="1:5" x14ac:dyDescent="0.35">
      <c r="A132" s="11" t="s">
        <v>319</v>
      </c>
      <c r="B132" s="9" t="s">
        <v>1752</v>
      </c>
      <c r="C132" s="9" t="s">
        <v>1752</v>
      </c>
      <c r="D132" s="9" t="s">
        <v>1752</v>
      </c>
      <c r="E132" s="15">
        <f t="shared" si="2"/>
        <v>1</v>
      </c>
    </row>
    <row r="133" spans="1:5" x14ac:dyDescent="0.35">
      <c r="A133" s="10" t="s">
        <v>320</v>
      </c>
      <c r="B133" s="9" t="s">
        <v>1752</v>
      </c>
      <c r="C133" s="9" t="s">
        <v>1752</v>
      </c>
      <c r="D133" s="9" t="s">
        <v>1752</v>
      </c>
      <c r="E133" s="15">
        <f t="shared" si="2"/>
        <v>1</v>
      </c>
    </row>
    <row r="134" spans="1:5" x14ac:dyDescent="0.35">
      <c r="A134" s="10" t="s">
        <v>321</v>
      </c>
      <c r="B134" s="9" t="s">
        <v>1752</v>
      </c>
      <c r="C134" s="9" t="s">
        <v>1752</v>
      </c>
      <c r="D134" s="9" t="s">
        <v>1752</v>
      </c>
      <c r="E134" s="15">
        <f t="shared" si="2"/>
        <v>1</v>
      </c>
    </row>
    <row r="135" spans="1:5" x14ac:dyDescent="0.35">
      <c r="A135" s="11" t="s">
        <v>322</v>
      </c>
      <c r="B135" s="9" t="s">
        <v>1752</v>
      </c>
      <c r="C135" s="9" t="s">
        <v>1752</v>
      </c>
      <c r="D135" s="9" t="s">
        <v>1752</v>
      </c>
      <c r="E135" s="15">
        <f t="shared" si="2"/>
        <v>1</v>
      </c>
    </row>
    <row r="136" spans="1:5" x14ac:dyDescent="0.35">
      <c r="A136" s="11" t="s">
        <v>323</v>
      </c>
      <c r="B136" s="9" t="s">
        <v>1752</v>
      </c>
      <c r="C136" s="9" t="s">
        <v>1752</v>
      </c>
      <c r="D136" s="9" t="s">
        <v>1752</v>
      </c>
      <c r="E136" s="15">
        <f t="shared" si="2"/>
        <v>1</v>
      </c>
    </row>
    <row r="137" spans="1:5" x14ac:dyDescent="0.35">
      <c r="A137" s="10" t="s">
        <v>324</v>
      </c>
      <c r="B137" s="9" t="s">
        <v>1752</v>
      </c>
      <c r="C137" s="9" t="s">
        <v>1752</v>
      </c>
      <c r="D137" s="9" t="s">
        <v>1752</v>
      </c>
      <c r="E137" s="15">
        <f t="shared" si="2"/>
        <v>1</v>
      </c>
    </row>
    <row r="138" spans="1:5" x14ac:dyDescent="0.35">
      <c r="A138" s="10" t="s">
        <v>325</v>
      </c>
      <c r="B138" s="9" t="s">
        <v>1752</v>
      </c>
      <c r="C138" s="9" t="s">
        <v>1752</v>
      </c>
      <c r="D138" s="9" t="s">
        <v>1752</v>
      </c>
      <c r="E138" s="15">
        <f t="shared" si="2"/>
        <v>1</v>
      </c>
    </row>
    <row r="139" spans="1:5" x14ac:dyDescent="0.35">
      <c r="A139" s="10" t="s">
        <v>326</v>
      </c>
      <c r="B139" s="9" t="s">
        <v>1752</v>
      </c>
      <c r="C139" s="9" t="s">
        <v>1752</v>
      </c>
      <c r="D139" s="9" t="s">
        <v>1752</v>
      </c>
      <c r="E139" s="15">
        <f t="shared" si="2"/>
        <v>1</v>
      </c>
    </row>
    <row r="140" spans="1:5" x14ac:dyDescent="0.35">
      <c r="A140" s="10" t="s">
        <v>327</v>
      </c>
      <c r="B140" s="9" t="s">
        <v>1752</v>
      </c>
      <c r="C140" s="9" t="s">
        <v>1752</v>
      </c>
      <c r="D140" s="9" t="s">
        <v>1752</v>
      </c>
      <c r="E140" s="15">
        <f t="shared" si="2"/>
        <v>1</v>
      </c>
    </row>
    <row r="141" spans="1:5" x14ac:dyDescent="0.35">
      <c r="A141" s="10" t="s">
        <v>328</v>
      </c>
      <c r="B141" s="9" t="s">
        <v>1752</v>
      </c>
      <c r="C141" s="9" t="s">
        <v>1752</v>
      </c>
      <c r="D141" s="9" t="s">
        <v>1752</v>
      </c>
      <c r="E141" s="15">
        <f t="shared" si="2"/>
        <v>1</v>
      </c>
    </row>
    <row r="142" spans="1:5" x14ac:dyDescent="0.35">
      <c r="A142" s="11" t="s">
        <v>329</v>
      </c>
      <c r="B142" s="9" t="s">
        <v>1752</v>
      </c>
      <c r="C142" s="9" t="s">
        <v>1752</v>
      </c>
      <c r="D142" s="9" t="s">
        <v>1752</v>
      </c>
      <c r="E142" s="15">
        <f t="shared" si="2"/>
        <v>1</v>
      </c>
    </row>
    <row r="143" spans="1:5" x14ac:dyDescent="0.35">
      <c r="A143" s="10" t="s">
        <v>330</v>
      </c>
      <c r="B143" s="9" t="s">
        <v>1752</v>
      </c>
      <c r="C143" s="9" t="s">
        <v>1752</v>
      </c>
      <c r="D143" s="9" t="s">
        <v>1752</v>
      </c>
      <c r="E143" s="15">
        <f t="shared" si="2"/>
        <v>1</v>
      </c>
    </row>
    <row r="144" spans="1:5" x14ac:dyDescent="0.35">
      <c r="A144" s="10" t="s">
        <v>331</v>
      </c>
      <c r="B144" s="9" t="s">
        <v>1752</v>
      </c>
      <c r="C144" s="9" t="s">
        <v>1752</v>
      </c>
      <c r="D144" s="9" t="s">
        <v>1752</v>
      </c>
      <c r="E144" s="15">
        <f t="shared" si="2"/>
        <v>1</v>
      </c>
    </row>
    <row r="145" spans="1:5" x14ac:dyDescent="0.35">
      <c r="A145" s="11" t="s">
        <v>332</v>
      </c>
      <c r="B145" s="9" t="s">
        <v>1752</v>
      </c>
      <c r="C145" s="9" t="s">
        <v>1752</v>
      </c>
      <c r="D145" s="9" t="s">
        <v>1752</v>
      </c>
      <c r="E145" s="15">
        <f t="shared" si="2"/>
        <v>1</v>
      </c>
    </row>
    <row r="146" spans="1:5" x14ac:dyDescent="0.35">
      <c r="A146" s="10" t="s">
        <v>333</v>
      </c>
      <c r="B146" s="9" t="s">
        <v>1752</v>
      </c>
      <c r="C146" s="9" t="s">
        <v>1752</v>
      </c>
      <c r="D146" s="9" t="s">
        <v>1752</v>
      </c>
      <c r="E146" s="15">
        <f t="shared" si="2"/>
        <v>1</v>
      </c>
    </row>
    <row r="147" spans="1:5" x14ac:dyDescent="0.35">
      <c r="A147" s="10" t="s">
        <v>334</v>
      </c>
      <c r="B147" s="9" t="s">
        <v>1752</v>
      </c>
      <c r="C147" s="9" t="s">
        <v>1752</v>
      </c>
      <c r="D147" s="9" t="s">
        <v>1752</v>
      </c>
      <c r="E147" s="15">
        <f t="shared" si="2"/>
        <v>1</v>
      </c>
    </row>
    <row r="148" spans="1:5" x14ac:dyDescent="0.35">
      <c r="A148" s="10" t="s">
        <v>335</v>
      </c>
      <c r="B148" s="9" t="s">
        <v>1752</v>
      </c>
      <c r="C148" s="9" t="s">
        <v>1752</v>
      </c>
      <c r="D148" s="9" t="s">
        <v>1827</v>
      </c>
      <c r="E148" s="15">
        <f t="shared" si="2"/>
        <v>1</v>
      </c>
    </row>
    <row r="149" spans="1:5" x14ac:dyDescent="0.35">
      <c r="A149" s="10" t="s">
        <v>336</v>
      </c>
      <c r="B149" s="9" t="s">
        <v>1752</v>
      </c>
      <c r="C149" s="9" t="s">
        <v>1752</v>
      </c>
      <c r="D149" s="9" t="s">
        <v>1752</v>
      </c>
      <c r="E149" s="15">
        <f t="shared" si="2"/>
        <v>1</v>
      </c>
    </row>
    <row r="150" spans="1:5" x14ac:dyDescent="0.35">
      <c r="A150" s="10" t="s">
        <v>337</v>
      </c>
      <c r="B150" s="9" t="s">
        <v>1752</v>
      </c>
      <c r="C150" s="9" t="s">
        <v>1752</v>
      </c>
      <c r="D150" s="9" t="s">
        <v>1752</v>
      </c>
      <c r="E150" s="15">
        <f t="shared" si="2"/>
        <v>1</v>
      </c>
    </row>
    <row r="151" spans="1:5" x14ac:dyDescent="0.35">
      <c r="A151" s="11" t="s">
        <v>338</v>
      </c>
      <c r="B151" s="9" t="s">
        <v>1752</v>
      </c>
      <c r="C151" s="9" t="s">
        <v>1752</v>
      </c>
      <c r="D151" s="9" t="s">
        <v>1752</v>
      </c>
      <c r="E151" s="15">
        <f t="shared" si="2"/>
        <v>1</v>
      </c>
    </row>
    <row r="152" spans="1:5" x14ac:dyDescent="0.35">
      <c r="A152" s="11" t="s">
        <v>339</v>
      </c>
      <c r="B152" s="9" t="s">
        <v>1752</v>
      </c>
      <c r="C152" s="9" t="s">
        <v>1752</v>
      </c>
      <c r="D152" s="9" t="s">
        <v>1827</v>
      </c>
      <c r="E152" s="15">
        <f t="shared" si="2"/>
        <v>1</v>
      </c>
    </row>
    <row r="153" spans="1:5" x14ac:dyDescent="0.35">
      <c r="A153" s="10" t="s">
        <v>340</v>
      </c>
      <c r="B153" s="9" t="s">
        <v>1752</v>
      </c>
      <c r="C153" s="9" t="s">
        <v>1752</v>
      </c>
      <c r="D153" s="9" t="s">
        <v>1752</v>
      </c>
      <c r="E153" s="15">
        <f t="shared" si="2"/>
        <v>1</v>
      </c>
    </row>
    <row r="154" spans="1:5" x14ac:dyDescent="0.35">
      <c r="A154" s="10" t="s">
        <v>341</v>
      </c>
      <c r="B154" s="9" t="s">
        <v>1752</v>
      </c>
      <c r="C154" s="9" t="s">
        <v>1752</v>
      </c>
      <c r="D154" s="9" t="s">
        <v>1752</v>
      </c>
      <c r="E154" s="15">
        <f t="shared" si="2"/>
        <v>1</v>
      </c>
    </row>
    <row r="155" spans="1:5" x14ac:dyDescent="0.35">
      <c r="A155" s="10" t="s">
        <v>342</v>
      </c>
      <c r="B155" s="9" t="s">
        <v>1752</v>
      </c>
      <c r="C155" s="9" t="s">
        <v>1752</v>
      </c>
      <c r="D155" s="9" t="s">
        <v>1752</v>
      </c>
      <c r="E155" s="15">
        <f t="shared" si="2"/>
        <v>1</v>
      </c>
    </row>
    <row r="156" spans="1:5" x14ac:dyDescent="0.35">
      <c r="A156" s="10" t="s">
        <v>343</v>
      </c>
      <c r="B156" s="9" t="s">
        <v>1752</v>
      </c>
      <c r="C156" s="9" t="s">
        <v>1752</v>
      </c>
      <c r="D156" s="9" t="s">
        <v>1752</v>
      </c>
      <c r="E156" s="15">
        <f t="shared" si="2"/>
        <v>1</v>
      </c>
    </row>
    <row r="157" spans="1:5" x14ac:dyDescent="0.35">
      <c r="A157" s="11" t="s">
        <v>344</v>
      </c>
      <c r="B157" s="9" t="s">
        <v>1752</v>
      </c>
      <c r="C157" s="9" t="s">
        <v>1752</v>
      </c>
      <c r="D157" s="9" t="s">
        <v>1752</v>
      </c>
      <c r="E157" s="15">
        <f t="shared" si="2"/>
        <v>1</v>
      </c>
    </row>
    <row r="158" spans="1:5" x14ac:dyDescent="0.35">
      <c r="A158" s="11" t="s">
        <v>345</v>
      </c>
      <c r="B158" s="9" t="s">
        <v>1752</v>
      </c>
      <c r="C158" s="9" t="s">
        <v>1752</v>
      </c>
      <c r="D158" s="9" t="s">
        <v>1752</v>
      </c>
      <c r="E158" s="15">
        <f t="shared" si="2"/>
        <v>1</v>
      </c>
    </row>
    <row r="159" spans="1:5" x14ac:dyDescent="0.35">
      <c r="A159" s="11" t="s">
        <v>346</v>
      </c>
      <c r="B159" s="9" t="s">
        <v>1752</v>
      </c>
      <c r="C159" s="9" t="s">
        <v>1752</v>
      </c>
      <c r="D159" s="9" t="s">
        <v>1752</v>
      </c>
      <c r="E159" s="15">
        <f t="shared" si="2"/>
        <v>1</v>
      </c>
    </row>
    <row r="160" spans="1:5" x14ac:dyDescent="0.35">
      <c r="A160" s="10" t="s">
        <v>347</v>
      </c>
      <c r="B160" s="9" t="s">
        <v>1752</v>
      </c>
      <c r="C160" s="9" t="s">
        <v>1752</v>
      </c>
      <c r="D160" s="9" t="s">
        <v>1752</v>
      </c>
      <c r="E160" s="15">
        <f t="shared" si="2"/>
        <v>1</v>
      </c>
    </row>
    <row r="161" spans="1:5" x14ac:dyDescent="0.35">
      <c r="A161" s="10" t="s">
        <v>348</v>
      </c>
      <c r="B161" s="9" t="s">
        <v>1752</v>
      </c>
      <c r="C161" s="9" t="s">
        <v>1752</v>
      </c>
      <c r="D161" s="9" t="s">
        <v>1752</v>
      </c>
      <c r="E161" s="15">
        <f t="shared" si="2"/>
        <v>1</v>
      </c>
    </row>
    <row r="162" spans="1:5" x14ac:dyDescent="0.35">
      <c r="A162" s="11" t="s">
        <v>349</v>
      </c>
      <c r="B162" s="9" t="s">
        <v>1752</v>
      </c>
      <c r="C162" s="9" t="s">
        <v>1752</v>
      </c>
      <c r="D162" s="9" t="s">
        <v>1752</v>
      </c>
      <c r="E162" s="15">
        <f t="shared" si="2"/>
        <v>1</v>
      </c>
    </row>
    <row r="163" spans="1:5" x14ac:dyDescent="0.35">
      <c r="A163" s="10" t="s">
        <v>350</v>
      </c>
      <c r="B163" s="9" t="s">
        <v>1752</v>
      </c>
      <c r="C163" s="9" t="s">
        <v>1752</v>
      </c>
      <c r="D163" s="9" t="s">
        <v>1752</v>
      </c>
      <c r="E163" s="15">
        <f t="shared" si="2"/>
        <v>1</v>
      </c>
    </row>
    <row r="164" spans="1:5" x14ac:dyDescent="0.35">
      <c r="A164" s="11" t="s">
        <v>351</v>
      </c>
      <c r="B164" s="9" t="s">
        <v>1752</v>
      </c>
      <c r="C164" s="9" t="s">
        <v>1752</v>
      </c>
      <c r="D164" s="9" t="s">
        <v>1752</v>
      </c>
      <c r="E164" s="15">
        <f t="shared" si="2"/>
        <v>1</v>
      </c>
    </row>
    <row r="165" spans="1:5" x14ac:dyDescent="0.35">
      <c r="A165" s="10" t="s">
        <v>352</v>
      </c>
      <c r="B165" s="9" t="s">
        <v>1752</v>
      </c>
      <c r="C165" s="9" t="s">
        <v>1752</v>
      </c>
      <c r="D165" s="9" t="s">
        <v>1752</v>
      </c>
      <c r="E165" s="15">
        <f t="shared" si="2"/>
        <v>1</v>
      </c>
    </row>
    <row r="166" spans="1:5" x14ac:dyDescent="0.35">
      <c r="A166" s="11" t="s">
        <v>353</v>
      </c>
      <c r="B166" s="9" t="s">
        <v>1752</v>
      </c>
      <c r="C166" s="9" t="s">
        <v>1752</v>
      </c>
      <c r="D166" s="9" t="s">
        <v>1752</v>
      </c>
      <c r="E166" s="15">
        <f t="shared" si="2"/>
        <v>1</v>
      </c>
    </row>
    <row r="167" spans="1:5" x14ac:dyDescent="0.35">
      <c r="A167" s="10" t="s">
        <v>354</v>
      </c>
      <c r="B167" s="9" t="s">
        <v>1752</v>
      </c>
      <c r="C167" s="9" t="s">
        <v>1752</v>
      </c>
      <c r="D167" s="9" t="s">
        <v>1752</v>
      </c>
      <c r="E167" s="15">
        <f t="shared" si="2"/>
        <v>1</v>
      </c>
    </row>
    <row r="168" spans="1:5" x14ac:dyDescent="0.35">
      <c r="A168" s="11" t="s">
        <v>355</v>
      </c>
      <c r="B168" s="9" t="s">
        <v>1752</v>
      </c>
      <c r="C168" s="9" t="s">
        <v>1752</v>
      </c>
      <c r="D168" s="9" t="s">
        <v>1752</v>
      </c>
      <c r="E168" s="15">
        <f t="shared" si="2"/>
        <v>1</v>
      </c>
    </row>
    <row r="169" spans="1:5" x14ac:dyDescent="0.35">
      <c r="A169" s="10" t="s">
        <v>356</v>
      </c>
      <c r="B169" s="9" t="s">
        <v>1752</v>
      </c>
      <c r="C169" s="9" t="s">
        <v>1752</v>
      </c>
      <c r="D169" s="9" t="s">
        <v>1752</v>
      </c>
      <c r="E169" s="15">
        <f t="shared" si="2"/>
        <v>1</v>
      </c>
    </row>
    <row r="170" spans="1:5" x14ac:dyDescent="0.35">
      <c r="A170" s="11" t="s">
        <v>357</v>
      </c>
      <c r="B170" s="9" t="s">
        <v>1752</v>
      </c>
      <c r="C170" s="9" t="s">
        <v>1752</v>
      </c>
      <c r="D170" s="9" t="s">
        <v>1752</v>
      </c>
      <c r="E170" s="15">
        <f t="shared" si="2"/>
        <v>1</v>
      </c>
    </row>
    <row r="171" spans="1:5" x14ac:dyDescent="0.35">
      <c r="A171" s="11" t="s">
        <v>358</v>
      </c>
      <c r="B171" s="9" t="s">
        <v>1752</v>
      </c>
      <c r="C171" s="9" t="s">
        <v>1752</v>
      </c>
      <c r="D171" s="9" t="s">
        <v>1752</v>
      </c>
      <c r="E171" s="15">
        <f t="shared" si="2"/>
        <v>1</v>
      </c>
    </row>
    <row r="172" spans="1:5" x14ac:dyDescent="0.35">
      <c r="A172" s="10" t="s">
        <v>359</v>
      </c>
      <c r="B172" s="9" t="s">
        <v>1752</v>
      </c>
      <c r="C172" s="9" t="s">
        <v>1752</v>
      </c>
      <c r="D172" s="9" t="s">
        <v>1752</v>
      </c>
      <c r="E172" s="15">
        <f t="shared" si="2"/>
        <v>1</v>
      </c>
    </row>
    <row r="173" spans="1:5" x14ac:dyDescent="0.35">
      <c r="A173" s="10" t="s">
        <v>360</v>
      </c>
      <c r="B173" s="9" t="s">
        <v>1752</v>
      </c>
      <c r="C173" s="9" t="s">
        <v>1752</v>
      </c>
      <c r="D173" s="9" t="s">
        <v>1752</v>
      </c>
      <c r="E173" s="15">
        <f t="shared" si="2"/>
        <v>1</v>
      </c>
    </row>
    <row r="174" spans="1:5" x14ac:dyDescent="0.35">
      <c r="A174" s="10" t="s">
        <v>361</v>
      </c>
      <c r="B174" s="9" t="s">
        <v>1752</v>
      </c>
      <c r="C174" s="9" t="s">
        <v>1752</v>
      </c>
      <c r="D174" s="9" t="s">
        <v>1752</v>
      </c>
      <c r="E174" s="15">
        <f t="shared" si="2"/>
        <v>1</v>
      </c>
    </row>
    <row r="175" spans="1:5" x14ac:dyDescent="0.35">
      <c r="A175" s="11" t="s">
        <v>362</v>
      </c>
      <c r="B175" s="9" t="s">
        <v>1752</v>
      </c>
      <c r="C175" s="9" t="s">
        <v>1752</v>
      </c>
      <c r="D175" s="9" t="s">
        <v>1752</v>
      </c>
      <c r="E175" s="15">
        <f t="shared" si="2"/>
        <v>1</v>
      </c>
    </row>
    <row r="176" spans="1:5" x14ac:dyDescent="0.35">
      <c r="A176" s="10" t="s">
        <v>363</v>
      </c>
      <c r="B176" s="9" t="s">
        <v>1752</v>
      </c>
      <c r="C176" s="9" t="s">
        <v>1752</v>
      </c>
      <c r="D176" s="9" t="s">
        <v>1752</v>
      </c>
      <c r="E176" s="15">
        <f t="shared" si="2"/>
        <v>1</v>
      </c>
    </row>
    <row r="177" spans="1:5" x14ac:dyDescent="0.35">
      <c r="A177" s="11" t="s">
        <v>364</v>
      </c>
      <c r="B177" s="9" t="s">
        <v>1752</v>
      </c>
      <c r="C177" s="9" t="s">
        <v>1752</v>
      </c>
      <c r="D177" s="9" t="s">
        <v>1752</v>
      </c>
      <c r="E177" s="15">
        <f t="shared" si="2"/>
        <v>1</v>
      </c>
    </row>
    <row r="178" spans="1:5" x14ac:dyDescent="0.35">
      <c r="A178" s="11" t="s">
        <v>365</v>
      </c>
      <c r="B178" s="9" t="s">
        <v>1752</v>
      </c>
      <c r="C178" s="9" t="s">
        <v>1752</v>
      </c>
      <c r="D178" s="9" t="s">
        <v>1752</v>
      </c>
      <c r="E178" s="15">
        <f t="shared" si="2"/>
        <v>1</v>
      </c>
    </row>
    <row r="179" spans="1:5" x14ac:dyDescent="0.35">
      <c r="A179" s="10" t="s">
        <v>366</v>
      </c>
      <c r="B179" s="9" t="s">
        <v>1752</v>
      </c>
      <c r="C179" s="9" t="s">
        <v>1752</v>
      </c>
      <c r="D179" s="9" t="s">
        <v>1752</v>
      </c>
      <c r="E179" s="15">
        <f t="shared" si="2"/>
        <v>1</v>
      </c>
    </row>
    <row r="180" spans="1:5" x14ac:dyDescent="0.35">
      <c r="A180" s="10" t="s">
        <v>367</v>
      </c>
      <c r="B180" s="9" t="s">
        <v>1752</v>
      </c>
      <c r="C180" s="9" t="s">
        <v>1752</v>
      </c>
      <c r="D180" s="9" t="s">
        <v>1752</v>
      </c>
      <c r="E180" s="15">
        <f t="shared" si="2"/>
        <v>1</v>
      </c>
    </row>
    <row r="181" spans="1:5" x14ac:dyDescent="0.35">
      <c r="A181" s="10" t="s">
        <v>368</v>
      </c>
      <c r="B181" s="9" t="s">
        <v>1752</v>
      </c>
      <c r="C181" s="9" t="s">
        <v>1752</v>
      </c>
      <c r="D181" s="9" t="s">
        <v>1752</v>
      </c>
      <c r="E181" s="15">
        <f t="shared" si="2"/>
        <v>1</v>
      </c>
    </row>
    <row r="182" spans="1:5" x14ac:dyDescent="0.35">
      <c r="A182" s="10" t="s">
        <v>369</v>
      </c>
      <c r="B182" s="9" t="s">
        <v>1752</v>
      </c>
      <c r="C182" s="9" t="s">
        <v>1752</v>
      </c>
      <c r="D182" s="9" t="s">
        <v>1752</v>
      </c>
      <c r="E182" s="15">
        <f t="shared" si="2"/>
        <v>1</v>
      </c>
    </row>
    <row r="183" spans="1:5" x14ac:dyDescent="0.35">
      <c r="A183" s="11" t="s">
        <v>370</v>
      </c>
      <c r="B183" s="9" t="s">
        <v>1752</v>
      </c>
      <c r="C183" s="9" t="s">
        <v>1752</v>
      </c>
      <c r="D183" s="9" t="s">
        <v>1752</v>
      </c>
      <c r="E183" s="15">
        <f t="shared" si="2"/>
        <v>1</v>
      </c>
    </row>
    <row r="184" spans="1:5" x14ac:dyDescent="0.35">
      <c r="A184" s="10" t="s">
        <v>371</v>
      </c>
      <c r="B184" s="9" t="s">
        <v>1752</v>
      </c>
      <c r="C184" s="9" t="s">
        <v>1752</v>
      </c>
      <c r="D184" s="9" t="s">
        <v>1752</v>
      </c>
      <c r="E184" s="15">
        <f t="shared" si="2"/>
        <v>1</v>
      </c>
    </row>
    <row r="185" spans="1:5" x14ac:dyDescent="0.35">
      <c r="A185" s="11" t="s">
        <v>372</v>
      </c>
      <c r="B185" s="9" t="s">
        <v>1752</v>
      </c>
      <c r="C185" s="9" t="s">
        <v>1752</v>
      </c>
      <c r="D185" s="9" t="s">
        <v>1752</v>
      </c>
      <c r="E185" s="15">
        <f t="shared" si="2"/>
        <v>1</v>
      </c>
    </row>
    <row r="186" spans="1:5" x14ac:dyDescent="0.35">
      <c r="A186" s="10" t="s">
        <v>373</v>
      </c>
      <c r="B186" s="9" t="s">
        <v>1752</v>
      </c>
      <c r="C186" s="9" t="s">
        <v>1752</v>
      </c>
      <c r="D186" s="9" t="s">
        <v>1752</v>
      </c>
      <c r="E186" s="15">
        <f t="shared" si="2"/>
        <v>1</v>
      </c>
    </row>
    <row r="187" spans="1:5" x14ac:dyDescent="0.35">
      <c r="A187" s="11" t="s">
        <v>374</v>
      </c>
      <c r="B187" s="9" t="s">
        <v>1752</v>
      </c>
      <c r="C187" s="9" t="s">
        <v>1752</v>
      </c>
      <c r="D187" s="9" t="s">
        <v>1752</v>
      </c>
      <c r="E187" s="15">
        <f t="shared" si="2"/>
        <v>1</v>
      </c>
    </row>
    <row r="188" spans="1:5" x14ac:dyDescent="0.35">
      <c r="A188" s="11" t="s">
        <v>375</v>
      </c>
      <c r="B188" s="9" t="s">
        <v>1752</v>
      </c>
      <c r="C188" s="9" t="s">
        <v>1752</v>
      </c>
      <c r="D188" s="9" t="s">
        <v>1752</v>
      </c>
      <c r="E188" s="15">
        <f t="shared" si="2"/>
        <v>1</v>
      </c>
    </row>
    <row r="189" spans="1:5" x14ac:dyDescent="0.35">
      <c r="A189" s="11" t="s">
        <v>376</v>
      </c>
      <c r="B189" s="9" t="s">
        <v>1752</v>
      </c>
      <c r="C189" s="9" t="s">
        <v>1752</v>
      </c>
      <c r="D189" s="9" t="s">
        <v>1752</v>
      </c>
      <c r="E189" s="15">
        <f t="shared" si="2"/>
        <v>1</v>
      </c>
    </row>
    <row r="190" spans="1:5" x14ac:dyDescent="0.35">
      <c r="A190" s="10" t="s">
        <v>377</v>
      </c>
      <c r="B190" s="9" t="s">
        <v>1752</v>
      </c>
      <c r="C190" s="9" t="s">
        <v>1752</v>
      </c>
      <c r="D190" s="9" t="s">
        <v>1752</v>
      </c>
      <c r="E190" s="15">
        <f t="shared" si="2"/>
        <v>1</v>
      </c>
    </row>
    <row r="191" spans="1:5" x14ac:dyDescent="0.35">
      <c r="A191" s="11" t="s">
        <v>378</v>
      </c>
      <c r="B191" s="9" t="s">
        <v>1752</v>
      </c>
      <c r="C191" s="9" t="s">
        <v>1752</v>
      </c>
      <c r="D191" s="9" t="s">
        <v>1752</v>
      </c>
      <c r="E191" s="15">
        <f t="shared" si="2"/>
        <v>1</v>
      </c>
    </row>
    <row r="192" spans="1:5" x14ac:dyDescent="0.35">
      <c r="A192" s="11" t="s">
        <v>379</v>
      </c>
      <c r="B192" s="9" t="s">
        <v>1752</v>
      </c>
      <c r="C192" s="9" t="s">
        <v>1752</v>
      </c>
      <c r="D192" s="9" t="s">
        <v>1752</v>
      </c>
      <c r="E192" s="15">
        <f t="shared" si="2"/>
        <v>1</v>
      </c>
    </row>
    <row r="193" spans="1:5" x14ac:dyDescent="0.35">
      <c r="A193" s="10" t="s">
        <v>380</v>
      </c>
      <c r="B193" s="9" t="s">
        <v>1752</v>
      </c>
      <c r="C193" s="9" t="s">
        <v>1752</v>
      </c>
      <c r="D193" s="9" t="s">
        <v>1752</v>
      </c>
      <c r="E193" s="15">
        <f t="shared" si="2"/>
        <v>1</v>
      </c>
    </row>
    <row r="194" spans="1:5" x14ac:dyDescent="0.35">
      <c r="A194" s="11" t="s">
        <v>381</v>
      </c>
      <c r="B194" s="9" t="s">
        <v>1752</v>
      </c>
      <c r="C194" s="9" t="s">
        <v>1752</v>
      </c>
      <c r="D194" s="9" t="s">
        <v>1752</v>
      </c>
      <c r="E194" s="15">
        <f t="shared" si="2"/>
        <v>1</v>
      </c>
    </row>
    <row r="195" spans="1:5" x14ac:dyDescent="0.35">
      <c r="A195" s="11" t="s">
        <v>382</v>
      </c>
      <c r="B195" s="9" t="s">
        <v>1752</v>
      </c>
      <c r="C195" s="9" t="s">
        <v>1752</v>
      </c>
      <c r="D195" s="9" t="s">
        <v>1752</v>
      </c>
      <c r="E195" s="15">
        <f t="shared" ref="E195:E258" si="3">IF(COUNTIF(B195:D195,"Y")&gt;0,1,0)</f>
        <v>1</v>
      </c>
    </row>
    <row r="196" spans="1:5" x14ac:dyDescent="0.35">
      <c r="A196" s="11" t="s">
        <v>383</v>
      </c>
      <c r="B196" s="9" t="s">
        <v>1752</v>
      </c>
      <c r="C196" s="9" t="s">
        <v>1752</v>
      </c>
      <c r="D196" s="9" t="s">
        <v>1752</v>
      </c>
      <c r="E196" s="15">
        <f t="shared" si="3"/>
        <v>1</v>
      </c>
    </row>
    <row r="197" spans="1:5" x14ac:dyDescent="0.35">
      <c r="A197" s="10" t="s">
        <v>384</v>
      </c>
      <c r="B197" s="9" t="s">
        <v>1752</v>
      </c>
      <c r="C197" s="9" t="s">
        <v>1752</v>
      </c>
      <c r="D197" s="9" t="s">
        <v>1752</v>
      </c>
      <c r="E197" s="15">
        <f t="shared" si="3"/>
        <v>1</v>
      </c>
    </row>
    <row r="198" spans="1:5" x14ac:dyDescent="0.35">
      <c r="A198" s="11" t="s">
        <v>385</v>
      </c>
      <c r="B198" s="9" t="s">
        <v>1752</v>
      </c>
      <c r="C198" s="9" t="s">
        <v>1752</v>
      </c>
      <c r="D198" s="9" t="s">
        <v>1752</v>
      </c>
      <c r="E198" s="15">
        <f t="shared" si="3"/>
        <v>1</v>
      </c>
    </row>
    <row r="199" spans="1:5" x14ac:dyDescent="0.35">
      <c r="A199" s="10" t="s">
        <v>386</v>
      </c>
      <c r="B199" s="9" t="s">
        <v>1752</v>
      </c>
      <c r="C199" s="9" t="s">
        <v>1752</v>
      </c>
      <c r="D199" s="9" t="s">
        <v>1827</v>
      </c>
      <c r="E199" s="15">
        <f t="shared" si="3"/>
        <v>1</v>
      </c>
    </row>
    <row r="200" spans="1:5" x14ac:dyDescent="0.35">
      <c r="A200" s="10" t="s">
        <v>387</v>
      </c>
      <c r="B200" s="9" t="s">
        <v>1752</v>
      </c>
      <c r="C200" s="9" t="s">
        <v>1752</v>
      </c>
      <c r="D200" s="9" t="s">
        <v>1752</v>
      </c>
      <c r="E200" s="15">
        <f t="shared" si="3"/>
        <v>1</v>
      </c>
    </row>
    <row r="201" spans="1:5" x14ac:dyDescent="0.35">
      <c r="A201" s="11" t="s">
        <v>388</v>
      </c>
      <c r="B201" s="9" t="s">
        <v>1752</v>
      </c>
      <c r="C201" s="9" t="s">
        <v>1752</v>
      </c>
      <c r="D201" s="9" t="s">
        <v>1752</v>
      </c>
      <c r="E201" s="15">
        <f t="shared" si="3"/>
        <v>1</v>
      </c>
    </row>
    <row r="202" spans="1:5" x14ac:dyDescent="0.35">
      <c r="A202" s="10" t="s">
        <v>389</v>
      </c>
      <c r="B202" s="9" t="s">
        <v>1752</v>
      </c>
      <c r="C202" s="9" t="s">
        <v>1752</v>
      </c>
      <c r="D202" s="9" t="s">
        <v>1752</v>
      </c>
      <c r="E202" s="15">
        <f t="shared" si="3"/>
        <v>1</v>
      </c>
    </row>
    <row r="203" spans="1:5" x14ac:dyDescent="0.35">
      <c r="A203" s="10" t="s">
        <v>390</v>
      </c>
      <c r="B203" s="9" t="s">
        <v>1827</v>
      </c>
      <c r="C203" s="9" t="s">
        <v>1752</v>
      </c>
      <c r="D203" s="9" t="s">
        <v>1752</v>
      </c>
      <c r="E203" s="15">
        <f t="shared" si="3"/>
        <v>1</v>
      </c>
    </row>
    <row r="204" spans="1:5" x14ac:dyDescent="0.35">
      <c r="A204" s="11" t="s">
        <v>391</v>
      </c>
      <c r="B204" s="9" t="s">
        <v>1752</v>
      </c>
      <c r="C204" s="9" t="s">
        <v>1752</v>
      </c>
      <c r="D204" s="9" t="s">
        <v>1752</v>
      </c>
      <c r="E204" s="15">
        <f t="shared" si="3"/>
        <v>1</v>
      </c>
    </row>
    <row r="205" spans="1:5" x14ac:dyDescent="0.35">
      <c r="A205" s="11" t="s">
        <v>392</v>
      </c>
      <c r="B205" s="9" t="s">
        <v>1752</v>
      </c>
      <c r="C205" s="9" t="s">
        <v>1752</v>
      </c>
      <c r="D205" s="9" t="s">
        <v>1752</v>
      </c>
      <c r="E205" s="15">
        <f t="shared" si="3"/>
        <v>1</v>
      </c>
    </row>
    <row r="206" spans="1:5" x14ac:dyDescent="0.35">
      <c r="A206" s="10" t="s">
        <v>393</v>
      </c>
      <c r="B206" s="9" t="s">
        <v>1752</v>
      </c>
      <c r="C206" s="9" t="s">
        <v>1752</v>
      </c>
      <c r="D206" s="9" t="s">
        <v>1752</v>
      </c>
      <c r="E206" s="15">
        <f t="shared" si="3"/>
        <v>1</v>
      </c>
    </row>
    <row r="207" spans="1:5" x14ac:dyDescent="0.35">
      <c r="A207" s="10" t="s">
        <v>394</v>
      </c>
      <c r="B207" s="9" t="s">
        <v>1827</v>
      </c>
      <c r="C207" s="9" t="s">
        <v>1752</v>
      </c>
      <c r="D207" s="9" t="s">
        <v>1752</v>
      </c>
      <c r="E207" s="15">
        <f t="shared" si="3"/>
        <v>1</v>
      </c>
    </row>
    <row r="208" spans="1:5" x14ac:dyDescent="0.35">
      <c r="A208" s="11" t="s">
        <v>395</v>
      </c>
      <c r="B208" s="9" t="s">
        <v>1752</v>
      </c>
      <c r="C208" s="9" t="s">
        <v>1752</v>
      </c>
      <c r="D208" s="9" t="s">
        <v>1752</v>
      </c>
      <c r="E208" s="15">
        <f t="shared" si="3"/>
        <v>1</v>
      </c>
    </row>
    <row r="209" spans="1:5" x14ac:dyDescent="0.35">
      <c r="A209" s="11" t="s">
        <v>396</v>
      </c>
      <c r="B209" s="9" t="s">
        <v>1752</v>
      </c>
      <c r="C209" s="9" t="s">
        <v>1752</v>
      </c>
      <c r="D209" s="9" t="s">
        <v>1752</v>
      </c>
      <c r="E209" s="15">
        <f t="shared" si="3"/>
        <v>1</v>
      </c>
    </row>
    <row r="210" spans="1:5" x14ac:dyDescent="0.35">
      <c r="A210" s="11" t="s">
        <v>397</v>
      </c>
      <c r="B210" s="9" t="s">
        <v>1752</v>
      </c>
      <c r="C210" s="9" t="s">
        <v>1752</v>
      </c>
      <c r="D210" s="9" t="s">
        <v>1827</v>
      </c>
      <c r="E210" s="15">
        <f t="shared" si="3"/>
        <v>1</v>
      </c>
    </row>
    <row r="211" spans="1:5" x14ac:dyDescent="0.35">
      <c r="A211" s="10" t="s">
        <v>398</v>
      </c>
      <c r="B211" s="9" t="s">
        <v>1752</v>
      </c>
      <c r="C211" s="9" t="s">
        <v>1752</v>
      </c>
      <c r="D211" s="9" t="s">
        <v>1752</v>
      </c>
      <c r="E211" s="15">
        <f t="shared" si="3"/>
        <v>1</v>
      </c>
    </row>
    <row r="212" spans="1:5" x14ac:dyDescent="0.35">
      <c r="A212" s="10" t="s">
        <v>399</v>
      </c>
      <c r="B212" s="9" t="s">
        <v>1752</v>
      </c>
      <c r="C212" s="9" t="s">
        <v>1752</v>
      </c>
      <c r="D212" s="9" t="s">
        <v>1752</v>
      </c>
      <c r="E212" s="15">
        <f t="shared" si="3"/>
        <v>1</v>
      </c>
    </row>
    <row r="213" spans="1:5" x14ac:dyDescent="0.35">
      <c r="A213" s="11" t="s">
        <v>400</v>
      </c>
      <c r="B213" s="9" t="s">
        <v>1827</v>
      </c>
      <c r="C213" s="9" t="s">
        <v>1752</v>
      </c>
      <c r="D213" s="9" t="s">
        <v>1752</v>
      </c>
      <c r="E213" s="15">
        <f t="shared" si="3"/>
        <v>1</v>
      </c>
    </row>
    <row r="214" spans="1:5" x14ac:dyDescent="0.35">
      <c r="A214" s="11" t="s">
        <v>401</v>
      </c>
      <c r="B214" s="9" t="s">
        <v>1752</v>
      </c>
      <c r="C214" s="9" t="s">
        <v>1752</v>
      </c>
      <c r="D214" s="9" t="s">
        <v>1752</v>
      </c>
      <c r="E214" s="15">
        <f t="shared" si="3"/>
        <v>1</v>
      </c>
    </row>
    <row r="215" spans="1:5" x14ac:dyDescent="0.35">
      <c r="A215" s="10" t="s">
        <v>402</v>
      </c>
      <c r="B215" s="9" t="s">
        <v>1752</v>
      </c>
      <c r="C215" s="9" t="s">
        <v>1752</v>
      </c>
      <c r="D215" s="9" t="s">
        <v>1752</v>
      </c>
      <c r="E215" s="15">
        <f t="shared" si="3"/>
        <v>1</v>
      </c>
    </row>
    <row r="216" spans="1:5" x14ac:dyDescent="0.35">
      <c r="A216" s="11" t="s">
        <v>403</v>
      </c>
      <c r="B216" s="9" t="s">
        <v>1752</v>
      </c>
      <c r="C216" s="9" t="s">
        <v>1752</v>
      </c>
      <c r="D216" s="9" t="s">
        <v>1752</v>
      </c>
      <c r="E216" s="15">
        <f t="shared" si="3"/>
        <v>1</v>
      </c>
    </row>
    <row r="217" spans="1:5" x14ac:dyDescent="0.35">
      <c r="A217" s="11" t="s">
        <v>404</v>
      </c>
      <c r="B217" s="9" t="s">
        <v>1752</v>
      </c>
      <c r="C217" s="9" t="s">
        <v>1752</v>
      </c>
      <c r="D217" s="9" t="s">
        <v>1752</v>
      </c>
      <c r="E217" s="15">
        <f t="shared" si="3"/>
        <v>1</v>
      </c>
    </row>
    <row r="218" spans="1:5" x14ac:dyDescent="0.35">
      <c r="A218" s="10" t="s">
        <v>405</v>
      </c>
      <c r="B218" s="9" t="s">
        <v>1827</v>
      </c>
      <c r="C218" s="9" t="s">
        <v>1752</v>
      </c>
      <c r="D218" s="9" t="s">
        <v>1752</v>
      </c>
      <c r="E218" s="15">
        <f t="shared" si="3"/>
        <v>1</v>
      </c>
    </row>
    <row r="219" spans="1:5" x14ac:dyDescent="0.35">
      <c r="A219" s="11" t="s">
        <v>406</v>
      </c>
      <c r="B219" s="9" t="s">
        <v>1827</v>
      </c>
      <c r="C219" s="9" t="s">
        <v>1752</v>
      </c>
      <c r="D219" s="9" t="s">
        <v>1752</v>
      </c>
      <c r="E219" s="15">
        <f t="shared" si="3"/>
        <v>1</v>
      </c>
    </row>
    <row r="220" spans="1:5" x14ac:dyDescent="0.35">
      <c r="A220" s="11" t="s">
        <v>407</v>
      </c>
      <c r="B220" s="9" t="s">
        <v>1752</v>
      </c>
      <c r="C220" s="9" t="s">
        <v>1752</v>
      </c>
      <c r="D220" s="9" t="s">
        <v>1752</v>
      </c>
      <c r="E220" s="15">
        <f t="shared" si="3"/>
        <v>1</v>
      </c>
    </row>
    <row r="221" spans="1:5" x14ac:dyDescent="0.35">
      <c r="A221" s="10" t="s">
        <v>408</v>
      </c>
      <c r="B221" s="9" t="s">
        <v>1752</v>
      </c>
      <c r="C221" s="9" t="s">
        <v>1752</v>
      </c>
      <c r="D221" s="9" t="s">
        <v>1752</v>
      </c>
      <c r="E221" s="15">
        <f t="shared" si="3"/>
        <v>1</v>
      </c>
    </row>
    <row r="222" spans="1:5" x14ac:dyDescent="0.35">
      <c r="A222" s="11" t="s">
        <v>409</v>
      </c>
      <c r="B222" s="9" t="s">
        <v>1827</v>
      </c>
      <c r="C222" s="9" t="s">
        <v>1752</v>
      </c>
      <c r="D222" s="9" t="s">
        <v>1752</v>
      </c>
      <c r="E222" s="15">
        <f t="shared" si="3"/>
        <v>1</v>
      </c>
    </row>
    <row r="223" spans="1:5" x14ac:dyDescent="0.35">
      <c r="A223" s="10" t="s">
        <v>410</v>
      </c>
      <c r="B223" s="9" t="s">
        <v>1827</v>
      </c>
      <c r="C223" s="9" t="s">
        <v>1752</v>
      </c>
      <c r="D223" s="9" t="s">
        <v>1752</v>
      </c>
      <c r="E223" s="15">
        <f t="shared" si="3"/>
        <v>1</v>
      </c>
    </row>
    <row r="224" spans="1:5" x14ac:dyDescent="0.35">
      <c r="A224" s="11" t="s">
        <v>411</v>
      </c>
      <c r="B224" s="9" t="s">
        <v>1752</v>
      </c>
      <c r="C224" s="9" t="s">
        <v>1752</v>
      </c>
      <c r="D224" s="9" t="s">
        <v>1752</v>
      </c>
      <c r="E224" s="15">
        <f t="shared" si="3"/>
        <v>1</v>
      </c>
    </row>
    <row r="225" spans="1:5" x14ac:dyDescent="0.35">
      <c r="A225" s="10" t="s">
        <v>412</v>
      </c>
      <c r="B225" s="9" t="s">
        <v>1752</v>
      </c>
      <c r="C225" s="9" t="s">
        <v>1752</v>
      </c>
      <c r="D225" s="9" t="s">
        <v>1752</v>
      </c>
      <c r="E225" s="15">
        <f t="shared" si="3"/>
        <v>1</v>
      </c>
    </row>
    <row r="226" spans="1:5" x14ac:dyDescent="0.35">
      <c r="A226" s="11" t="s">
        <v>413</v>
      </c>
      <c r="B226" s="9" t="s">
        <v>1752</v>
      </c>
      <c r="C226" s="9" t="s">
        <v>1752</v>
      </c>
      <c r="D226" s="9" t="s">
        <v>1752</v>
      </c>
      <c r="E226" s="15">
        <f t="shared" si="3"/>
        <v>1</v>
      </c>
    </row>
    <row r="227" spans="1:5" x14ac:dyDescent="0.35">
      <c r="A227" s="10" t="s">
        <v>414</v>
      </c>
      <c r="B227" s="9" t="s">
        <v>1752</v>
      </c>
      <c r="C227" s="9" t="s">
        <v>1752</v>
      </c>
      <c r="D227" s="9" t="s">
        <v>1752</v>
      </c>
      <c r="E227" s="15">
        <f t="shared" si="3"/>
        <v>1</v>
      </c>
    </row>
    <row r="228" spans="1:5" x14ac:dyDescent="0.35">
      <c r="A228" s="11" t="s">
        <v>415</v>
      </c>
      <c r="B228" s="9" t="s">
        <v>1752</v>
      </c>
      <c r="C228" s="9" t="s">
        <v>1752</v>
      </c>
      <c r="D228" s="9" t="s">
        <v>1752</v>
      </c>
      <c r="E228" s="15">
        <f t="shared" si="3"/>
        <v>1</v>
      </c>
    </row>
    <row r="229" spans="1:5" x14ac:dyDescent="0.35">
      <c r="A229" s="10" t="s">
        <v>416</v>
      </c>
      <c r="B229" s="9" t="s">
        <v>1752</v>
      </c>
      <c r="C229" s="9" t="s">
        <v>1752</v>
      </c>
      <c r="D229" s="9" t="s">
        <v>1752</v>
      </c>
      <c r="E229" s="15">
        <f t="shared" si="3"/>
        <v>1</v>
      </c>
    </row>
    <row r="230" spans="1:5" x14ac:dyDescent="0.35">
      <c r="A230" s="10" t="s">
        <v>417</v>
      </c>
      <c r="B230" s="9" t="s">
        <v>1752</v>
      </c>
      <c r="C230" s="9" t="s">
        <v>1752</v>
      </c>
      <c r="D230" s="9" t="s">
        <v>1752</v>
      </c>
      <c r="E230" s="15">
        <f t="shared" si="3"/>
        <v>1</v>
      </c>
    </row>
    <row r="231" spans="1:5" x14ac:dyDescent="0.35">
      <c r="A231" s="10" t="s">
        <v>418</v>
      </c>
      <c r="B231" s="9" t="s">
        <v>1752</v>
      </c>
      <c r="C231" s="9" t="s">
        <v>1752</v>
      </c>
      <c r="D231" s="9" t="s">
        <v>1752</v>
      </c>
      <c r="E231" s="15">
        <f t="shared" si="3"/>
        <v>1</v>
      </c>
    </row>
    <row r="232" spans="1:5" x14ac:dyDescent="0.35">
      <c r="A232" s="10" t="s">
        <v>419</v>
      </c>
      <c r="B232" s="9" t="s">
        <v>1827</v>
      </c>
      <c r="C232" s="9" t="s">
        <v>1752</v>
      </c>
      <c r="D232" s="9" t="s">
        <v>1752</v>
      </c>
      <c r="E232" s="15">
        <f t="shared" si="3"/>
        <v>1</v>
      </c>
    </row>
    <row r="233" spans="1:5" x14ac:dyDescent="0.35">
      <c r="A233" s="11" t="s">
        <v>420</v>
      </c>
      <c r="B233" s="9" t="s">
        <v>1752</v>
      </c>
      <c r="C233" s="9" t="s">
        <v>1752</v>
      </c>
      <c r="D233" s="9" t="s">
        <v>1752</v>
      </c>
      <c r="E233" s="15">
        <f t="shared" si="3"/>
        <v>1</v>
      </c>
    </row>
    <row r="234" spans="1:5" x14ac:dyDescent="0.35">
      <c r="A234" s="11" t="s">
        <v>421</v>
      </c>
      <c r="B234" s="9" t="s">
        <v>1752</v>
      </c>
      <c r="C234" s="9" t="s">
        <v>1752</v>
      </c>
      <c r="D234" s="9" t="s">
        <v>1752</v>
      </c>
      <c r="E234" s="15">
        <f t="shared" si="3"/>
        <v>1</v>
      </c>
    </row>
    <row r="235" spans="1:5" x14ac:dyDescent="0.35">
      <c r="A235" s="11" t="s">
        <v>422</v>
      </c>
      <c r="B235" s="9" t="s">
        <v>1752</v>
      </c>
      <c r="C235" s="9" t="s">
        <v>1752</v>
      </c>
      <c r="D235" s="9" t="s">
        <v>1752</v>
      </c>
      <c r="E235" s="15">
        <f t="shared" si="3"/>
        <v>1</v>
      </c>
    </row>
    <row r="236" spans="1:5" x14ac:dyDescent="0.35">
      <c r="A236" s="10" t="s">
        <v>423</v>
      </c>
      <c r="B236" s="9" t="s">
        <v>1752</v>
      </c>
      <c r="C236" s="9" t="s">
        <v>1752</v>
      </c>
      <c r="D236" s="9" t="s">
        <v>1752</v>
      </c>
      <c r="E236" s="15">
        <f t="shared" si="3"/>
        <v>1</v>
      </c>
    </row>
    <row r="237" spans="1:5" x14ac:dyDescent="0.35">
      <c r="A237" s="11" t="s">
        <v>424</v>
      </c>
      <c r="B237" s="9" t="s">
        <v>1752</v>
      </c>
      <c r="C237" s="9" t="s">
        <v>1752</v>
      </c>
      <c r="D237" s="9" t="s">
        <v>1752</v>
      </c>
      <c r="E237" s="15">
        <f t="shared" si="3"/>
        <v>1</v>
      </c>
    </row>
    <row r="238" spans="1:5" x14ac:dyDescent="0.35">
      <c r="A238" s="11" t="s">
        <v>425</v>
      </c>
      <c r="B238" s="9" t="s">
        <v>1752</v>
      </c>
      <c r="C238" s="9" t="s">
        <v>1752</v>
      </c>
      <c r="D238" s="9" t="s">
        <v>1752</v>
      </c>
      <c r="E238" s="15">
        <f t="shared" si="3"/>
        <v>1</v>
      </c>
    </row>
    <row r="239" spans="1:5" x14ac:dyDescent="0.35">
      <c r="A239" s="11" t="s">
        <v>426</v>
      </c>
      <c r="B239" s="9" t="s">
        <v>1752</v>
      </c>
      <c r="C239" s="9" t="s">
        <v>1752</v>
      </c>
      <c r="D239" s="9" t="s">
        <v>1752</v>
      </c>
      <c r="E239" s="15">
        <f t="shared" si="3"/>
        <v>1</v>
      </c>
    </row>
    <row r="240" spans="1:5" x14ac:dyDescent="0.35">
      <c r="A240" s="10" t="s">
        <v>427</v>
      </c>
      <c r="B240" s="9" t="s">
        <v>1752</v>
      </c>
      <c r="C240" s="9" t="s">
        <v>1752</v>
      </c>
      <c r="D240" s="9" t="s">
        <v>1752</v>
      </c>
      <c r="E240" s="15">
        <f t="shared" si="3"/>
        <v>1</v>
      </c>
    </row>
    <row r="241" spans="1:5" x14ac:dyDescent="0.35">
      <c r="A241" s="11" t="s">
        <v>428</v>
      </c>
      <c r="B241" s="9" t="s">
        <v>1752</v>
      </c>
      <c r="C241" s="9" t="s">
        <v>1752</v>
      </c>
      <c r="D241" s="9" t="s">
        <v>1752</v>
      </c>
      <c r="E241" s="15">
        <f t="shared" si="3"/>
        <v>1</v>
      </c>
    </row>
    <row r="242" spans="1:5" x14ac:dyDescent="0.35">
      <c r="A242" s="11" t="s">
        <v>429</v>
      </c>
      <c r="B242" s="9" t="s">
        <v>1752</v>
      </c>
      <c r="C242" s="9" t="s">
        <v>1752</v>
      </c>
      <c r="D242" s="9" t="s">
        <v>1752</v>
      </c>
      <c r="E242" s="15">
        <f t="shared" si="3"/>
        <v>1</v>
      </c>
    </row>
    <row r="243" spans="1:5" x14ac:dyDescent="0.35">
      <c r="A243" s="11" t="s">
        <v>430</v>
      </c>
      <c r="B243" s="9" t="s">
        <v>1752</v>
      </c>
      <c r="C243" s="9" t="s">
        <v>1752</v>
      </c>
      <c r="D243" s="9" t="s">
        <v>1752</v>
      </c>
      <c r="E243" s="15">
        <f t="shared" si="3"/>
        <v>1</v>
      </c>
    </row>
    <row r="244" spans="1:5" x14ac:dyDescent="0.35">
      <c r="A244" s="10" t="s">
        <v>431</v>
      </c>
      <c r="B244" s="9" t="s">
        <v>1752</v>
      </c>
      <c r="C244" s="9" t="s">
        <v>1752</v>
      </c>
      <c r="D244" s="9" t="s">
        <v>1752</v>
      </c>
      <c r="E244" s="15">
        <f t="shared" si="3"/>
        <v>1</v>
      </c>
    </row>
    <row r="245" spans="1:5" x14ac:dyDescent="0.35">
      <c r="A245" s="10" t="s">
        <v>432</v>
      </c>
      <c r="B245" s="9" t="s">
        <v>1752</v>
      </c>
      <c r="C245" s="9" t="s">
        <v>1752</v>
      </c>
      <c r="D245" s="9" t="s">
        <v>1752</v>
      </c>
      <c r="E245" s="15">
        <f t="shared" si="3"/>
        <v>1</v>
      </c>
    </row>
    <row r="246" spans="1:5" x14ac:dyDescent="0.35">
      <c r="A246" s="10" t="s">
        <v>433</v>
      </c>
      <c r="B246" s="9" t="s">
        <v>1752</v>
      </c>
      <c r="C246" s="9" t="s">
        <v>1752</v>
      </c>
      <c r="D246" s="9" t="s">
        <v>1827</v>
      </c>
      <c r="E246" s="15">
        <f t="shared" si="3"/>
        <v>1</v>
      </c>
    </row>
    <row r="247" spans="1:5" x14ac:dyDescent="0.35">
      <c r="A247" s="10" t="s">
        <v>434</v>
      </c>
      <c r="B247" s="9" t="s">
        <v>1752</v>
      </c>
      <c r="C247" s="9" t="s">
        <v>1752</v>
      </c>
      <c r="D247" s="9" t="s">
        <v>1752</v>
      </c>
      <c r="E247" s="15">
        <f t="shared" si="3"/>
        <v>1</v>
      </c>
    </row>
    <row r="248" spans="1:5" x14ac:dyDescent="0.35">
      <c r="A248" s="11" t="s">
        <v>435</v>
      </c>
      <c r="B248" s="9" t="s">
        <v>1752</v>
      </c>
      <c r="C248" s="9" t="s">
        <v>1752</v>
      </c>
      <c r="D248" s="9" t="s">
        <v>1752</v>
      </c>
      <c r="E248" s="15">
        <f t="shared" si="3"/>
        <v>1</v>
      </c>
    </row>
    <row r="249" spans="1:5" x14ac:dyDescent="0.35">
      <c r="A249" s="10" t="s">
        <v>436</v>
      </c>
      <c r="B249" s="9" t="s">
        <v>1827</v>
      </c>
      <c r="C249" s="9" t="s">
        <v>1752</v>
      </c>
      <c r="D249" s="9" t="s">
        <v>1752</v>
      </c>
      <c r="E249" s="15">
        <f t="shared" si="3"/>
        <v>1</v>
      </c>
    </row>
    <row r="250" spans="1:5" x14ac:dyDescent="0.35">
      <c r="A250" s="11" t="s">
        <v>437</v>
      </c>
      <c r="B250" s="9" t="s">
        <v>1752</v>
      </c>
      <c r="C250" s="9" t="s">
        <v>1752</v>
      </c>
      <c r="D250" s="9" t="s">
        <v>1752</v>
      </c>
      <c r="E250" s="15">
        <f t="shared" si="3"/>
        <v>1</v>
      </c>
    </row>
    <row r="251" spans="1:5" x14ac:dyDescent="0.35">
      <c r="A251" s="10" t="s">
        <v>438</v>
      </c>
      <c r="B251" s="9" t="s">
        <v>1752</v>
      </c>
      <c r="C251" s="9" t="s">
        <v>1752</v>
      </c>
      <c r="D251" s="9" t="s">
        <v>1752</v>
      </c>
      <c r="E251" s="15">
        <f t="shared" si="3"/>
        <v>1</v>
      </c>
    </row>
    <row r="252" spans="1:5" x14ac:dyDescent="0.35">
      <c r="A252" s="11" t="s">
        <v>439</v>
      </c>
      <c r="B252" s="9" t="s">
        <v>1752</v>
      </c>
      <c r="C252" s="9" t="s">
        <v>1752</v>
      </c>
      <c r="D252" s="9" t="s">
        <v>1752</v>
      </c>
      <c r="E252" s="15">
        <f t="shared" si="3"/>
        <v>1</v>
      </c>
    </row>
    <row r="253" spans="1:5" x14ac:dyDescent="0.35">
      <c r="A253" s="10" t="s">
        <v>440</v>
      </c>
      <c r="B253" s="9" t="s">
        <v>1752</v>
      </c>
      <c r="C253" s="9" t="s">
        <v>1752</v>
      </c>
      <c r="D253" s="9" t="s">
        <v>1752</v>
      </c>
      <c r="E253" s="15">
        <f t="shared" si="3"/>
        <v>1</v>
      </c>
    </row>
    <row r="254" spans="1:5" x14ac:dyDescent="0.35">
      <c r="A254" s="10" t="s">
        <v>441</v>
      </c>
      <c r="B254" s="9" t="s">
        <v>1752</v>
      </c>
      <c r="C254" s="9" t="s">
        <v>1752</v>
      </c>
      <c r="D254" s="9" t="s">
        <v>1752</v>
      </c>
      <c r="E254" s="15">
        <f t="shared" si="3"/>
        <v>1</v>
      </c>
    </row>
    <row r="255" spans="1:5" x14ac:dyDescent="0.35">
      <c r="A255" s="11" t="s">
        <v>442</v>
      </c>
      <c r="B255" s="9" t="s">
        <v>1752</v>
      </c>
      <c r="C255" s="9" t="s">
        <v>1752</v>
      </c>
      <c r="D255" s="9" t="s">
        <v>1752</v>
      </c>
      <c r="E255" s="15">
        <f t="shared" si="3"/>
        <v>1</v>
      </c>
    </row>
    <row r="256" spans="1:5" x14ac:dyDescent="0.35">
      <c r="A256" s="10" t="s">
        <v>443</v>
      </c>
      <c r="B256" s="9" t="s">
        <v>1752</v>
      </c>
      <c r="C256" s="9" t="s">
        <v>1752</v>
      </c>
      <c r="D256" s="9" t="s">
        <v>1752</v>
      </c>
      <c r="E256" s="15">
        <f t="shared" si="3"/>
        <v>1</v>
      </c>
    </row>
    <row r="257" spans="1:5" x14ac:dyDescent="0.35">
      <c r="A257" s="11" t="s">
        <v>444</v>
      </c>
      <c r="B257" s="9" t="s">
        <v>1752</v>
      </c>
      <c r="C257" s="9" t="s">
        <v>1752</v>
      </c>
      <c r="D257" s="9" t="s">
        <v>1752</v>
      </c>
      <c r="E257" s="15">
        <f t="shared" si="3"/>
        <v>1</v>
      </c>
    </row>
    <row r="258" spans="1:5" x14ac:dyDescent="0.35">
      <c r="A258" s="10" t="s">
        <v>445</v>
      </c>
      <c r="B258" s="9" t="s">
        <v>1752</v>
      </c>
      <c r="C258" s="9" t="s">
        <v>1752</v>
      </c>
      <c r="D258" s="9" t="s">
        <v>1752</v>
      </c>
      <c r="E258" s="15">
        <f t="shared" si="3"/>
        <v>1</v>
      </c>
    </row>
    <row r="259" spans="1:5" x14ac:dyDescent="0.35">
      <c r="A259" s="11" t="s">
        <v>446</v>
      </c>
      <c r="B259" s="9" t="s">
        <v>1752</v>
      </c>
      <c r="C259" s="9" t="s">
        <v>1752</v>
      </c>
      <c r="D259" s="9" t="s">
        <v>1752</v>
      </c>
      <c r="E259" s="15">
        <f t="shared" ref="E259:E322" si="4">IF(COUNTIF(B259:D259,"Y")&gt;0,1,0)</f>
        <v>1</v>
      </c>
    </row>
    <row r="260" spans="1:5" x14ac:dyDescent="0.35">
      <c r="A260" s="10" t="s">
        <v>447</v>
      </c>
      <c r="B260" s="9" t="s">
        <v>1752</v>
      </c>
      <c r="C260" s="9" t="s">
        <v>1752</v>
      </c>
      <c r="D260" s="9" t="s">
        <v>1752</v>
      </c>
      <c r="E260" s="15">
        <f t="shared" si="4"/>
        <v>1</v>
      </c>
    </row>
    <row r="261" spans="1:5" x14ac:dyDescent="0.35">
      <c r="A261" s="11" t="s">
        <v>448</v>
      </c>
      <c r="B261" s="9" t="s">
        <v>1752</v>
      </c>
      <c r="C261" s="9" t="s">
        <v>1752</v>
      </c>
      <c r="D261" s="9" t="s">
        <v>1752</v>
      </c>
      <c r="E261" s="15">
        <f t="shared" si="4"/>
        <v>1</v>
      </c>
    </row>
    <row r="262" spans="1:5" x14ac:dyDescent="0.35">
      <c r="A262" s="10" t="s">
        <v>449</v>
      </c>
      <c r="B262" s="9" t="s">
        <v>1752</v>
      </c>
      <c r="C262" s="9" t="s">
        <v>1752</v>
      </c>
      <c r="D262" s="9" t="s">
        <v>1752</v>
      </c>
      <c r="E262" s="15">
        <f t="shared" si="4"/>
        <v>1</v>
      </c>
    </row>
    <row r="263" spans="1:5" x14ac:dyDescent="0.35">
      <c r="A263" s="11" t="s">
        <v>450</v>
      </c>
      <c r="B263" s="9" t="s">
        <v>1752</v>
      </c>
      <c r="C263" s="9" t="s">
        <v>1752</v>
      </c>
      <c r="D263" s="9" t="s">
        <v>1752</v>
      </c>
      <c r="E263" s="15">
        <f t="shared" si="4"/>
        <v>1</v>
      </c>
    </row>
    <row r="264" spans="1:5" x14ac:dyDescent="0.35">
      <c r="A264" s="11" t="s">
        <v>451</v>
      </c>
      <c r="B264" s="9" t="s">
        <v>1752</v>
      </c>
      <c r="C264" s="9" t="s">
        <v>1752</v>
      </c>
      <c r="D264" s="9" t="s">
        <v>1752</v>
      </c>
      <c r="E264" s="15">
        <f t="shared" si="4"/>
        <v>1</v>
      </c>
    </row>
    <row r="265" spans="1:5" x14ac:dyDescent="0.35">
      <c r="A265" s="10" t="s">
        <v>452</v>
      </c>
      <c r="B265" s="9" t="s">
        <v>1752</v>
      </c>
      <c r="C265" s="9" t="s">
        <v>1752</v>
      </c>
      <c r="D265" s="9" t="s">
        <v>1752</v>
      </c>
      <c r="E265" s="15">
        <f t="shared" si="4"/>
        <v>1</v>
      </c>
    </row>
    <row r="266" spans="1:5" x14ac:dyDescent="0.35">
      <c r="A266" s="10" t="s">
        <v>453</v>
      </c>
      <c r="B266" s="9" t="s">
        <v>1752</v>
      </c>
      <c r="C266" s="9" t="s">
        <v>1752</v>
      </c>
      <c r="D266" s="9" t="s">
        <v>1752</v>
      </c>
      <c r="E266" s="15">
        <f t="shared" si="4"/>
        <v>1</v>
      </c>
    </row>
    <row r="267" spans="1:5" x14ac:dyDescent="0.35">
      <c r="A267" s="11" t="s">
        <v>454</v>
      </c>
      <c r="B267" s="9" t="s">
        <v>1752</v>
      </c>
      <c r="C267" s="9" t="s">
        <v>1752</v>
      </c>
      <c r="D267" s="9" t="s">
        <v>1752</v>
      </c>
      <c r="E267" s="15">
        <f t="shared" si="4"/>
        <v>1</v>
      </c>
    </row>
    <row r="268" spans="1:5" x14ac:dyDescent="0.35">
      <c r="A268" s="11" t="s">
        <v>455</v>
      </c>
      <c r="B268" s="9" t="s">
        <v>1752</v>
      </c>
      <c r="C268" s="9" t="s">
        <v>1752</v>
      </c>
      <c r="D268" s="9" t="s">
        <v>1752</v>
      </c>
      <c r="E268" s="15">
        <f t="shared" si="4"/>
        <v>1</v>
      </c>
    </row>
    <row r="269" spans="1:5" x14ac:dyDescent="0.35">
      <c r="A269" s="11" t="s">
        <v>456</v>
      </c>
      <c r="B269" s="9" t="s">
        <v>1752</v>
      </c>
      <c r="C269" s="9" t="s">
        <v>1752</v>
      </c>
      <c r="D269" s="9" t="s">
        <v>1752</v>
      </c>
      <c r="E269" s="15">
        <f t="shared" si="4"/>
        <v>1</v>
      </c>
    </row>
    <row r="270" spans="1:5" x14ac:dyDescent="0.35">
      <c r="A270" s="10" t="s">
        <v>457</v>
      </c>
      <c r="B270" s="9" t="s">
        <v>1752</v>
      </c>
      <c r="C270" s="9" t="s">
        <v>1752</v>
      </c>
      <c r="D270" s="9" t="s">
        <v>1752</v>
      </c>
      <c r="E270" s="15">
        <f t="shared" si="4"/>
        <v>1</v>
      </c>
    </row>
    <row r="271" spans="1:5" x14ac:dyDescent="0.35">
      <c r="A271" s="10" t="s">
        <v>458</v>
      </c>
      <c r="B271" s="9" t="s">
        <v>1752</v>
      </c>
      <c r="C271" s="9" t="s">
        <v>1752</v>
      </c>
      <c r="D271" s="9" t="s">
        <v>1752</v>
      </c>
      <c r="E271" s="15">
        <f t="shared" si="4"/>
        <v>1</v>
      </c>
    </row>
    <row r="272" spans="1:5" x14ac:dyDescent="0.35">
      <c r="A272" s="11" t="s">
        <v>459</v>
      </c>
      <c r="B272" s="9" t="s">
        <v>1752</v>
      </c>
      <c r="C272" s="9" t="s">
        <v>1752</v>
      </c>
      <c r="D272" s="9" t="s">
        <v>1827</v>
      </c>
      <c r="E272" s="15">
        <f t="shared" si="4"/>
        <v>1</v>
      </c>
    </row>
    <row r="273" spans="1:5" x14ac:dyDescent="0.35">
      <c r="A273" s="11" t="s">
        <v>460</v>
      </c>
      <c r="B273" s="9" t="s">
        <v>1752</v>
      </c>
      <c r="C273" s="9" t="s">
        <v>1752</v>
      </c>
      <c r="D273" s="9" t="s">
        <v>1752</v>
      </c>
      <c r="E273" s="15">
        <f t="shared" si="4"/>
        <v>1</v>
      </c>
    </row>
    <row r="274" spans="1:5" x14ac:dyDescent="0.35">
      <c r="A274" s="10" t="s">
        <v>461</v>
      </c>
      <c r="B274" s="9" t="s">
        <v>1752</v>
      </c>
      <c r="C274" s="9" t="s">
        <v>1752</v>
      </c>
      <c r="D274" s="9" t="s">
        <v>1752</v>
      </c>
      <c r="E274" s="15">
        <f t="shared" si="4"/>
        <v>1</v>
      </c>
    </row>
    <row r="275" spans="1:5" x14ac:dyDescent="0.35">
      <c r="A275" s="11" t="s">
        <v>462</v>
      </c>
      <c r="B275" s="9" t="s">
        <v>1752</v>
      </c>
      <c r="C275" s="9" t="s">
        <v>1752</v>
      </c>
      <c r="D275" s="9" t="s">
        <v>1752</v>
      </c>
      <c r="E275" s="15">
        <f t="shared" si="4"/>
        <v>1</v>
      </c>
    </row>
    <row r="276" spans="1:5" x14ac:dyDescent="0.35">
      <c r="A276" s="10" t="s">
        <v>463</v>
      </c>
      <c r="B276" s="9" t="s">
        <v>1752</v>
      </c>
      <c r="C276" s="9" t="s">
        <v>1752</v>
      </c>
      <c r="D276" s="9" t="s">
        <v>1752</v>
      </c>
      <c r="E276" s="15">
        <f t="shared" si="4"/>
        <v>1</v>
      </c>
    </row>
    <row r="277" spans="1:5" x14ac:dyDescent="0.35">
      <c r="A277" s="11" t="s">
        <v>464</v>
      </c>
      <c r="B277" s="9" t="s">
        <v>1752</v>
      </c>
      <c r="C277" s="9" t="s">
        <v>1752</v>
      </c>
      <c r="D277" s="9" t="s">
        <v>1752</v>
      </c>
      <c r="E277" s="15">
        <f t="shared" si="4"/>
        <v>1</v>
      </c>
    </row>
    <row r="278" spans="1:5" x14ac:dyDescent="0.35">
      <c r="A278" s="10" t="s">
        <v>465</v>
      </c>
      <c r="B278" s="9" t="s">
        <v>1752</v>
      </c>
      <c r="C278" s="9" t="s">
        <v>1752</v>
      </c>
      <c r="D278" s="9" t="s">
        <v>1752</v>
      </c>
      <c r="E278" s="15">
        <f t="shared" si="4"/>
        <v>1</v>
      </c>
    </row>
    <row r="279" spans="1:5" x14ac:dyDescent="0.35">
      <c r="A279" s="11" t="s">
        <v>466</v>
      </c>
      <c r="B279" s="9" t="s">
        <v>1752</v>
      </c>
      <c r="C279" s="9" t="s">
        <v>1752</v>
      </c>
      <c r="D279" s="9" t="s">
        <v>1752</v>
      </c>
      <c r="E279" s="15">
        <f t="shared" si="4"/>
        <v>1</v>
      </c>
    </row>
    <row r="280" spans="1:5" x14ac:dyDescent="0.35">
      <c r="A280" s="10" t="s">
        <v>467</v>
      </c>
      <c r="B280" s="9" t="s">
        <v>1752</v>
      </c>
      <c r="C280" s="9" t="s">
        <v>1752</v>
      </c>
      <c r="D280" s="9" t="s">
        <v>1752</v>
      </c>
      <c r="E280" s="15">
        <f t="shared" si="4"/>
        <v>1</v>
      </c>
    </row>
    <row r="281" spans="1:5" x14ac:dyDescent="0.35">
      <c r="A281" s="11" t="s">
        <v>468</v>
      </c>
      <c r="B281" s="9" t="s">
        <v>1752</v>
      </c>
      <c r="C281" s="9" t="s">
        <v>1752</v>
      </c>
      <c r="D281" s="9" t="s">
        <v>1752</v>
      </c>
      <c r="E281" s="15">
        <f t="shared" si="4"/>
        <v>1</v>
      </c>
    </row>
    <row r="282" spans="1:5" x14ac:dyDescent="0.35">
      <c r="A282" s="10" t="s">
        <v>469</v>
      </c>
      <c r="B282" s="9" t="s">
        <v>1752</v>
      </c>
      <c r="C282" s="9" t="s">
        <v>1752</v>
      </c>
      <c r="D282" s="9" t="s">
        <v>1752</v>
      </c>
      <c r="E282" s="15">
        <f t="shared" si="4"/>
        <v>1</v>
      </c>
    </row>
    <row r="283" spans="1:5" x14ac:dyDescent="0.35">
      <c r="A283" s="11" t="s">
        <v>470</v>
      </c>
      <c r="B283" s="9" t="s">
        <v>1752</v>
      </c>
      <c r="C283" s="9" t="s">
        <v>1752</v>
      </c>
      <c r="D283" s="9" t="s">
        <v>1752</v>
      </c>
      <c r="E283" s="15">
        <f t="shared" si="4"/>
        <v>1</v>
      </c>
    </row>
    <row r="284" spans="1:5" x14ac:dyDescent="0.35">
      <c r="A284" s="10" t="s">
        <v>471</v>
      </c>
      <c r="B284" s="9" t="s">
        <v>1752</v>
      </c>
      <c r="C284" s="9" t="s">
        <v>1752</v>
      </c>
      <c r="D284" s="9" t="s">
        <v>1752</v>
      </c>
      <c r="E284" s="15">
        <f t="shared" si="4"/>
        <v>1</v>
      </c>
    </row>
    <row r="285" spans="1:5" x14ac:dyDescent="0.35">
      <c r="A285" s="10" t="s">
        <v>472</v>
      </c>
      <c r="B285" s="9" t="s">
        <v>1752</v>
      </c>
      <c r="C285" s="9" t="s">
        <v>1752</v>
      </c>
      <c r="D285" s="9" t="s">
        <v>1752</v>
      </c>
      <c r="E285" s="15">
        <f t="shared" si="4"/>
        <v>1</v>
      </c>
    </row>
    <row r="286" spans="1:5" x14ac:dyDescent="0.35">
      <c r="A286" s="11" t="s">
        <v>473</v>
      </c>
      <c r="B286" s="9" t="s">
        <v>1752</v>
      </c>
      <c r="C286" s="9" t="s">
        <v>1752</v>
      </c>
      <c r="D286" s="9" t="s">
        <v>1752</v>
      </c>
      <c r="E286" s="15">
        <f t="shared" si="4"/>
        <v>1</v>
      </c>
    </row>
    <row r="287" spans="1:5" x14ac:dyDescent="0.35">
      <c r="A287" s="11" t="s">
        <v>474</v>
      </c>
      <c r="B287" s="9" t="s">
        <v>1752</v>
      </c>
      <c r="C287" s="9" t="s">
        <v>1752</v>
      </c>
      <c r="D287" s="9" t="s">
        <v>1752</v>
      </c>
      <c r="E287" s="15">
        <f t="shared" si="4"/>
        <v>1</v>
      </c>
    </row>
    <row r="288" spans="1:5" x14ac:dyDescent="0.35">
      <c r="A288" s="10" t="s">
        <v>475</v>
      </c>
      <c r="B288" s="9" t="s">
        <v>1752</v>
      </c>
      <c r="C288" s="9" t="s">
        <v>1752</v>
      </c>
      <c r="D288" s="9" t="s">
        <v>1752</v>
      </c>
      <c r="E288" s="15">
        <f t="shared" si="4"/>
        <v>1</v>
      </c>
    </row>
    <row r="289" spans="1:5" x14ac:dyDescent="0.35">
      <c r="A289" s="11" t="s">
        <v>476</v>
      </c>
      <c r="B289" s="9" t="s">
        <v>1752</v>
      </c>
      <c r="C289" s="9" t="s">
        <v>1752</v>
      </c>
      <c r="D289" s="9" t="s">
        <v>1752</v>
      </c>
      <c r="E289" s="15">
        <f t="shared" si="4"/>
        <v>1</v>
      </c>
    </row>
    <row r="290" spans="1:5" x14ac:dyDescent="0.35">
      <c r="A290" s="10" t="s">
        <v>477</v>
      </c>
      <c r="B290" s="9" t="s">
        <v>1752</v>
      </c>
      <c r="C290" s="9" t="s">
        <v>1752</v>
      </c>
      <c r="D290" s="9" t="s">
        <v>1752</v>
      </c>
      <c r="E290" s="15">
        <f t="shared" si="4"/>
        <v>1</v>
      </c>
    </row>
    <row r="291" spans="1:5" x14ac:dyDescent="0.35">
      <c r="A291" s="11" t="s">
        <v>478</v>
      </c>
      <c r="B291" s="9" t="s">
        <v>1752</v>
      </c>
      <c r="C291" s="9" t="s">
        <v>1752</v>
      </c>
      <c r="D291" s="9" t="s">
        <v>1752</v>
      </c>
      <c r="E291" s="15">
        <f t="shared" si="4"/>
        <v>1</v>
      </c>
    </row>
    <row r="292" spans="1:5" x14ac:dyDescent="0.35">
      <c r="A292" s="10" t="s">
        <v>479</v>
      </c>
      <c r="B292" s="9" t="s">
        <v>1752</v>
      </c>
      <c r="C292" s="9" t="s">
        <v>1752</v>
      </c>
      <c r="D292" s="9" t="s">
        <v>1752</v>
      </c>
      <c r="E292" s="15">
        <f t="shared" si="4"/>
        <v>1</v>
      </c>
    </row>
    <row r="293" spans="1:5" x14ac:dyDescent="0.35">
      <c r="A293" s="11" t="s">
        <v>480</v>
      </c>
      <c r="B293" s="9" t="s">
        <v>1752</v>
      </c>
      <c r="C293" s="9" t="s">
        <v>1752</v>
      </c>
      <c r="D293" s="9" t="s">
        <v>1752</v>
      </c>
      <c r="E293" s="15">
        <f t="shared" si="4"/>
        <v>1</v>
      </c>
    </row>
    <row r="294" spans="1:5" x14ac:dyDescent="0.35">
      <c r="A294" s="10" t="s">
        <v>481</v>
      </c>
      <c r="B294" s="9" t="s">
        <v>1752</v>
      </c>
      <c r="C294" s="9" t="s">
        <v>1752</v>
      </c>
      <c r="D294" s="9" t="s">
        <v>1752</v>
      </c>
      <c r="E294" s="15">
        <f t="shared" si="4"/>
        <v>1</v>
      </c>
    </row>
    <row r="295" spans="1:5" x14ac:dyDescent="0.35">
      <c r="A295" s="10" t="s">
        <v>482</v>
      </c>
      <c r="B295" s="9" t="s">
        <v>1752</v>
      </c>
      <c r="C295" s="9" t="s">
        <v>1752</v>
      </c>
      <c r="D295" s="9" t="s">
        <v>1752</v>
      </c>
      <c r="E295" s="15">
        <f t="shared" si="4"/>
        <v>1</v>
      </c>
    </row>
    <row r="296" spans="1:5" x14ac:dyDescent="0.35">
      <c r="A296" s="10" t="s">
        <v>483</v>
      </c>
      <c r="B296" s="9" t="s">
        <v>1752</v>
      </c>
      <c r="C296" s="9" t="s">
        <v>1752</v>
      </c>
      <c r="D296" s="9" t="s">
        <v>1752</v>
      </c>
      <c r="E296" s="15">
        <f t="shared" si="4"/>
        <v>1</v>
      </c>
    </row>
    <row r="297" spans="1:5" x14ac:dyDescent="0.35">
      <c r="A297" s="11" t="s">
        <v>484</v>
      </c>
      <c r="B297" s="9" t="s">
        <v>1752</v>
      </c>
      <c r="C297" s="9" t="s">
        <v>1752</v>
      </c>
      <c r="D297" s="9" t="s">
        <v>1827</v>
      </c>
      <c r="E297" s="15">
        <f t="shared" si="4"/>
        <v>1</v>
      </c>
    </row>
    <row r="298" spans="1:5" x14ac:dyDescent="0.35">
      <c r="A298" s="10" t="s">
        <v>485</v>
      </c>
      <c r="B298" s="9" t="s">
        <v>1752</v>
      </c>
      <c r="C298" s="9" t="s">
        <v>1752</v>
      </c>
      <c r="D298" s="9" t="s">
        <v>1752</v>
      </c>
      <c r="E298" s="15">
        <f t="shared" si="4"/>
        <v>1</v>
      </c>
    </row>
    <row r="299" spans="1:5" x14ac:dyDescent="0.35">
      <c r="A299" s="11" t="s">
        <v>486</v>
      </c>
      <c r="B299" s="9" t="s">
        <v>1752</v>
      </c>
      <c r="C299" s="9" t="s">
        <v>1752</v>
      </c>
      <c r="D299" s="9" t="s">
        <v>1752</v>
      </c>
      <c r="E299" s="15">
        <f t="shared" si="4"/>
        <v>1</v>
      </c>
    </row>
    <row r="300" spans="1:5" x14ac:dyDescent="0.35">
      <c r="A300" s="11" t="s">
        <v>487</v>
      </c>
      <c r="B300" s="9" t="s">
        <v>1752</v>
      </c>
      <c r="C300" s="9" t="s">
        <v>1752</v>
      </c>
      <c r="D300" s="9" t="s">
        <v>1752</v>
      </c>
      <c r="E300" s="15">
        <f t="shared" si="4"/>
        <v>1</v>
      </c>
    </row>
    <row r="301" spans="1:5" x14ac:dyDescent="0.35">
      <c r="A301" s="11" t="s">
        <v>488</v>
      </c>
      <c r="B301" s="9" t="s">
        <v>1752</v>
      </c>
      <c r="C301" s="9" t="s">
        <v>1752</v>
      </c>
      <c r="D301" s="9" t="s">
        <v>1752</v>
      </c>
      <c r="E301" s="15">
        <f t="shared" si="4"/>
        <v>1</v>
      </c>
    </row>
    <row r="302" spans="1:5" x14ac:dyDescent="0.35">
      <c r="A302" s="10" t="s">
        <v>489</v>
      </c>
      <c r="B302" s="9" t="s">
        <v>1752</v>
      </c>
      <c r="C302" s="9" t="s">
        <v>1752</v>
      </c>
      <c r="D302" s="9" t="s">
        <v>1752</v>
      </c>
      <c r="E302" s="15">
        <f t="shared" si="4"/>
        <v>1</v>
      </c>
    </row>
    <row r="303" spans="1:5" x14ac:dyDescent="0.35">
      <c r="A303" s="11" t="s">
        <v>490</v>
      </c>
      <c r="B303" s="9" t="s">
        <v>1752</v>
      </c>
      <c r="C303" s="9" t="s">
        <v>1752</v>
      </c>
      <c r="D303" s="9" t="s">
        <v>1752</v>
      </c>
      <c r="E303" s="15">
        <f t="shared" si="4"/>
        <v>1</v>
      </c>
    </row>
    <row r="304" spans="1:5" x14ac:dyDescent="0.35">
      <c r="A304" s="11" t="s">
        <v>491</v>
      </c>
      <c r="B304" s="9" t="s">
        <v>1752</v>
      </c>
      <c r="C304" s="9" t="s">
        <v>1752</v>
      </c>
      <c r="D304" s="9" t="s">
        <v>1752</v>
      </c>
      <c r="E304" s="15">
        <f t="shared" si="4"/>
        <v>1</v>
      </c>
    </row>
    <row r="305" spans="1:5" x14ac:dyDescent="0.35">
      <c r="A305" s="10" t="s">
        <v>492</v>
      </c>
      <c r="B305" s="9" t="s">
        <v>1752</v>
      </c>
      <c r="C305" s="9" t="s">
        <v>1752</v>
      </c>
      <c r="D305" s="9" t="s">
        <v>1752</v>
      </c>
      <c r="E305" s="15">
        <f t="shared" si="4"/>
        <v>1</v>
      </c>
    </row>
    <row r="306" spans="1:5" x14ac:dyDescent="0.35">
      <c r="A306" s="11" t="s">
        <v>493</v>
      </c>
      <c r="B306" s="9" t="s">
        <v>1752</v>
      </c>
      <c r="C306" s="9" t="s">
        <v>1752</v>
      </c>
      <c r="D306" s="9" t="s">
        <v>1752</v>
      </c>
      <c r="E306" s="15">
        <f t="shared" si="4"/>
        <v>1</v>
      </c>
    </row>
    <row r="307" spans="1:5" x14ac:dyDescent="0.35">
      <c r="A307" s="10" t="s">
        <v>494</v>
      </c>
      <c r="B307" s="9" t="s">
        <v>1752</v>
      </c>
      <c r="C307" s="9" t="s">
        <v>1752</v>
      </c>
      <c r="D307" s="9" t="s">
        <v>1752</v>
      </c>
      <c r="E307" s="15">
        <f t="shared" si="4"/>
        <v>1</v>
      </c>
    </row>
    <row r="308" spans="1:5" x14ac:dyDescent="0.35">
      <c r="A308" s="11" t="s">
        <v>495</v>
      </c>
      <c r="B308" s="9" t="s">
        <v>1752</v>
      </c>
      <c r="C308" s="9" t="s">
        <v>1752</v>
      </c>
      <c r="D308" s="9" t="s">
        <v>1752</v>
      </c>
      <c r="E308" s="15">
        <f t="shared" si="4"/>
        <v>1</v>
      </c>
    </row>
    <row r="309" spans="1:5" x14ac:dyDescent="0.35">
      <c r="A309" s="10" t="s">
        <v>496</v>
      </c>
      <c r="B309" s="9" t="s">
        <v>1752</v>
      </c>
      <c r="C309" s="9" t="s">
        <v>1752</v>
      </c>
      <c r="D309" s="9" t="s">
        <v>1752</v>
      </c>
      <c r="E309" s="15">
        <f t="shared" si="4"/>
        <v>1</v>
      </c>
    </row>
    <row r="310" spans="1:5" x14ac:dyDescent="0.35">
      <c r="A310" s="11" t="s">
        <v>497</v>
      </c>
      <c r="B310" s="9" t="s">
        <v>1752</v>
      </c>
      <c r="C310" s="9" t="s">
        <v>1752</v>
      </c>
      <c r="D310" s="9" t="s">
        <v>1752</v>
      </c>
      <c r="E310" s="15">
        <f t="shared" si="4"/>
        <v>1</v>
      </c>
    </row>
    <row r="311" spans="1:5" x14ac:dyDescent="0.35">
      <c r="A311" s="10" t="s">
        <v>498</v>
      </c>
      <c r="B311" s="9" t="s">
        <v>1752</v>
      </c>
      <c r="C311" s="9" t="s">
        <v>1752</v>
      </c>
      <c r="D311" s="9" t="s">
        <v>1752</v>
      </c>
      <c r="E311" s="15">
        <f t="shared" si="4"/>
        <v>1</v>
      </c>
    </row>
    <row r="312" spans="1:5" x14ac:dyDescent="0.35">
      <c r="A312" s="11" t="s">
        <v>499</v>
      </c>
      <c r="B312" s="9" t="s">
        <v>1752</v>
      </c>
      <c r="C312" s="9" t="s">
        <v>1752</v>
      </c>
      <c r="D312" s="9" t="s">
        <v>1752</v>
      </c>
      <c r="E312" s="15">
        <f t="shared" si="4"/>
        <v>1</v>
      </c>
    </row>
    <row r="313" spans="1:5" x14ac:dyDescent="0.35">
      <c r="A313" s="11" t="s">
        <v>500</v>
      </c>
      <c r="B313" s="9" t="s">
        <v>1752</v>
      </c>
      <c r="C313" s="9" t="s">
        <v>1752</v>
      </c>
      <c r="D313" s="9" t="s">
        <v>1752</v>
      </c>
      <c r="E313" s="15">
        <f t="shared" si="4"/>
        <v>1</v>
      </c>
    </row>
    <row r="314" spans="1:5" x14ac:dyDescent="0.35">
      <c r="A314" s="11" t="s">
        <v>501</v>
      </c>
      <c r="B314" s="9" t="s">
        <v>1827</v>
      </c>
      <c r="C314" s="9" t="s">
        <v>1752</v>
      </c>
      <c r="D314" s="9" t="s">
        <v>1752</v>
      </c>
      <c r="E314" s="15">
        <f t="shared" si="4"/>
        <v>1</v>
      </c>
    </row>
    <row r="315" spans="1:5" x14ac:dyDescent="0.35">
      <c r="A315" s="10" t="s">
        <v>502</v>
      </c>
      <c r="B315" s="9" t="s">
        <v>1752</v>
      </c>
      <c r="C315" s="9" t="s">
        <v>1752</v>
      </c>
      <c r="D315" s="9" t="s">
        <v>1752</v>
      </c>
      <c r="E315" s="15">
        <f t="shared" si="4"/>
        <v>1</v>
      </c>
    </row>
    <row r="316" spans="1:5" x14ac:dyDescent="0.35">
      <c r="A316" s="11" t="s">
        <v>503</v>
      </c>
      <c r="B316" s="9" t="s">
        <v>1752</v>
      </c>
      <c r="C316" s="9" t="s">
        <v>1752</v>
      </c>
      <c r="D316" s="9" t="s">
        <v>1752</v>
      </c>
      <c r="E316" s="15">
        <f t="shared" si="4"/>
        <v>1</v>
      </c>
    </row>
    <row r="317" spans="1:5" x14ac:dyDescent="0.35">
      <c r="A317" s="10" t="s">
        <v>504</v>
      </c>
      <c r="B317" s="9" t="s">
        <v>1752</v>
      </c>
      <c r="C317" s="9" t="s">
        <v>1752</v>
      </c>
      <c r="D317" s="9" t="s">
        <v>1752</v>
      </c>
      <c r="E317" s="15">
        <f t="shared" si="4"/>
        <v>1</v>
      </c>
    </row>
    <row r="318" spans="1:5" x14ac:dyDescent="0.35">
      <c r="A318" s="11" t="s">
        <v>505</v>
      </c>
      <c r="B318" s="9" t="s">
        <v>1752</v>
      </c>
      <c r="C318" s="9" t="s">
        <v>1752</v>
      </c>
      <c r="D318" s="9" t="s">
        <v>1752</v>
      </c>
      <c r="E318" s="15">
        <f t="shared" si="4"/>
        <v>1</v>
      </c>
    </row>
    <row r="319" spans="1:5" x14ac:dyDescent="0.35">
      <c r="A319" s="11" t="s">
        <v>506</v>
      </c>
      <c r="B319" s="9" t="s">
        <v>1752</v>
      </c>
      <c r="C319" s="9" t="s">
        <v>1752</v>
      </c>
      <c r="D319" s="9" t="s">
        <v>1827</v>
      </c>
      <c r="E319" s="15">
        <f t="shared" si="4"/>
        <v>1</v>
      </c>
    </row>
    <row r="320" spans="1:5" x14ac:dyDescent="0.35">
      <c r="A320" s="10" t="s">
        <v>507</v>
      </c>
      <c r="B320" s="9" t="s">
        <v>1752</v>
      </c>
      <c r="C320" s="9" t="s">
        <v>1752</v>
      </c>
      <c r="D320" s="9" t="s">
        <v>1752</v>
      </c>
      <c r="E320" s="15">
        <f t="shared" si="4"/>
        <v>1</v>
      </c>
    </row>
    <row r="321" spans="1:5" x14ac:dyDescent="0.35">
      <c r="A321" s="10" t="s">
        <v>508</v>
      </c>
      <c r="B321" s="9" t="s">
        <v>1752</v>
      </c>
      <c r="C321" s="9" t="s">
        <v>1752</v>
      </c>
      <c r="D321" s="9" t="s">
        <v>1752</v>
      </c>
      <c r="E321" s="15">
        <f t="shared" si="4"/>
        <v>1</v>
      </c>
    </row>
    <row r="322" spans="1:5" x14ac:dyDescent="0.35">
      <c r="A322" s="11" t="s">
        <v>509</v>
      </c>
      <c r="B322" s="9" t="s">
        <v>1752</v>
      </c>
      <c r="C322" s="9" t="s">
        <v>1752</v>
      </c>
      <c r="D322" s="9" t="s">
        <v>1752</v>
      </c>
      <c r="E322" s="15">
        <f t="shared" si="4"/>
        <v>1</v>
      </c>
    </row>
    <row r="323" spans="1:5" x14ac:dyDescent="0.35">
      <c r="A323" s="11" t="s">
        <v>510</v>
      </c>
      <c r="B323" s="9" t="s">
        <v>1752</v>
      </c>
      <c r="C323" s="9" t="s">
        <v>1752</v>
      </c>
      <c r="D323" s="9" t="s">
        <v>1752</v>
      </c>
      <c r="E323" s="15">
        <f t="shared" ref="E323:E386" si="5">IF(COUNTIF(B323:D323,"Y")&gt;0,1,0)</f>
        <v>1</v>
      </c>
    </row>
    <row r="324" spans="1:5" x14ac:dyDescent="0.35">
      <c r="A324" s="11" t="s">
        <v>511</v>
      </c>
      <c r="B324" s="9" t="s">
        <v>1752</v>
      </c>
      <c r="C324" s="9" t="s">
        <v>1752</v>
      </c>
      <c r="D324" s="9" t="s">
        <v>1752</v>
      </c>
      <c r="E324" s="15">
        <f t="shared" si="5"/>
        <v>1</v>
      </c>
    </row>
    <row r="325" spans="1:5" x14ac:dyDescent="0.35">
      <c r="A325" s="10" t="s">
        <v>512</v>
      </c>
      <c r="B325" s="9" t="s">
        <v>1752</v>
      </c>
      <c r="C325" s="9" t="s">
        <v>1752</v>
      </c>
      <c r="D325" s="9" t="s">
        <v>1752</v>
      </c>
      <c r="E325" s="15">
        <f t="shared" si="5"/>
        <v>1</v>
      </c>
    </row>
    <row r="326" spans="1:5" x14ac:dyDescent="0.35">
      <c r="A326" s="10" t="s">
        <v>513</v>
      </c>
      <c r="B326" s="9" t="s">
        <v>1752</v>
      </c>
      <c r="C326" s="9" t="s">
        <v>1752</v>
      </c>
      <c r="D326" s="9" t="s">
        <v>1752</v>
      </c>
      <c r="E326" s="15">
        <f t="shared" si="5"/>
        <v>1</v>
      </c>
    </row>
    <row r="327" spans="1:5" x14ac:dyDescent="0.35">
      <c r="A327" s="10" t="s">
        <v>514</v>
      </c>
      <c r="B327" s="9" t="s">
        <v>1752</v>
      </c>
      <c r="C327" s="9" t="s">
        <v>1752</v>
      </c>
      <c r="D327" s="9" t="s">
        <v>1752</v>
      </c>
      <c r="E327" s="15">
        <f t="shared" si="5"/>
        <v>1</v>
      </c>
    </row>
    <row r="328" spans="1:5" x14ac:dyDescent="0.35">
      <c r="A328" s="10" t="s">
        <v>515</v>
      </c>
      <c r="B328" s="9" t="s">
        <v>1752</v>
      </c>
      <c r="C328" s="9" t="s">
        <v>1752</v>
      </c>
      <c r="D328" s="9" t="s">
        <v>1752</v>
      </c>
      <c r="E328" s="15">
        <f t="shared" si="5"/>
        <v>1</v>
      </c>
    </row>
    <row r="329" spans="1:5" x14ac:dyDescent="0.35">
      <c r="A329" s="11" t="s">
        <v>516</v>
      </c>
      <c r="B329" s="9" t="s">
        <v>1752</v>
      </c>
      <c r="C329" s="9" t="s">
        <v>1752</v>
      </c>
      <c r="D329" s="9" t="s">
        <v>1752</v>
      </c>
      <c r="E329" s="15">
        <f t="shared" si="5"/>
        <v>1</v>
      </c>
    </row>
    <row r="330" spans="1:5" x14ac:dyDescent="0.35">
      <c r="A330" s="10" t="s">
        <v>517</v>
      </c>
      <c r="B330" s="9" t="s">
        <v>1752</v>
      </c>
      <c r="C330" s="9" t="s">
        <v>1752</v>
      </c>
      <c r="D330" s="9" t="s">
        <v>1752</v>
      </c>
      <c r="E330" s="15">
        <f t="shared" si="5"/>
        <v>1</v>
      </c>
    </row>
    <row r="331" spans="1:5" x14ac:dyDescent="0.35">
      <c r="A331" s="11" t="s">
        <v>518</v>
      </c>
      <c r="B331" s="9" t="s">
        <v>1752</v>
      </c>
      <c r="C331" s="9" t="s">
        <v>1752</v>
      </c>
      <c r="D331" s="9" t="s">
        <v>1752</v>
      </c>
      <c r="E331" s="15">
        <f t="shared" si="5"/>
        <v>1</v>
      </c>
    </row>
    <row r="332" spans="1:5" x14ac:dyDescent="0.35">
      <c r="A332" s="11" t="s">
        <v>519</v>
      </c>
      <c r="B332" s="9" t="s">
        <v>1752</v>
      </c>
      <c r="C332" s="9" t="s">
        <v>1752</v>
      </c>
      <c r="D332" s="9" t="s">
        <v>1752</v>
      </c>
      <c r="E332" s="15">
        <f t="shared" si="5"/>
        <v>1</v>
      </c>
    </row>
    <row r="333" spans="1:5" x14ac:dyDescent="0.35">
      <c r="A333" s="10" t="s">
        <v>520</v>
      </c>
      <c r="B333" s="9" t="s">
        <v>1752</v>
      </c>
      <c r="C333" s="9" t="s">
        <v>1752</v>
      </c>
      <c r="D333" s="9" t="s">
        <v>1752</v>
      </c>
      <c r="E333" s="15">
        <f t="shared" si="5"/>
        <v>1</v>
      </c>
    </row>
    <row r="334" spans="1:5" x14ac:dyDescent="0.35">
      <c r="A334" s="11" t="s">
        <v>521</v>
      </c>
      <c r="B334" s="9" t="s">
        <v>1752</v>
      </c>
      <c r="C334" s="9" t="s">
        <v>1752</v>
      </c>
      <c r="D334" s="9" t="s">
        <v>1752</v>
      </c>
      <c r="E334" s="15">
        <f t="shared" si="5"/>
        <v>1</v>
      </c>
    </row>
    <row r="335" spans="1:5" x14ac:dyDescent="0.35">
      <c r="A335" s="11" t="s">
        <v>522</v>
      </c>
      <c r="B335" s="9" t="s">
        <v>1752</v>
      </c>
      <c r="C335" s="9" t="s">
        <v>1752</v>
      </c>
      <c r="D335" s="9" t="s">
        <v>1752</v>
      </c>
      <c r="E335" s="15">
        <f t="shared" si="5"/>
        <v>1</v>
      </c>
    </row>
    <row r="336" spans="1:5" x14ac:dyDescent="0.35">
      <c r="A336" s="10" t="s">
        <v>523</v>
      </c>
      <c r="B336" s="9" t="s">
        <v>1752</v>
      </c>
      <c r="C336" s="9" t="s">
        <v>1752</v>
      </c>
      <c r="D336" s="9" t="s">
        <v>1752</v>
      </c>
      <c r="E336" s="15">
        <f t="shared" si="5"/>
        <v>1</v>
      </c>
    </row>
    <row r="337" spans="1:5" x14ac:dyDescent="0.35">
      <c r="A337" s="11" t="s">
        <v>524</v>
      </c>
      <c r="B337" s="9" t="s">
        <v>1752</v>
      </c>
      <c r="C337" s="9" t="s">
        <v>1752</v>
      </c>
      <c r="D337" s="9" t="s">
        <v>1752</v>
      </c>
      <c r="E337" s="15">
        <f t="shared" si="5"/>
        <v>1</v>
      </c>
    </row>
    <row r="338" spans="1:5" x14ac:dyDescent="0.35">
      <c r="A338" s="11" t="s">
        <v>525</v>
      </c>
      <c r="B338" s="9" t="s">
        <v>1752</v>
      </c>
      <c r="C338" s="9" t="s">
        <v>1752</v>
      </c>
      <c r="D338" s="9" t="s">
        <v>1752</v>
      </c>
      <c r="E338" s="15">
        <f t="shared" si="5"/>
        <v>1</v>
      </c>
    </row>
    <row r="339" spans="1:5" x14ac:dyDescent="0.35">
      <c r="A339" s="11" t="s">
        <v>526</v>
      </c>
      <c r="B339" s="9" t="s">
        <v>1752</v>
      </c>
      <c r="C339" s="9" t="s">
        <v>1752</v>
      </c>
      <c r="D339" s="9" t="s">
        <v>1752</v>
      </c>
      <c r="E339" s="15">
        <f t="shared" si="5"/>
        <v>1</v>
      </c>
    </row>
    <row r="340" spans="1:5" x14ac:dyDescent="0.35">
      <c r="A340" s="11" t="s">
        <v>527</v>
      </c>
      <c r="B340" s="9" t="s">
        <v>1752</v>
      </c>
      <c r="C340" s="9" t="s">
        <v>1752</v>
      </c>
      <c r="D340" s="9" t="s">
        <v>1752</v>
      </c>
      <c r="E340" s="15">
        <f t="shared" si="5"/>
        <v>1</v>
      </c>
    </row>
    <row r="341" spans="1:5" x14ac:dyDescent="0.35">
      <c r="A341" s="11" t="s">
        <v>528</v>
      </c>
      <c r="B341" s="9" t="s">
        <v>1752</v>
      </c>
      <c r="C341" s="9" t="s">
        <v>1752</v>
      </c>
      <c r="D341" s="9" t="s">
        <v>1752</v>
      </c>
      <c r="E341" s="15">
        <f t="shared" si="5"/>
        <v>1</v>
      </c>
    </row>
    <row r="342" spans="1:5" x14ac:dyDescent="0.35">
      <c r="A342" s="11" t="s">
        <v>529</v>
      </c>
      <c r="B342" s="9" t="s">
        <v>1752</v>
      </c>
      <c r="C342" s="9" t="s">
        <v>1752</v>
      </c>
      <c r="D342" s="9" t="s">
        <v>1752</v>
      </c>
      <c r="E342" s="15">
        <f t="shared" si="5"/>
        <v>1</v>
      </c>
    </row>
    <row r="343" spans="1:5" x14ac:dyDescent="0.35">
      <c r="A343" s="10" t="s">
        <v>530</v>
      </c>
      <c r="B343" s="9" t="s">
        <v>1752</v>
      </c>
      <c r="C343" s="9" t="s">
        <v>1752</v>
      </c>
      <c r="D343" s="9" t="s">
        <v>1752</v>
      </c>
      <c r="E343" s="15">
        <f t="shared" si="5"/>
        <v>1</v>
      </c>
    </row>
    <row r="344" spans="1:5" x14ac:dyDescent="0.35">
      <c r="A344" s="11" t="s">
        <v>531</v>
      </c>
      <c r="B344" s="9" t="s">
        <v>1752</v>
      </c>
      <c r="C344" s="9" t="s">
        <v>1752</v>
      </c>
      <c r="D344" s="9" t="s">
        <v>1752</v>
      </c>
      <c r="E344" s="15">
        <f t="shared" si="5"/>
        <v>1</v>
      </c>
    </row>
    <row r="345" spans="1:5" x14ac:dyDescent="0.35">
      <c r="A345" s="10" t="s">
        <v>532</v>
      </c>
      <c r="B345" s="9" t="s">
        <v>1752</v>
      </c>
      <c r="C345" s="9" t="s">
        <v>1752</v>
      </c>
      <c r="D345" s="9" t="s">
        <v>1752</v>
      </c>
      <c r="E345" s="15">
        <f t="shared" si="5"/>
        <v>1</v>
      </c>
    </row>
    <row r="346" spans="1:5" x14ac:dyDescent="0.35">
      <c r="A346" s="10" t="s">
        <v>533</v>
      </c>
      <c r="B346" s="9" t="s">
        <v>1752</v>
      </c>
      <c r="C346" s="9" t="s">
        <v>1752</v>
      </c>
      <c r="D346" s="9" t="s">
        <v>1752</v>
      </c>
      <c r="E346" s="15">
        <f t="shared" si="5"/>
        <v>1</v>
      </c>
    </row>
    <row r="347" spans="1:5" x14ac:dyDescent="0.35">
      <c r="A347" s="11" t="s">
        <v>534</v>
      </c>
      <c r="B347" s="9" t="s">
        <v>1752</v>
      </c>
      <c r="C347" s="9" t="s">
        <v>1752</v>
      </c>
      <c r="D347" s="9" t="s">
        <v>1752</v>
      </c>
      <c r="E347" s="15">
        <f t="shared" si="5"/>
        <v>1</v>
      </c>
    </row>
    <row r="348" spans="1:5" x14ac:dyDescent="0.35">
      <c r="A348" s="11" t="s">
        <v>535</v>
      </c>
      <c r="B348" s="9" t="s">
        <v>1752</v>
      </c>
      <c r="C348" s="9" t="s">
        <v>1752</v>
      </c>
      <c r="D348" s="9" t="s">
        <v>1752</v>
      </c>
      <c r="E348" s="15">
        <f t="shared" si="5"/>
        <v>1</v>
      </c>
    </row>
    <row r="349" spans="1:5" x14ac:dyDescent="0.35">
      <c r="A349" s="10" t="s">
        <v>536</v>
      </c>
      <c r="B349" s="9" t="s">
        <v>1752</v>
      </c>
      <c r="C349" s="9" t="s">
        <v>1752</v>
      </c>
      <c r="D349" s="9" t="s">
        <v>1752</v>
      </c>
      <c r="E349" s="15">
        <f t="shared" si="5"/>
        <v>1</v>
      </c>
    </row>
    <row r="350" spans="1:5" x14ac:dyDescent="0.35">
      <c r="A350" s="10" t="s">
        <v>537</v>
      </c>
      <c r="B350" s="9" t="s">
        <v>1752</v>
      </c>
      <c r="C350" s="9" t="s">
        <v>1752</v>
      </c>
      <c r="D350" s="9" t="s">
        <v>1752</v>
      </c>
      <c r="E350" s="15">
        <f t="shared" si="5"/>
        <v>1</v>
      </c>
    </row>
    <row r="351" spans="1:5" x14ac:dyDescent="0.35">
      <c r="A351" s="10" t="s">
        <v>538</v>
      </c>
      <c r="B351" s="9" t="s">
        <v>1752</v>
      </c>
      <c r="C351" s="9" t="s">
        <v>1752</v>
      </c>
      <c r="D351" s="9" t="s">
        <v>1752</v>
      </c>
      <c r="E351" s="15">
        <f t="shared" si="5"/>
        <v>1</v>
      </c>
    </row>
    <row r="352" spans="1:5" x14ac:dyDescent="0.35">
      <c r="A352" s="10" t="s">
        <v>539</v>
      </c>
      <c r="B352" s="9" t="s">
        <v>1752</v>
      </c>
      <c r="C352" s="9" t="s">
        <v>1752</v>
      </c>
      <c r="D352" s="9" t="s">
        <v>1752</v>
      </c>
      <c r="E352" s="15">
        <f t="shared" si="5"/>
        <v>1</v>
      </c>
    </row>
    <row r="353" spans="1:5" x14ac:dyDescent="0.35">
      <c r="A353" s="11" t="s">
        <v>540</v>
      </c>
      <c r="B353" s="9" t="s">
        <v>1752</v>
      </c>
      <c r="C353" s="9" t="s">
        <v>1752</v>
      </c>
      <c r="D353" s="9" t="s">
        <v>1752</v>
      </c>
      <c r="E353" s="15">
        <f t="shared" si="5"/>
        <v>1</v>
      </c>
    </row>
    <row r="354" spans="1:5" x14ac:dyDescent="0.35">
      <c r="A354" s="11" t="s">
        <v>541</v>
      </c>
      <c r="B354" s="9" t="s">
        <v>1752</v>
      </c>
      <c r="C354" s="9" t="s">
        <v>1752</v>
      </c>
      <c r="D354" s="9" t="s">
        <v>1752</v>
      </c>
      <c r="E354" s="15">
        <f t="shared" si="5"/>
        <v>1</v>
      </c>
    </row>
    <row r="355" spans="1:5" x14ac:dyDescent="0.35">
      <c r="A355" s="11" t="s">
        <v>542</v>
      </c>
      <c r="B355" s="9" t="s">
        <v>1752</v>
      </c>
      <c r="C355" s="9" t="s">
        <v>1752</v>
      </c>
      <c r="D355" s="9" t="s">
        <v>1752</v>
      </c>
      <c r="E355" s="15">
        <f t="shared" si="5"/>
        <v>1</v>
      </c>
    </row>
    <row r="356" spans="1:5" x14ac:dyDescent="0.35">
      <c r="A356" s="11" t="s">
        <v>543</v>
      </c>
      <c r="B356" s="9" t="s">
        <v>1752</v>
      </c>
      <c r="C356" s="9" t="s">
        <v>1752</v>
      </c>
      <c r="D356" s="9" t="s">
        <v>1752</v>
      </c>
      <c r="E356" s="15">
        <f t="shared" si="5"/>
        <v>1</v>
      </c>
    </row>
    <row r="357" spans="1:5" x14ac:dyDescent="0.35">
      <c r="A357" s="11" t="s">
        <v>544</v>
      </c>
      <c r="B357" s="9" t="s">
        <v>1752</v>
      </c>
      <c r="C357" s="9" t="s">
        <v>1752</v>
      </c>
      <c r="D357" s="9" t="s">
        <v>1752</v>
      </c>
      <c r="E357" s="15">
        <f t="shared" si="5"/>
        <v>1</v>
      </c>
    </row>
    <row r="358" spans="1:5" x14ac:dyDescent="0.35">
      <c r="A358" s="11" t="s">
        <v>545</v>
      </c>
      <c r="B358" s="9" t="s">
        <v>1752</v>
      </c>
      <c r="C358" s="9" t="s">
        <v>1752</v>
      </c>
      <c r="D358" s="9" t="s">
        <v>1752</v>
      </c>
      <c r="E358" s="15">
        <f t="shared" si="5"/>
        <v>1</v>
      </c>
    </row>
    <row r="359" spans="1:5" x14ac:dyDescent="0.35">
      <c r="A359" s="10" t="s">
        <v>546</v>
      </c>
      <c r="B359" s="9" t="s">
        <v>1752</v>
      </c>
      <c r="C359" s="9" t="s">
        <v>1752</v>
      </c>
      <c r="D359" s="9" t="s">
        <v>1752</v>
      </c>
      <c r="E359" s="15">
        <f t="shared" si="5"/>
        <v>1</v>
      </c>
    </row>
    <row r="360" spans="1:5" x14ac:dyDescent="0.35">
      <c r="A360" s="10" t="s">
        <v>547</v>
      </c>
      <c r="B360" s="9" t="s">
        <v>1752</v>
      </c>
      <c r="C360" s="9" t="s">
        <v>1752</v>
      </c>
      <c r="D360" s="9" t="s">
        <v>1752</v>
      </c>
      <c r="E360" s="15">
        <f t="shared" si="5"/>
        <v>1</v>
      </c>
    </row>
    <row r="361" spans="1:5" x14ac:dyDescent="0.35">
      <c r="A361" s="11" t="s">
        <v>548</v>
      </c>
      <c r="B361" s="9" t="s">
        <v>1752</v>
      </c>
      <c r="C361" s="9" t="s">
        <v>1752</v>
      </c>
      <c r="D361" s="9" t="s">
        <v>1752</v>
      </c>
      <c r="E361" s="15">
        <f t="shared" si="5"/>
        <v>1</v>
      </c>
    </row>
    <row r="362" spans="1:5" x14ac:dyDescent="0.35">
      <c r="A362" s="10" t="s">
        <v>549</v>
      </c>
      <c r="B362" s="9" t="s">
        <v>1752</v>
      </c>
      <c r="C362" s="9" t="s">
        <v>1752</v>
      </c>
      <c r="D362" s="9" t="s">
        <v>1752</v>
      </c>
      <c r="E362" s="15">
        <f t="shared" si="5"/>
        <v>1</v>
      </c>
    </row>
    <row r="363" spans="1:5" x14ac:dyDescent="0.35">
      <c r="A363" s="10" t="s">
        <v>550</v>
      </c>
      <c r="B363" s="9" t="s">
        <v>1752</v>
      </c>
      <c r="C363" s="9" t="s">
        <v>1752</v>
      </c>
      <c r="D363" s="9" t="s">
        <v>1752</v>
      </c>
      <c r="E363" s="15">
        <f t="shared" si="5"/>
        <v>1</v>
      </c>
    </row>
    <row r="364" spans="1:5" x14ac:dyDescent="0.35">
      <c r="A364" s="10" t="s">
        <v>551</v>
      </c>
      <c r="B364" s="9" t="s">
        <v>1752</v>
      </c>
      <c r="C364" s="9" t="s">
        <v>1752</v>
      </c>
      <c r="D364" s="9" t="s">
        <v>1752</v>
      </c>
      <c r="E364" s="15">
        <f t="shared" si="5"/>
        <v>1</v>
      </c>
    </row>
    <row r="365" spans="1:5" x14ac:dyDescent="0.35">
      <c r="A365" s="10" t="s">
        <v>552</v>
      </c>
      <c r="B365" s="9" t="s">
        <v>1752</v>
      </c>
      <c r="C365" s="9" t="s">
        <v>1752</v>
      </c>
      <c r="D365" s="9" t="s">
        <v>1752</v>
      </c>
      <c r="E365" s="15">
        <f t="shared" si="5"/>
        <v>1</v>
      </c>
    </row>
    <row r="366" spans="1:5" x14ac:dyDescent="0.35">
      <c r="A366" s="11" t="s">
        <v>553</v>
      </c>
      <c r="B366" s="9" t="s">
        <v>1752</v>
      </c>
      <c r="C366" s="9" t="s">
        <v>1752</v>
      </c>
      <c r="D366" s="9" t="s">
        <v>1752</v>
      </c>
      <c r="E366" s="15">
        <f t="shared" si="5"/>
        <v>1</v>
      </c>
    </row>
    <row r="367" spans="1:5" x14ac:dyDescent="0.35">
      <c r="A367" s="10" t="s">
        <v>554</v>
      </c>
      <c r="B367" s="9" t="s">
        <v>1752</v>
      </c>
      <c r="C367" s="9" t="s">
        <v>1752</v>
      </c>
      <c r="D367" s="9" t="s">
        <v>1827</v>
      </c>
      <c r="E367" s="15">
        <f t="shared" si="5"/>
        <v>1</v>
      </c>
    </row>
    <row r="368" spans="1:5" x14ac:dyDescent="0.35">
      <c r="A368" s="11" t="s">
        <v>555</v>
      </c>
      <c r="B368" s="9" t="s">
        <v>1752</v>
      </c>
      <c r="C368" s="9" t="s">
        <v>1752</v>
      </c>
      <c r="D368" s="9" t="s">
        <v>1752</v>
      </c>
      <c r="E368" s="15">
        <f t="shared" si="5"/>
        <v>1</v>
      </c>
    </row>
    <row r="369" spans="1:5" x14ac:dyDescent="0.35">
      <c r="A369" s="11" t="s">
        <v>556</v>
      </c>
      <c r="B369" s="9" t="s">
        <v>1752</v>
      </c>
      <c r="C369" s="9" t="s">
        <v>1752</v>
      </c>
      <c r="D369" s="9" t="s">
        <v>1752</v>
      </c>
      <c r="E369" s="15">
        <f t="shared" si="5"/>
        <v>1</v>
      </c>
    </row>
    <row r="370" spans="1:5" x14ac:dyDescent="0.35">
      <c r="A370" s="10" t="s">
        <v>557</v>
      </c>
      <c r="B370" s="9" t="s">
        <v>1752</v>
      </c>
      <c r="C370" s="9" t="s">
        <v>1752</v>
      </c>
      <c r="D370" s="9" t="s">
        <v>1752</v>
      </c>
      <c r="E370" s="15">
        <f t="shared" si="5"/>
        <v>1</v>
      </c>
    </row>
    <row r="371" spans="1:5" x14ac:dyDescent="0.35">
      <c r="A371" s="11" t="s">
        <v>558</v>
      </c>
      <c r="B371" s="9" t="s">
        <v>1752</v>
      </c>
      <c r="C371" s="9" t="s">
        <v>1752</v>
      </c>
      <c r="D371" s="9" t="s">
        <v>1752</v>
      </c>
      <c r="E371" s="15">
        <f t="shared" si="5"/>
        <v>1</v>
      </c>
    </row>
    <row r="372" spans="1:5" x14ac:dyDescent="0.35">
      <c r="A372" s="10" t="s">
        <v>559</v>
      </c>
      <c r="B372" s="9" t="s">
        <v>1752</v>
      </c>
      <c r="C372" s="9" t="s">
        <v>1752</v>
      </c>
      <c r="D372" s="9" t="s">
        <v>1752</v>
      </c>
      <c r="E372" s="15">
        <f t="shared" si="5"/>
        <v>1</v>
      </c>
    </row>
    <row r="373" spans="1:5" x14ac:dyDescent="0.35">
      <c r="A373" s="10" t="s">
        <v>560</v>
      </c>
      <c r="B373" s="9" t="s">
        <v>1752</v>
      </c>
      <c r="C373" s="9" t="s">
        <v>1752</v>
      </c>
      <c r="D373" s="9" t="s">
        <v>1752</v>
      </c>
      <c r="E373" s="15">
        <f t="shared" si="5"/>
        <v>1</v>
      </c>
    </row>
    <row r="374" spans="1:5" x14ac:dyDescent="0.35">
      <c r="A374" s="11" t="s">
        <v>561</v>
      </c>
      <c r="B374" s="9" t="s">
        <v>1752</v>
      </c>
      <c r="C374" s="9" t="s">
        <v>1752</v>
      </c>
      <c r="D374" s="9" t="s">
        <v>1752</v>
      </c>
      <c r="E374" s="15">
        <f t="shared" si="5"/>
        <v>1</v>
      </c>
    </row>
    <row r="375" spans="1:5" x14ac:dyDescent="0.35">
      <c r="A375" s="11" t="s">
        <v>562</v>
      </c>
      <c r="B375" s="9" t="s">
        <v>1752</v>
      </c>
      <c r="C375" s="9" t="s">
        <v>1752</v>
      </c>
      <c r="D375" s="9" t="s">
        <v>1752</v>
      </c>
      <c r="E375" s="15">
        <f t="shared" si="5"/>
        <v>1</v>
      </c>
    </row>
    <row r="376" spans="1:5" x14ac:dyDescent="0.35">
      <c r="A376" s="11" t="s">
        <v>563</v>
      </c>
      <c r="B376" s="9" t="s">
        <v>1752</v>
      </c>
      <c r="C376" s="9" t="s">
        <v>1752</v>
      </c>
      <c r="D376" s="9" t="s">
        <v>1752</v>
      </c>
      <c r="E376" s="15">
        <f t="shared" si="5"/>
        <v>1</v>
      </c>
    </row>
    <row r="377" spans="1:5" x14ac:dyDescent="0.35">
      <c r="A377" s="11" t="s">
        <v>564</v>
      </c>
      <c r="B377" s="9" t="s">
        <v>1752</v>
      </c>
      <c r="C377" s="9" t="s">
        <v>1752</v>
      </c>
      <c r="D377" s="9" t="s">
        <v>1752</v>
      </c>
      <c r="E377" s="15">
        <f t="shared" si="5"/>
        <v>1</v>
      </c>
    </row>
    <row r="378" spans="1:5" x14ac:dyDescent="0.35">
      <c r="A378" s="10" t="s">
        <v>565</v>
      </c>
      <c r="B378" s="9" t="s">
        <v>1752</v>
      </c>
      <c r="C378" s="9" t="s">
        <v>1752</v>
      </c>
      <c r="D378" s="9" t="s">
        <v>1752</v>
      </c>
      <c r="E378" s="15">
        <f t="shared" si="5"/>
        <v>1</v>
      </c>
    </row>
    <row r="379" spans="1:5" x14ac:dyDescent="0.35">
      <c r="A379" s="10" t="s">
        <v>566</v>
      </c>
      <c r="B379" s="9" t="s">
        <v>1752</v>
      </c>
      <c r="C379" s="9" t="s">
        <v>1752</v>
      </c>
      <c r="D379" s="9" t="s">
        <v>1752</v>
      </c>
      <c r="E379" s="15">
        <f t="shared" si="5"/>
        <v>1</v>
      </c>
    </row>
    <row r="380" spans="1:5" x14ac:dyDescent="0.35">
      <c r="A380" s="11" t="s">
        <v>567</v>
      </c>
      <c r="B380" s="9" t="s">
        <v>1752</v>
      </c>
      <c r="C380" s="9" t="s">
        <v>1752</v>
      </c>
      <c r="D380" s="9" t="s">
        <v>1752</v>
      </c>
      <c r="E380" s="15">
        <f t="shared" si="5"/>
        <v>1</v>
      </c>
    </row>
    <row r="381" spans="1:5" x14ac:dyDescent="0.35">
      <c r="A381" s="10" t="s">
        <v>568</v>
      </c>
      <c r="B381" s="9" t="s">
        <v>1752</v>
      </c>
      <c r="C381" s="9" t="s">
        <v>1752</v>
      </c>
      <c r="D381" s="9" t="s">
        <v>1827</v>
      </c>
      <c r="E381" s="15">
        <f t="shared" si="5"/>
        <v>1</v>
      </c>
    </row>
    <row r="382" spans="1:5" x14ac:dyDescent="0.35">
      <c r="A382" s="11" t="s">
        <v>569</v>
      </c>
      <c r="B382" s="9" t="s">
        <v>1752</v>
      </c>
      <c r="C382" s="9" t="s">
        <v>1752</v>
      </c>
      <c r="D382" s="9" t="s">
        <v>1752</v>
      </c>
      <c r="E382" s="15">
        <f t="shared" si="5"/>
        <v>1</v>
      </c>
    </row>
    <row r="383" spans="1:5" x14ac:dyDescent="0.35">
      <c r="A383" s="10" t="s">
        <v>570</v>
      </c>
      <c r="B383" s="9" t="s">
        <v>1752</v>
      </c>
      <c r="C383" s="9" t="s">
        <v>1752</v>
      </c>
      <c r="D383" s="9" t="s">
        <v>1752</v>
      </c>
      <c r="E383" s="15">
        <f t="shared" si="5"/>
        <v>1</v>
      </c>
    </row>
    <row r="384" spans="1:5" x14ac:dyDescent="0.35">
      <c r="A384" s="11" t="s">
        <v>571</v>
      </c>
      <c r="B384" s="9" t="s">
        <v>1752</v>
      </c>
      <c r="C384" s="9" t="s">
        <v>1752</v>
      </c>
      <c r="D384" s="9" t="s">
        <v>1752</v>
      </c>
      <c r="E384" s="15">
        <f t="shared" si="5"/>
        <v>1</v>
      </c>
    </row>
    <row r="385" spans="1:5" x14ac:dyDescent="0.35">
      <c r="A385" s="10" t="s">
        <v>572</v>
      </c>
      <c r="B385" s="9" t="s">
        <v>1752</v>
      </c>
      <c r="C385" s="9" t="s">
        <v>1752</v>
      </c>
      <c r="D385" s="9" t="s">
        <v>1752</v>
      </c>
      <c r="E385" s="15">
        <f t="shared" si="5"/>
        <v>1</v>
      </c>
    </row>
    <row r="386" spans="1:5" x14ac:dyDescent="0.35">
      <c r="A386" s="11" t="s">
        <v>573</v>
      </c>
      <c r="B386" s="9" t="s">
        <v>1752</v>
      </c>
      <c r="C386" s="9" t="s">
        <v>1752</v>
      </c>
      <c r="D386" s="9" t="s">
        <v>1752</v>
      </c>
      <c r="E386" s="15">
        <f t="shared" si="5"/>
        <v>1</v>
      </c>
    </row>
    <row r="387" spans="1:5" x14ac:dyDescent="0.35">
      <c r="A387" s="10" t="s">
        <v>574</v>
      </c>
      <c r="B387" s="9" t="s">
        <v>1827</v>
      </c>
      <c r="C387" s="9" t="s">
        <v>1752</v>
      </c>
      <c r="D387" s="9" t="s">
        <v>1752</v>
      </c>
      <c r="E387" s="15">
        <f t="shared" ref="E387:E450" si="6">IF(COUNTIF(B387:D387,"Y")&gt;0,1,0)</f>
        <v>1</v>
      </c>
    </row>
    <row r="388" spans="1:5" x14ac:dyDescent="0.35">
      <c r="A388" s="11" t="s">
        <v>575</v>
      </c>
      <c r="B388" s="9" t="s">
        <v>1752</v>
      </c>
      <c r="C388" s="9" t="s">
        <v>1752</v>
      </c>
      <c r="D388" s="9" t="s">
        <v>1752</v>
      </c>
      <c r="E388" s="15">
        <f t="shared" si="6"/>
        <v>1</v>
      </c>
    </row>
    <row r="389" spans="1:5" x14ac:dyDescent="0.35">
      <c r="A389" s="11" t="s">
        <v>576</v>
      </c>
      <c r="B389" s="9" t="s">
        <v>1752</v>
      </c>
      <c r="C389" s="9" t="s">
        <v>1752</v>
      </c>
      <c r="D389" s="9" t="s">
        <v>1752</v>
      </c>
      <c r="E389" s="15">
        <f t="shared" si="6"/>
        <v>1</v>
      </c>
    </row>
    <row r="390" spans="1:5" x14ac:dyDescent="0.35">
      <c r="A390" s="11" t="s">
        <v>577</v>
      </c>
      <c r="B390" s="9" t="s">
        <v>1752</v>
      </c>
      <c r="C390" s="9" t="s">
        <v>1752</v>
      </c>
      <c r="D390" s="9" t="s">
        <v>1752</v>
      </c>
      <c r="E390" s="15">
        <f t="shared" si="6"/>
        <v>1</v>
      </c>
    </row>
    <row r="391" spans="1:5" x14ac:dyDescent="0.35">
      <c r="A391" s="10" t="s">
        <v>578</v>
      </c>
      <c r="B391" s="9" t="s">
        <v>1752</v>
      </c>
      <c r="C391" s="9" t="s">
        <v>1752</v>
      </c>
      <c r="D391" s="9" t="s">
        <v>1827</v>
      </c>
      <c r="E391" s="15">
        <f t="shared" si="6"/>
        <v>1</v>
      </c>
    </row>
    <row r="392" spans="1:5" x14ac:dyDescent="0.35">
      <c r="A392" s="11" t="s">
        <v>579</v>
      </c>
      <c r="B392" s="9" t="s">
        <v>1752</v>
      </c>
      <c r="C392" s="9" t="s">
        <v>1752</v>
      </c>
      <c r="D392" s="9" t="s">
        <v>1752</v>
      </c>
      <c r="E392" s="15">
        <f t="shared" si="6"/>
        <v>1</v>
      </c>
    </row>
    <row r="393" spans="1:5" x14ac:dyDescent="0.35">
      <c r="A393" s="10" t="s">
        <v>580</v>
      </c>
      <c r="B393" s="9" t="s">
        <v>1827</v>
      </c>
      <c r="C393" s="9" t="s">
        <v>1752</v>
      </c>
      <c r="D393" s="9" t="s">
        <v>1752</v>
      </c>
      <c r="E393" s="15">
        <f t="shared" si="6"/>
        <v>1</v>
      </c>
    </row>
    <row r="394" spans="1:5" x14ac:dyDescent="0.35">
      <c r="A394" s="10" t="s">
        <v>581</v>
      </c>
      <c r="B394" s="9" t="s">
        <v>1752</v>
      </c>
      <c r="C394" s="9" t="s">
        <v>1752</v>
      </c>
      <c r="D394" s="9" t="s">
        <v>1752</v>
      </c>
      <c r="E394" s="15">
        <f t="shared" si="6"/>
        <v>1</v>
      </c>
    </row>
    <row r="395" spans="1:5" x14ac:dyDescent="0.35">
      <c r="A395" s="11" t="s">
        <v>582</v>
      </c>
      <c r="B395" s="9" t="s">
        <v>1752</v>
      </c>
      <c r="C395" s="9" t="s">
        <v>1752</v>
      </c>
      <c r="D395" s="9" t="s">
        <v>1752</v>
      </c>
      <c r="E395" s="15">
        <f t="shared" si="6"/>
        <v>1</v>
      </c>
    </row>
    <row r="396" spans="1:5" x14ac:dyDescent="0.35">
      <c r="A396" s="10" t="s">
        <v>583</v>
      </c>
      <c r="B396" s="9" t="s">
        <v>1752</v>
      </c>
      <c r="C396" s="9" t="s">
        <v>1752</v>
      </c>
      <c r="D396" s="9" t="s">
        <v>1752</v>
      </c>
      <c r="E396" s="15">
        <f t="shared" si="6"/>
        <v>1</v>
      </c>
    </row>
    <row r="397" spans="1:5" x14ac:dyDescent="0.35">
      <c r="A397" s="10" t="s">
        <v>584</v>
      </c>
      <c r="B397" s="9" t="s">
        <v>1752</v>
      </c>
      <c r="C397" s="9" t="s">
        <v>1752</v>
      </c>
      <c r="D397" s="9" t="s">
        <v>1752</v>
      </c>
      <c r="E397" s="15">
        <f t="shared" si="6"/>
        <v>1</v>
      </c>
    </row>
    <row r="398" spans="1:5" x14ac:dyDescent="0.35">
      <c r="A398" s="11" t="s">
        <v>585</v>
      </c>
      <c r="B398" s="9" t="s">
        <v>1752</v>
      </c>
      <c r="C398" s="9" t="s">
        <v>1752</v>
      </c>
      <c r="D398" s="9" t="s">
        <v>1752</v>
      </c>
      <c r="E398" s="15">
        <f t="shared" si="6"/>
        <v>1</v>
      </c>
    </row>
    <row r="399" spans="1:5" x14ac:dyDescent="0.35">
      <c r="A399" s="10" t="s">
        <v>586</v>
      </c>
      <c r="B399" s="9" t="s">
        <v>1752</v>
      </c>
      <c r="C399" s="9" t="s">
        <v>1752</v>
      </c>
      <c r="D399" s="9" t="s">
        <v>1752</v>
      </c>
      <c r="E399" s="15">
        <f t="shared" si="6"/>
        <v>1</v>
      </c>
    </row>
    <row r="400" spans="1:5" x14ac:dyDescent="0.35">
      <c r="A400" s="11" t="s">
        <v>587</v>
      </c>
      <c r="B400" s="9" t="s">
        <v>1752</v>
      </c>
      <c r="C400" s="9" t="s">
        <v>1752</v>
      </c>
      <c r="D400" s="9" t="s">
        <v>1752</v>
      </c>
      <c r="E400" s="15">
        <f t="shared" si="6"/>
        <v>1</v>
      </c>
    </row>
    <row r="401" spans="1:5" x14ac:dyDescent="0.35">
      <c r="A401" s="11" t="s">
        <v>588</v>
      </c>
      <c r="B401" s="9" t="s">
        <v>1752</v>
      </c>
      <c r="C401" s="9" t="s">
        <v>1752</v>
      </c>
      <c r="D401" s="9" t="s">
        <v>1752</v>
      </c>
      <c r="E401" s="15">
        <f t="shared" si="6"/>
        <v>1</v>
      </c>
    </row>
    <row r="402" spans="1:5" x14ac:dyDescent="0.35">
      <c r="A402" s="11" t="s">
        <v>589</v>
      </c>
      <c r="B402" s="9" t="s">
        <v>1752</v>
      </c>
      <c r="C402" s="9" t="s">
        <v>1752</v>
      </c>
      <c r="D402" s="9" t="s">
        <v>1752</v>
      </c>
      <c r="E402" s="15">
        <f t="shared" si="6"/>
        <v>1</v>
      </c>
    </row>
    <row r="403" spans="1:5" x14ac:dyDescent="0.35">
      <c r="A403" s="10" t="s">
        <v>590</v>
      </c>
      <c r="B403" s="9" t="s">
        <v>1752</v>
      </c>
      <c r="C403" s="9" t="s">
        <v>1752</v>
      </c>
      <c r="D403" s="9" t="s">
        <v>1752</v>
      </c>
      <c r="E403" s="15">
        <f t="shared" si="6"/>
        <v>1</v>
      </c>
    </row>
    <row r="404" spans="1:5" x14ac:dyDescent="0.35">
      <c r="A404" s="11" t="s">
        <v>591</v>
      </c>
      <c r="B404" s="9" t="s">
        <v>1827</v>
      </c>
      <c r="C404" s="9" t="s">
        <v>1752</v>
      </c>
      <c r="D404" s="9" t="s">
        <v>1752</v>
      </c>
      <c r="E404" s="15">
        <f t="shared" si="6"/>
        <v>1</v>
      </c>
    </row>
    <row r="405" spans="1:5" x14ac:dyDescent="0.35">
      <c r="A405" s="10" t="s">
        <v>592</v>
      </c>
      <c r="B405" s="9" t="s">
        <v>1752</v>
      </c>
      <c r="C405" s="9" t="s">
        <v>1752</v>
      </c>
      <c r="D405" s="9" t="s">
        <v>1752</v>
      </c>
      <c r="E405" s="15">
        <f t="shared" si="6"/>
        <v>1</v>
      </c>
    </row>
    <row r="406" spans="1:5" x14ac:dyDescent="0.35">
      <c r="A406" s="10" t="s">
        <v>593</v>
      </c>
      <c r="B406" s="9" t="s">
        <v>1752</v>
      </c>
      <c r="C406" s="9" t="s">
        <v>1752</v>
      </c>
      <c r="D406" s="9" t="s">
        <v>1752</v>
      </c>
      <c r="E406" s="15">
        <f t="shared" si="6"/>
        <v>1</v>
      </c>
    </row>
    <row r="407" spans="1:5" x14ac:dyDescent="0.35">
      <c r="A407" s="11" t="s">
        <v>594</v>
      </c>
      <c r="B407" s="9" t="s">
        <v>1752</v>
      </c>
      <c r="C407" s="9" t="s">
        <v>1752</v>
      </c>
      <c r="D407" s="9" t="s">
        <v>1752</v>
      </c>
      <c r="E407" s="15">
        <f t="shared" si="6"/>
        <v>1</v>
      </c>
    </row>
    <row r="408" spans="1:5" x14ac:dyDescent="0.35">
      <c r="A408" s="10" t="s">
        <v>595</v>
      </c>
      <c r="B408" s="9" t="s">
        <v>1752</v>
      </c>
      <c r="C408" s="9" t="s">
        <v>1752</v>
      </c>
      <c r="D408" s="9" t="s">
        <v>1752</v>
      </c>
      <c r="E408" s="15">
        <f t="shared" si="6"/>
        <v>1</v>
      </c>
    </row>
    <row r="409" spans="1:5" x14ac:dyDescent="0.35">
      <c r="A409" s="10" t="s">
        <v>596</v>
      </c>
      <c r="B409" s="9" t="s">
        <v>1752</v>
      </c>
      <c r="C409" s="9" t="s">
        <v>1752</v>
      </c>
      <c r="D409" s="9" t="s">
        <v>1752</v>
      </c>
      <c r="E409" s="15">
        <f t="shared" si="6"/>
        <v>1</v>
      </c>
    </row>
    <row r="410" spans="1:5" x14ac:dyDescent="0.35">
      <c r="A410" s="10" t="s">
        <v>597</v>
      </c>
      <c r="B410" s="9" t="s">
        <v>1752</v>
      </c>
      <c r="C410" s="9" t="s">
        <v>1752</v>
      </c>
      <c r="D410" s="9" t="s">
        <v>1752</v>
      </c>
      <c r="E410" s="15">
        <f t="shared" si="6"/>
        <v>1</v>
      </c>
    </row>
    <row r="411" spans="1:5" x14ac:dyDescent="0.35">
      <c r="A411" s="10" t="s">
        <v>598</v>
      </c>
      <c r="B411" s="9" t="s">
        <v>1752</v>
      </c>
      <c r="C411" s="9" t="s">
        <v>1752</v>
      </c>
      <c r="D411" s="9" t="s">
        <v>1752</v>
      </c>
      <c r="E411" s="15">
        <f t="shared" si="6"/>
        <v>1</v>
      </c>
    </row>
    <row r="412" spans="1:5" x14ac:dyDescent="0.35">
      <c r="A412" s="10" t="s">
        <v>599</v>
      </c>
      <c r="B412" s="9" t="s">
        <v>1752</v>
      </c>
      <c r="C412" s="9" t="s">
        <v>1752</v>
      </c>
      <c r="D412" s="9" t="s">
        <v>1752</v>
      </c>
      <c r="E412" s="15">
        <f t="shared" si="6"/>
        <v>1</v>
      </c>
    </row>
    <row r="413" spans="1:5" x14ac:dyDescent="0.35">
      <c r="A413" s="10" t="s">
        <v>600</v>
      </c>
      <c r="B413" s="9" t="s">
        <v>1752</v>
      </c>
      <c r="C413" s="9" t="s">
        <v>1752</v>
      </c>
      <c r="D413" s="9" t="s">
        <v>1752</v>
      </c>
      <c r="E413" s="15">
        <f t="shared" si="6"/>
        <v>1</v>
      </c>
    </row>
    <row r="414" spans="1:5" x14ac:dyDescent="0.35">
      <c r="A414" s="11" t="s">
        <v>601</v>
      </c>
      <c r="B414" s="9" t="s">
        <v>1752</v>
      </c>
      <c r="C414" s="9" t="s">
        <v>1752</v>
      </c>
      <c r="D414" s="9" t="s">
        <v>1752</v>
      </c>
      <c r="E414" s="15">
        <f t="shared" si="6"/>
        <v>1</v>
      </c>
    </row>
    <row r="415" spans="1:5" x14ac:dyDescent="0.35">
      <c r="A415" s="10" t="s">
        <v>602</v>
      </c>
      <c r="B415" s="9" t="s">
        <v>1752</v>
      </c>
      <c r="C415" s="9" t="s">
        <v>1752</v>
      </c>
      <c r="D415" s="9" t="s">
        <v>1752</v>
      </c>
      <c r="E415" s="15">
        <f t="shared" si="6"/>
        <v>1</v>
      </c>
    </row>
    <row r="416" spans="1:5" x14ac:dyDescent="0.35">
      <c r="A416" s="11" t="s">
        <v>603</v>
      </c>
      <c r="B416" s="9" t="s">
        <v>1752</v>
      </c>
      <c r="C416" s="9" t="s">
        <v>1752</v>
      </c>
      <c r="D416" s="9" t="s">
        <v>1752</v>
      </c>
      <c r="E416" s="15">
        <f t="shared" si="6"/>
        <v>1</v>
      </c>
    </row>
    <row r="417" spans="1:5" x14ac:dyDescent="0.35">
      <c r="A417" s="10" t="s">
        <v>604</v>
      </c>
      <c r="B417" s="9" t="s">
        <v>1752</v>
      </c>
      <c r="C417" s="9" t="s">
        <v>1752</v>
      </c>
      <c r="D417" s="9" t="s">
        <v>1752</v>
      </c>
      <c r="E417" s="15">
        <f t="shared" si="6"/>
        <v>1</v>
      </c>
    </row>
    <row r="418" spans="1:5" x14ac:dyDescent="0.35">
      <c r="A418" s="10" t="s">
        <v>605</v>
      </c>
      <c r="B418" s="9" t="s">
        <v>1752</v>
      </c>
      <c r="C418" s="9" t="s">
        <v>1752</v>
      </c>
      <c r="D418" s="9" t="s">
        <v>1752</v>
      </c>
      <c r="E418" s="15">
        <f t="shared" si="6"/>
        <v>1</v>
      </c>
    </row>
    <row r="419" spans="1:5" x14ac:dyDescent="0.35">
      <c r="A419" s="11" t="s">
        <v>606</v>
      </c>
      <c r="B419" s="9" t="s">
        <v>1752</v>
      </c>
      <c r="C419" s="9" t="s">
        <v>1752</v>
      </c>
      <c r="D419" s="9" t="s">
        <v>1752</v>
      </c>
      <c r="E419" s="15">
        <f t="shared" si="6"/>
        <v>1</v>
      </c>
    </row>
    <row r="420" spans="1:5" x14ac:dyDescent="0.35">
      <c r="A420" s="11" t="s">
        <v>607</v>
      </c>
      <c r="B420" s="9" t="s">
        <v>1752</v>
      </c>
      <c r="C420" s="9" t="s">
        <v>1752</v>
      </c>
      <c r="D420" s="9" t="s">
        <v>1752</v>
      </c>
      <c r="E420" s="15">
        <f t="shared" si="6"/>
        <v>1</v>
      </c>
    </row>
    <row r="421" spans="1:5" x14ac:dyDescent="0.35">
      <c r="A421" s="11" t="s">
        <v>608</v>
      </c>
      <c r="B421" s="9" t="s">
        <v>1752</v>
      </c>
      <c r="C421" s="9" t="s">
        <v>1752</v>
      </c>
      <c r="D421" s="9" t="s">
        <v>1752</v>
      </c>
      <c r="E421" s="15">
        <f t="shared" si="6"/>
        <v>1</v>
      </c>
    </row>
    <row r="422" spans="1:5" x14ac:dyDescent="0.35">
      <c r="A422" s="10" t="s">
        <v>609</v>
      </c>
      <c r="B422" s="9" t="s">
        <v>1752</v>
      </c>
      <c r="C422" s="9" t="s">
        <v>1752</v>
      </c>
      <c r="D422" s="9" t="s">
        <v>1752</v>
      </c>
      <c r="E422" s="15">
        <f t="shared" si="6"/>
        <v>1</v>
      </c>
    </row>
    <row r="423" spans="1:5" x14ac:dyDescent="0.35">
      <c r="A423" s="11" t="s">
        <v>610</v>
      </c>
      <c r="B423" s="9" t="s">
        <v>1752</v>
      </c>
      <c r="C423" s="9" t="s">
        <v>1752</v>
      </c>
      <c r="D423" s="9" t="s">
        <v>1752</v>
      </c>
      <c r="E423" s="15">
        <f t="shared" si="6"/>
        <v>1</v>
      </c>
    </row>
    <row r="424" spans="1:5" x14ac:dyDescent="0.35">
      <c r="A424" s="11" t="s">
        <v>611</v>
      </c>
      <c r="B424" s="9" t="s">
        <v>1752</v>
      </c>
      <c r="C424" s="9" t="s">
        <v>1752</v>
      </c>
      <c r="D424" s="9" t="s">
        <v>1752</v>
      </c>
      <c r="E424" s="15">
        <f t="shared" si="6"/>
        <v>1</v>
      </c>
    </row>
    <row r="425" spans="1:5" x14ac:dyDescent="0.35">
      <c r="A425" s="11" t="s">
        <v>612</v>
      </c>
      <c r="B425" s="9" t="s">
        <v>1752</v>
      </c>
      <c r="C425" s="9" t="s">
        <v>1752</v>
      </c>
      <c r="D425" s="9" t="s">
        <v>1752</v>
      </c>
      <c r="E425" s="15">
        <f t="shared" si="6"/>
        <v>1</v>
      </c>
    </row>
    <row r="426" spans="1:5" x14ac:dyDescent="0.35">
      <c r="A426" s="10" t="s">
        <v>613</v>
      </c>
      <c r="B426" s="9" t="s">
        <v>1752</v>
      </c>
      <c r="C426" s="9" t="s">
        <v>1752</v>
      </c>
      <c r="D426" s="9" t="s">
        <v>1752</v>
      </c>
      <c r="E426" s="15">
        <f t="shared" si="6"/>
        <v>1</v>
      </c>
    </row>
    <row r="427" spans="1:5" x14ac:dyDescent="0.35">
      <c r="A427" s="10" t="s">
        <v>614</v>
      </c>
      <c r="B427" s="9" t="s">
        <v>1752</v>
      </c>
      <c r="C427" s="9" t="s">
        <v>1752</v>
      </c>
      <c r="D427" s="9" t="s">
        <v>1752</v>
      </c>
      <c r="E427" s="15">
        <f t="shared" si="6"/>
        <v>1</v>
      </c>
    </row>
    <row r="428" spans="1:5" x14ac:dyDescent="0.35">
      <c r="A428" s="10" t="s">
        <v>615</v>
      </c>
      <c r="B428" s="9" t="s">
        <v>1752</v>
      </c>
      <c r="C428" s="9" t="s">
        <v>1752</v>
      </c>
      <c r="D428" s="9" t="s">
        <v>1752</v>
      </c>
      <c r="E428" s="15">
        <f t="shared" si="6"/>
        <v>1</v>
      </c>
    </row>
    <row r="429" spans="1:5" x14ac:dyDescent="0.35">
      <c r="A429" s="10" t="s">
        <v>616</v>
      </c>
      <c r="B429" s="9" t="s">
        <v>1752</v>
      </c>
      <c r="C429" s="9" t="s">
        <v>1752</v>
      </c>
      <c r="D429" s="9" t="s">
        <v>1752</v>
      </c>
      <c r="E429" s="15">
        <f t="shared" si="6"/>
        <v>1</v>
      </c>
    </row>
    <row r="430" spans="1:5" x14ac:dyDescent="0.35">
      <c r="A430" s="11" t="s">
        <v>617</v>
      </c>
      <c r="B430" s="9" t="s">
        <v>1752</v>
      </c>
      <c r="C430" s="9" t="s">
        <v>1752</v>
      </c>
      <c r="D430" s="9" t="s">
        <v>1752</v>
      </c>
      <c r="E430" s="15">
        <f t="shared" si="6"/>
        <v>1</v>
      </c>
    </row>
    <row r="431" spans="1:5" x14ac:dyDescent="0.35">
      <c r="A431" s="11" t="s">
        <v>618</v>
      </c>
      <c r="B431" s="9" t="s">
        <v>1752</v>
      </c>
      <c r="C431" s="9" t="s">
        <v>1752</v>
      </c>
      <c r="D431" s="9" t="s">
        <v>1752</v>
      </c>
      <c r="E431" s="15">
        <f t="shared" si="6"/>
        <v>1</v>
      </c>
    </row>
    <row r="432" spans="1:5" x14ac:dyDescent="0.35">
      <c r="A432" s="11" t="s">
        <v>619</v>
      </c>
      <c r="B432" s="9" t="s">
        <v>1752</v>
      </c>
      <c r="C432" s="9" t="s">
        <v>1752</v>
      </c>
      <c r="D432" s="9" t="s">
        <v>1752</v>
      </c>
      <c r="E432" s="15">
        <f t="shared" si="6"/>
        <v>1</v>
      </c>
    </row>
    <row r="433" spans="1:5" x14ac:dyDescent="0.35">
      <c r="A433" s="11" t="s">
        <v>620</v>
      </c>
      <c r="B433" s="9" t="s">
        <v>1752</v>
      </c>
      <c r="C433" s="9" t="s">
        <v>1752</v>
      </c>
      <c r="D433" s="9" t="s">
        <v>1752</v>
      </c>
      <c r="E433" s="15">
        <f t="shared" si="6"/>
        <v>1</v>
      </c>
    </row>
    <row r="434" spans="1:5" x14ac:dyDescent="0.35">
      <c r="A434" s="10" t="s">
        <v>621</v>
      </c>
      <c r="B434" s="9" t="s">
        <v>1752</v>
      </c>
      <c r="C434" s="9" t="s">
        <v>1752</v>
      </c>
      <c r="D434" s="9" t="s">
        <v>1752</v>
      </c>
      <c r="E434" s="15">
        <f t="shared" si="6"/>
        <v>1</v>
      </c>
    </row>
    <row r="435" spans="1:5" x14ac:dyDescent="0.35">
      <c r="A435" s="10" t="s">
        <v>622</v>
      </c>
      <c r="B435" s="9" t="s">
        <v>1752</v>
      </c>
      <c r="C435" s="9" t="s">
        <v>1752</v>
      </c>
      <c r="D435" s="9" t="s">
        <v>1752</v>
      </c>
      <c r="E435" s="15">
        <f t="shared" si="6"/>
        <v>1</v>
      </c>
    </row>
    <row r="436" spans="1:5" x14ac:dyDescent="0.35">
      <c r="A436" s="10" t="s">
        <v>623</v>
      </c>
      <c r="B436" s="9" t="s">
        <v>1752</v>
      </c>
      <c r="C436" s="9" t="s">
        <v>1752</v>
      </c>
      <c r="D436" s="9" t="s">
        <v>1752</v>
      </c>
      <c r="E436" s="15">
        <f t="shared" si="6"/>
        <v>1</v>
      </c>
    </row>
    <row r="437" spans="1:5" x14ac:dyDescent="0.35">
      <c r="A437" s="11" t="s">
        <v>624</v>
      </c>
      <c r="B437" s="9" t="s">
        <v>1752</v>
      </c>
      <c r="C437" s="9" t="s">
        <v>1752</v>
      </c>
      <c r="D437" s="9" t="s">
        <v>1752</v>
      </c>
      <c r="E437" s="15">
        <f t="shared" si="6"/>
        <v>1</v>
      </c>
    </row>
    <row r="438" spans="1:5" x14ac:dyDescent="0.35">
      <c r="A438" s="10" t="s">
        <v>625</v>
      </c>
      <c r="B438" s="9" t="s">
        <v>1752</v>
      </c>
      <c r="C438" s="9" t="s">
        <v>1752</v>
      </c>
      <c r="D438" s="9" t="s">
        <v>1752</v>
      </c>
      <c r="E438" s="15">
        <f t="shared" si="6"/>
        <v>1</v>
      </c>
    </row>
    <row r="439" spans="1:5" x14ac:dyDescent="0.35">
      <c r="A439" s="11" t="s">
        <v>626</v>
      </c>
      <c r="B439" s="9" t="s">
        <v>1752</v>
      </c>
      <c r="C439" s="9" t="s">
        <v>1752</v>
      </c>
      <c r="D439" s="9" t="s">
        <v>1827</v>
      </c>
      <c r="E439" s="15">
        <f t="shared" si="6"/>
        <v>1</v>
      </c>
    </row>
    <row r="440" spans="1:5" x14ac:dyDescent="0.35">
      <c r="A440" s="10" t="s">
        <v>627</v>
      </c>
      <c r="B440" s="9" t="s">
        <v>1752</v>
      </c>
      <c r="C440" s="9" t="s">
        <v>1752</v>
      </c>
      <c r="D440" s="9" t="s">
        <v>1752</v>
      </c>
      <c r="E440" s="15">
        <f t="shared" si="6"/>
        <v>1</v>
      </c>
    </row>
    <row r="441" spans="1:5" x14ac:dyDescent="0.35">
      <c r="A441" s="11" t="s">
        <v>628</v>
      </c>
      <c r="B441" s="9" t="s">
        <v>1752</v>
      </c>
      <c r="C441" s="9" t="s">
        <v>1752</v>
      </c>
      <c r="D441" s="9" t="s">
        <v>1752</v>
      </c>
      <c r="E441" s="15">
        <f t="shared" si="6"/>
        <v>1</v>
      </c>
    </row>
    <row r="442" spans="1:5" x14ac:dyDescent="0.35">
      <c r="A442" s="10" t="s">
        <v>629</v>
      </c>
      <c r="B442" s="9" t="s">
        <v>1752</v>
      </c>
      <c r="C442" s="9" t="s">
        <v>1752</v>
      </c>
      <c r="D442" s="9" t="s">
        <v>1752</v>
      </c>
      <c r="E442" s="15">
        <f t="shared" si="6"/>
        <v>1</v>
      </c>
    </row>
    <row r="443" spans="1:5" x14ac:dyDescent="0.35">
      <c r="A443" s="11" t="s">
        <v>630</v>
      </c>
      <c r="B443" s="9" t="s">
        <v>1752</v>
      </c>
      <c r="C443" s="9" t="s">
        <v>1752</v>
      </c>
      <c r="D443" s="9" t="s">
        <v>1752</v>
      </c>
      <c r="E443" s="15">
        <f t="shared" si="6"/>
        <v>1</v>
      </c>
    </row>
    <row r="444" spans="1:5" x14ac:dyDescent="0.35">
      <c r="A444" s="10" t="s">
        <v>631</v>
      </c>
      <c r="B444" s="9" t="s">
        <v>1752</v>
      </c>
      <c r="C444" s="9" t="s">
        <v>1752</v>
      </c>
      <c r="D444" s="9" t="s">
        <v>1752</v>
      </c>
      <c r="E444" s="15">
        <f t="shared" si="6"/>
        <v>1</v>
      </c>
    </row>
    <row r="445" spans="1:5" x14ac:dyDescent="0.35">
      <c r="A445" s="11" t="s">
        <v>632</v>
      </c>
      <c r="B445" s="9" t="s">
        <v>1827</v>
      </c>
      <c r="C445" s="9" t="s">
        <v>1752</v>
      </c>
      <c r="D445" s="9" t="s">
        <v>1752</v>
      </c>
      <c r="E445" s="15">
        <f t="shared" si="6"/>
        <v>1</v>
      </c>
    </row>
    <row r="446" spans="1:5" x14ac:dyDescent="0.35">
      <c r="A446" s="10" t="s">
        <v>633</v>
      </c>
      <c r="B446" s="9" t="s">
        <v>1752</v>
      </c>
      <c r="C446" s="9" t="s">
        <v>1752</v>
      </c>
      <c r="D446" s="9" t="s">
        <v>1752</v>
      </c>
      <c r="E446" s="15">
        <f t="shared" si="6"/>
        <v>1</v>
      </c>
    </row>
    <row r="447" spans="1:5" x14ac:dyDescent="0.35">
      <c r="A447" s="11" t="s">
        <v>634</v>
      </c>
      <c r="B447" s="9" t="s">
        <v>1752</v>
      </c>
      <c r="C447" s="9" t="s">
        <v>1752</v>
      </c>
      <c r="D447" s="9" t="s">
        <v>1752</v>
      </c>
      <c r="E447" s="15">
        <f t="shared" si="6"/>
        <v>1</v>
      </c>
    </row>
    <row r="448" spans="1:5" x14ac:dyDescent="0.35">
      <c r="A448" s="10" t="s">
        <v>635</v>
      </c>
      <c r="B448" s="9" t="s">
        <v>1752</v>
      </c>
      <c r="C448" s="9" t="s">
        <v>1752</v>
      </c>
      <c r="D448" s="9" t="s">
        <v>1752</v>
      </c>
      <c r="E448" s="15">
        <f t="shared" si="6"/>
        <v>1</v>
      </c>
    </row>
    <row r="449" spans="1:5" x14ac:dyDescent="0.35">
      <c r="A449" s="11" t="s">
        <v>636</v>
      </c>
      <c r="B449" s="9" t="s">
        <v>1752</v>
      </c>
      <c r="C449" s="9" t="s">
        <v>1752</v>
      </c>
      <c r="D449" s="9" t="s">
        <v>1752</v>
      </c>
      <c r="E449" s="15">
        <f t="shared" si="6"/>
        <v>1</v>
      </c>
    </row>
    <row r="450" spans="1:5" x14ac:dyDescent="0.35">
      <c r="A450" s="11" t="s">
        <v>637</v>
      </c>
      <c r="B450" s="9" t="s">
        <v>1752</v>
      </c>
      <c r="C450" s="9" t="s">
        <v>1752</v>
      </c>
      <c r="D450" s="9" t="s">
        <v>1752</v>
      </c>
      <c r="E450" s="15">
        <f t="shared" si="6"/>
        <v>1</v>
      </c>
    </row>
    <row r="451" spans="1:5" x14ac:dyDescent="0.35">
      <c r="A451" s="11" t="s">
        <v>638</v>
      </c>
      <c r="B451" s="9" t="s">
        <v>1752</v>
      </c>
      <c r="C451" s="9" t="s">
        <v>1752</v>
      </c>
      <c r="D451" s="9" t="s">
        <v>1752</v>
      </c>
      <c r="E451" s="15">
        <f t="shared" ref="E451:E514" si="7">IF(COUNTIF(B451:D451,"Y")&gt;0,1,0)</f>
        <v>1</v>
      </c>
    </row>
    <row r="452" spans="1:5" x14ac:dyDescent="0.35">
      <c r="A452" s="10" t="s">
        <v>639</v>
      </c>
      <c r="B452" s="9" t="s">
        <v>1752</v>
      </c>
      <c r="C452" s="9" t="s">
        <v>1752</v>
      </c>
      <c r="D452" s="9" t="s">
        <v>1752</v>
      </c>
      <c r="E452" s="15">
        <f t="shared" si="7"/>
        <v>1</v>
      </c>
    </row>
    <row r="453" spans="1:5" x14ac:dyDescent="0.35">
      <c r="A453" s="10" t="s">
        <v>640</v>
      </c>
      <c r="B453" s="9" t="s">
        <v>1752</v>
      </c>
      <c r="C453" s="9" t="s">
        <v>1752</v>
      </c>
      <c r="D453" s="9" t="s">
        <v>1752</v>
      </c>
      <c r="E453" s="15">
        <f t="shared" si="7"/>
        <v>1</v>
      </c>
    </row>
    <row r="454" spans="1:5" x14ac:dyDescent="0.35">
      <c r="A454" s="10" t="s">
        <v>641</v>
      </c>
      <c r="B454" s="9" t="s">
        <v>1752</v>
      </c>
      <c r="C454" s="9" t="s">
        <v>1752</v>
      </c>
      <c r="D454" s="9" t="s">
        <v>1752</v>
      </c>
      <c r="E454" s="15">
        <f t="shared" si="7"/>
        <v>1</v>
      </c>
    </row>
    <row r="455" spans="1:5" x14ac:dyDescent="0.35">
      <c r="A455" s="10" t="s">
        <v>642</v>
      </c>
      <c r="B455" s="9" t="s">
        <v>1752</v>
      </c>
      <c r="C455" s="9" t="s">
        <v>1752</v>
      </c>
      <c r="D455" s="9" t="s">
        <v>1752</v>
      </c>
      <c r="E455" s="15">
        <f t="shared" si="7"/>
        <v>1</v>
      </c>
    </row>
    <row r="456" spans="1:5" x14ac:dyDescent="0.35">
      <c r="A456" s="11" t="s">
        <v>643</v>
      </c>
      <c r="B456" s="9" t="s">
        <v>1752</v>
      </c>
      <c r="C456" s="9" t="s">
        <v>1752</v>
      </c>
      <c r="D456" s="9" t="s">
        <v>1752</v>
      </c>
      <c r="E456" s="15">
        <f t="shared" si="7"/>
        <v>1</v>
      </c>
    </row>
    <row r="457" spans="1:5" x14ac:dyDescent="0.35">
      <c r="A457" s="11" t="s">
        <v>644</v>
      </c>
      <c r="B457" s="9" t="s">
        <v>1752</v>
      </c>
      <c r="C457" s="9" t="s">
        <v>1752</v>
      </c>
      <c r="D457" s="9" t="s">
        <v>1752</v>
      </c>
      <c r="E457" s="15">
        <f t="shared" si="7"/>
        <v>1</v>
      </c>
    </row>
    <row r="458" spans="1:5" x14ac:dyDescent="0.35">
      <c r="A458" s="10" t="s">
        <v>645</v>
      </c>
      <c r="B458" s="9" t="s">
        <v>1752</v>
      </c>
      <c r="C458" s="9" t="s">
        <v>1752</v>
      </c>
      <c r="D458" s="9" t="s">
        <v>1752</v>
      </c>
      <c r="E458" s="15">
        <f t="shared" si="7"/>
        <v>1</v>
      </c>
    </row>
    <row r="459" spans="1:5" x14ac:dyDescent="0.35">
      <c r="A459" s="10" t="s">
        <v>646</v>
      </c>
      <c r="B459" s="9" t="s">
        <v>1752</v>
      </c>
      <c r="C459" s="9" t="s">
        <v>1752</v>
      </c>
      <c r="D459" s="9" t="s">
        <v>1752</v>
      </c>
      <c r="E459" s="15">
        <f t="shared" si="7"/>
        <v>1</v>
      </c>
    </row>
    <row r="460" spans="1:5" x14ac:dyDescent="0.35">
      <c r="A460" s="11" t="s">
        <v>647</v>
      </c>
      <c r="B460" s="9" t="s">
        <v>1752</v>
      </c>
      <c r="C460" s="9" t="s">
        <v>1752</v>
      </c>
      <c r="D460" s="9" t="s">
        <v>1752</v>
      </c>
      <c r="E460" s="15">
        <f t="shared" si="7"/>
        <v>1</v>
      </c>
    </row>
    <row r="461" spans="1:5" x14ac:dyDescent="0.35">
      <c r="A461" s="11" t="s">
        <v>648</v>
      </c>
      <c r="B461" s="9" t="s">
        <v>1752</v>
      </c>
      <c r="C461" s="9" t="s">
        <v>1752</v>
      </c>
      <c r="D461" s="9" t="s">
        <v>1752</v>
      </c>
      <c r="E461" s="15">
        <f t="shared" si="7"/>
        <v>1</v>
      </c>
    </row>
    <row r="462" spans="1:5" x14ac:dyDescent="0.35">
      <c r="A462" s="10" t="s">
        <v>649</v>
      </c>
      <c r="B462" s="9" t="s">
        <v>1752</v>
      </c>
      <c r="C462" s="9" t="s">
        <v>1752</v>
      </c>
      <c r="D462" s="9" t="s">
        <v>1752</v>
      </c>
      <c r="E462" s="15">
        <f t="shared" si="7"/>
        <v>1</v>
      </c>
    </row>
    <row r="463" spans="1:5" x14ac:dyDescent="0.35">
      <c r="A463" s="10" t="s">
        <v>650</v>
      </c>
      <c r="B463" s="9" t="s">
        <v>1752</v>
      </c>
      <c r="C463" s="9" t="s">
        <v>1752</v>
      </c>
      <c r="D463" s="9" t="s">
        <v>1752</v>
      </c>
      <c r="E463" s="15">
        <f t="shared" si="7"/>
        <v>1</v>
      </c>
    </row>
    <row r="464" spans="1:5" x14ac:dyDescent="0.35">
      <c r="A464" s="11" t="s">
        <v>651</v>
      </c>
      <c r="B464" s="9" t="s">
        <v>1752</v>
      </c>
      <c r="C464" s="9" t="s">
        <v>1752</v>
      </c>
      <c r="D464" s="9" t="s">
        <v>1752</v>
      </c>
      <c r="E464" s="15">
        <f t="shared" si="7"/>
        <v>1</v>
      </c>
    </row>
    <row r="465" spans="1:5" x14ac:dyDescent="0.35">
      <c r="A465" s="11" t="s">
        <v>652</v>
      </c>
      <c r="B465" s="9" t="s">
        <v>1752</v>
      </c>
      <c r="C465" s="9" t="s">
        <v>1752</v>
      </c>
      <c r="D465" s="9" t="s">
        <v>1752</v>
      </c>
      <c r="E465" s="15">
        <f t="shared" si="7"/>
        <v>1</v>
      </c>
    </row>
    <row r="466" spans="1:5" x14ac:dyDescent="0.35">
      <c r="A466" s="10" t="s">
        <v>653</v>
      </c>
      <c r="B466" s="9" t="s">
        <v>1752</v>
      </c>
      <c r="C466" s="9" t="s">
        <v>1752</v>
      </c>
      <c r="D466" s="9" t="s">
        <v>1752</v>
      </c>
      <c r="E466" s="15">
        <f t="shared" si="7"/>
        <v>1</v>
      </c>
    </row>
    <row r="467" spans="1:5" x14ac:dyDescent="0.35">
      <c r="A467" s="10" t="s">
        <v>654</v>
      </c>
      <c r="B467" s="9" t="s">
        <v>1752</v>
      </c>
      <c r="C467" s="9" t="s">
        <v>1752</v>
      </c>
      <c r="D467" s="9" t="s">
        <v>1752</v>
      </c>
      <c r="E467" s="15">
        <f t="shared" si="7"/>
        <v>1</v>
      </c>
    </row>
    <row r="468" spans="1:5" x14ac:dyDescent="0.35">
      <c r="A468" s="11" t="s">
        <v>655</v>
      </c>
      <c r="B468" s="9" t="s">
        <v>1752</v>
      </c>
      <c r="C468" s="9" t="s">
        <v>1752</v>
      </c>
      <c r="D468" s="9" t="s">
        <v>1752</v>
      </c>
      <c r="E468" s="15">
        <f t="shared" si="7"/>
        <v>1</v>
      </c>
    </row>
    <row r="469" spans="1:5" x14ac:dyDescent="0.35">
      <c r="A469" s="10" t="s">
        <v>656</v>
      </c>
      <c r="B469" s="9" t="s">
        <v>1752</v>
      </c>
      <c r="C469" s="9" t="s">
        <v>1752</v>
      </c>
      <c r="D469" s="9" t="s">
        <v>1752</v>
      </c>
      <c r="E469" s="15">
        <f t="shared" si="7"/>
        <v>1</v>
      </c>
    </row>
    <row r="470" spans="1:5" x14ac:dyDescent="0.35">
      <c r="A470" s="11" t="s">
        <v>657</v>
      </c>
      <c r="B470" s="9" t="s">
        <v>1752</v>
      </c>
      <c r="C470" s="9" t="s">
        <v>1752</v>
      </c>
      <c r="D470" s="9" t="s">
        <v>1752</v>
      </c>
      <c r="E470" s="15">
        <f t="shared" si="7"/>
        <v>1</v>
      </c>
    </row>
    <row r="471" spans="1:5" x14ac:dyDescent="0.35">
      <c r="A471" s="10" t="s">
        <v>658</v>
      </c>
      <c r="B471" s="9" t="s">
        <v>1827</v>
      </c>
      <c r="C471" s="9" t="s">
        <v>1752</v>
      </c>
      <c r="D471" s="9" t="s">
        <v>1752</v>
      </c>
      <c r="E471" s="15">
        <f t="shared" si="7"/>
        <v>1</v>
      </c>
    </row>
    <row r="472" spans="1:5" x14ac:dyDescent="0.35">
      <c r="A472" s="11" t="s">
        <v>659</v>
      </c>
      <c r="B472" s="9" t="s">
        <v>1752</v>
      </c>
      <c r="C472" s="9" t="s">
        <v>1752</v>
      </c>
      <c r="D472" s="9" t="s">
        <v>1752</v>
      </c>
      <c r="E472" s="15">
        <f t="shared" si="7"/>
        <v>1</v>
      </c>
    </row>
    <row r="473" spans="1:5" x14ac:dyDescent="0.35">
      <c r="A473" s="10" t="s">
        <v>660</v>
      </c>
      <c r="B473" s="9" t="s">
        <v>1752</v>
      </c>
      <c r="C473" s="9" t="s">
        <v>1752</v>
      </c>
      <c r="D473" s="9" t="s">
        <v>1752</v>
      </c>
      <c r="E473" s="15">
        <f t="shared" si="7"/>
        <v>1</v>
      </c>
    </row>
    <row r="474" spans="1:5" x14ac:dyDescent="0.35">
      <c r="A474" s="10" t="s">
        <v>661</v>
      </c>
      <c r="B474" s="9" t="s">
        <v>1752</v>
      </c>
      <c r="C474" s="9" t="s">
        <v>1752</v>
      </c>
      <c r="D474" s="9" t="s">
        <v>1752</v>
      </c>
      <c r="E474" s="15">
        <f t="shared" si="7"/>
        <v>1</v>
      </c>
    </row>
    <row r="475" spans="1:5" x14ac:dyDescent="0.35">
      <c r="A475" s="11" t="s">
        <v>662</v>
      </c>
      <c r="B475" s="9" t="s">
        <v>1752</v>
      </c>
      <c r="C475" s="9" t="s">
        <v>1752</v>
      </c>
      <c r="D475" s="9" t="s">
        <v>1752</v>
      </c>
      <c r="E475" s="15">
        <f t="shared" si="7"/>
        <v>1</v>
      </c>
    </row>
    <row r="476" spans="1:5" x14ac:dyDescent="0.35">
      <c r="A476" s="11" t="s">
        <v>663</v>
      </c>
      <c r="B476" s="9" t="s">
        <v>1752</v>
      </c>
      <c r="C476" s="9" t="s">
        <v>1752</v>
      </c>
      <c r="D476" s="9" t="s">
        <v>1752</v>
      </c>
      <c r="E476" s="15">
        <f t="shared" si="7"/>
        <v>1</v>
      </c>
    </row>
    <row r="477" spans="1:5" x14ac:dyDescent="0.35">
      <c r="A477" s="10" t="s">
        <v>664</v>
      </c>
      <c r="B477" s="9" t="s">
        <v>1752</v>
      </c>
      <c r="C477" s="9" t="s">
        <v>1752</v>
      </c>
      <c r="D477" s="9" t="s">
        <v>1752</v>
      </c>
      <c r="E477" s="15">
        <f t="shared" si="7"/>
        <v>1</v>
      </c>
    </row>
    <row r="478" spans="1:5" x14ac:dyDescent="0.35">
      <c r="A478" s="10" t="s">
        <v>665</v>
      </c>
      <c r="B478" s="9" t="s">
        <v>1752</v>
      </c>
      <c r="C478" s="9" t="s">
        <v>1752</v>
      </c>
      <c r="D478" s="9" t="s">
        <v>1752</v>
      </c>
      <c r="E478" s="15">
        <f t="shared" si="7"/>
        <v>1</v>
      </c>
    </row>
    <row r="479" spans="1:5" x14ac:dyDescent="0.35">
      <c r="A479" s="11" t="s">
        <v>666</v>
      </c>
      <c r="B479" s="9" t="s">
        <v>1752</v>
      </c>
      <c r="C479" s="9" t="s">
        <v>1752</v>
      </c>
      <c r="D479" s="9" t="s">
        <v>1752</v>
      </c>
      <c r="E479" s="15">
        <f t="shared" si="7"/>
        <v>1</v>
      </c>
    </row>
    <row r="480" spans="1:5" x14ac:dyDescent="0.35">
      <c r="A480" s="10" t="s">
        <v>667</v>
      </c>
      <c r="B480" s="9" t="s">
        <v>1752</v>
      </c>
      <c r="C480" s="9" t="s">
        <v>1752</v>
      </c>
      <c r="D480" s="9" t="s">
        <v>1752</v>
      </c>
      <c r="E480" s="15">
        <f t="shared" si="7"/>
        <v>1</v>
      </c>
    </row>
    <row r="481" spans="1:5" x14ac:dyDescent="0.35">
      <c r="A481" s="10" t="s">
        <v>668</v>
      </c>
      <c r="B481" s="9" t="s">
        <v>1752</v>
      </c>
      <c r="C481" s="9" t="s">
        <v>1752</v>
      </c>
      <c r="D481" s="9" t="s">
        <v>1827</v>
      </c>
      <c r="E481" s="15">
        <f t="shared" si="7"/>
        <v>1</v>
      </c>
    </row>
    <row r="482" spans="1:5" x14ac:dyDescent="0.35">
      <c r="A482" s="10" t="s">
        <v>669</v>
      </c>
      <c r="B482" s="9" t="s">
        <v>1752</v>
      </c>
      <c r="C482" s="9" t="s">
        <v>1752</v>
      </c>
      <c r="D482" s="9" t="s">
        <v>1752</v>
      </c>
      <c r="E482" s="15">
        <f t="shared" si="7"/>
        <v>1</v>
      </c>
    </row>
    <row r="483" spans="1:5" x14ac:dyDescent="0.35">
      <c r="A483" s="11" t="s">
        <v>670</v>
      </c>
      <c r="B483" s="9" t="s">
        <v>1752</v>
      </c>
      <c r="C483" s="9" t="s">
        <v>1752</v>
      </c>
      <c r="D483" s="9" t="s">
        <v>1752</v>
      </c>
      <c r="E483" s="15">
        <f t="shared" si="7"/>
        <v>1</v>
      </c>
    </row>
    <row r="484" spans="1:5" x14ac:dyDescent="0.35">
      <c r="A484" s="10" t="s">
        <v>671</v>
      </c>
      <c r="B484" s="9" t="s">
        <v>1752</v>
      </c>
      <c r="C484" s="9" t="s">
        <v>1752</v>
      </c>
      <c r="D484" s="9" t="s">
        <v>1752</v>
      </c>
      <c r="E484" s="15">
        <f t="shared" si="7"/>
        <v>1</v>
      </c>
    </row>
    <row r="485" spans="1:5" x14ac:dyDescent="0.35">
      <c r="A485" s="10" t="s">
        <v>672</v>
      </c>
      <c r="B485" s="9" t="s">
        <v>1752</v>
      </c>
      <c r="C485" s="9" t="s">
        <v>1752</v>
      </c>
      <c r="D485" s="9" t="s">
        <v>1752</v>
      </c>
      <c r="E485" s="15">
        <f t="shared" si="7"/>
        <v>1</v>
      </c>
    </row>
    <row r="486" spans="1:5" x14ac:dyDescent="0.35">
      <c r="A486" s="11" t="s">
        <v>673</v>
      </c>
      <c r="B486" s="9" t="s">
        <v>1752</v>
      </c>
      <c r="C486" s="9" t="s">
        <v>1752</v>
      </c>
      <c r="D486" s="9" t="s">
        <v>1752</v>
      </c>
      <c r="E486" s="15">
        <f t="shared" si="7"/>
        <v>1</v>
      </c>
    </row>
    <row r="487" spans="1:5" x14ac:dyDescent="0.35">
      <c r="A487" s="10" t="s">
        <v>674</v>
      </c>
      <c r="B487" s="9" t="s">
        <v>1752</v>
      </c>
      <c r="C487" s="9" t="s">
        <v>1752</v>
      </c>
      <c r="D487" s="9" t="s">
        <v>1752</v>
      </c>
      <c r="E487" s="15">
        <f t="shared" si="7"/>
        <v>1</v>
      </c>
    </row>
    <row r="488" spans="1:5" x14ac:dyDescent="0.35">
      <c r="A488" s="11" t="s">
        <v>675</v>
      </c>
      <c r="B488" s="9" t="s">
        <v>1752</v>
      </c>
      <c r="C488" s="9" t="s">
        <v>1752</v>
      </c>
      <c r="D488" s="9" t="s">
        <v>1752</v>
      </c>
      <c r="E488" s="15">
        <f t="shared" si="7"/>
        <v>1</v>
      </c>
    </row>
    <row r="489" spans="1:5" x14ac:dyDescent="0.35">
      <c r="A489" s="11" t="s">
        <v>676</v>
      </c>
      <c r="B489" s="9" t="s">
        <v>1752</v>
      </c>
      <c r="C489" s="9" t="s">
        <v>1752</v>
      </c>
      <c r="D489" s="9" t="s">
        <v>1752</v>
      </c>
      <c r="E489" s="15">
        <f t="shared" si="7"/>
        <v>1</v>
      </c>
    </row>
    <row r="490" spans="1:5" x14ac:dyDescent="0.35">
      <c r="A490" s="10" t="s">
        <v>677</v>
      </c>
      <c r="B490" s="9" t="s">
        <v>1752</v>
      </c>
      <c r="C490" s="9" t="s">
        <v>1752</v>
      </c>
      <c r="D490" s="9" t="s">
        <v>1752</v>
      </c>
      <c r="E490" s="15">
        <f t="shared" si="7"/>
        <v>1</v>
      </c>
    </row>
    <row r="491" spans="1:5" x14ac:dyDescent="0.35">
      <c r="A491" s="11" t="s">
        <v>678</v>
      </c>
      <c r="B491" s="9" t="s">
        <v>1752</v>
      </c>
      <c r="C491" s="9" t="s">
        <v>1752</v>
      </c>
      <c r="D491" s="9" t="s">
        <v>1752</v>
      </c>
      <c r="E491" s="15">
        <f t="shared" si="7"/>
        <v>1</v>
      </c>
    </row>
    <row r="492" spans="1:5" x14ac:dyDescent="0.35">
      <c r="A492" s="10" t="s">
        <v>679</v>
      </c>
      <c r="B492" s="9" t="s">
        <v>1752</v>
      </c>
      <c r="C492" s="9" t="s">
        <v>1752</v>
      </c>
      <c r="D492" s="9" t="s">
        <v>1752</v>
      </c>
      <c r="E492" s="15">
        <f t="shared" si="7"/>
        <v>1</v>
      </c>
    </row>
    <row r="493" spans="1:5" x14ac:dyDescent="0.35">
      <c r="A493" s="11" t="s">
        <v>680</v>
      </c>
      <c r="B493" s="9" t="s">
        <v>1752</v>
      </c>
      <c r="C493" s="9" t="s">
        <v>1752</v>
      </c>
      <c r="D493" s="9" t="s">
        <v>1752</v>
      </c>
      <c r="E493" s="15">
        <f t="shared" si="7"/>
        <v>1</v>
      </c>
    </row>
    <row r="494" spans="1:5" x14ac:dyDescent="0.35">
      <c r="A494" s="10" t="s">
        <v>681</v>
      </c>
      <c r="B494" s="9" t="s">
        <v>1752</v>
      </c>
      <c r="C494" s="9" t="s">
        <v>1752</v>
      </c>
      <c r="D494" s="9" t="s">
        <v>1752</v>
      </c>
      <c r="E494" s="15">
        <f t="shared" si="7"/>
        <v>1</v>
      </c>
    </row>
    <row r="495" spans="1:5" x14ac:dyDescent="0.35">
      <c r="A495" s="10" t="s">
        <v>682</v>
      </c>
      <c r="B495" s="9" t="s">
        <v>1752</v>
      </c>
      <c r="C495" s="9" t="s">
        <v>1752</v>
      </c>
      <c r="D495" s="9" t="s">
        <v>1752</v>
      </c>
      <c r="E495" s="15">
        <f t="shared" si="7"/>
        <v>1</v>
      </c>
    </row>
    <row r="496" spans="1:5" x14ac:dyDescent="0.35">
      <c r="A496" s="10" t="s">
        <v>683</v>
      </c>
      <c r="B496" s="9" t="s">
        <v>1752</v>
      </c>
      <c r="C496" s="9" t="s">
        <v>1752</v>
      </c>
      <c r="D496" s="9" t="s">
        <v>1752</v>
      </c>
      <c r="E496" s="15">
        <f t="shared" si="7"/>
        <v>1</v>
      </c>
    </row>
    <row r="497" spans="1:5" x14ac:dyDescent="0.35">
      <c r="A497" s="11" t="s">
        <v>684</v>
      </c>
      <c r="B497" s="9" t="s">
        <v>1752</v>
      </c>
      <c r="C497" s="9" t="s">
        <v>1752</v>
      </c>
      <c r="D497" s="9" t="s">
        <v>1752</v>
      </c>
      <c r="E497" s="15">
        <f t="shared" si="7"/>
        <v>1</v>
      </c>
    </row>
    <row r="498" spans="1:5" x14ac:dyDescent="0.35">
      <c r="A498" s="11" t="s">
        <v>685</v>
      </c>
      <c r="B498" s="9" t="s">
        <v>1752</v>
      </c>
      <c r="C498" s="9" t="s">
        <v>1752</v>
      </c>
      <c r="D498" s="9" t="s">
        <v>1752</v>
      </c>
      <c r="E498" s="15">
        <f t="shared" si="7"/>
        <v>1</v>
      </c>
    </row>
    <row r="499" spans="1:5" x14ac:dyDescent="0.35">
      <c r="A499" s="10" t="s">
        <v>686</v>
      </c>
      <c r="B499" s="9" t="s">
        <v>1752</v>
      </c>
      <c r="C499" s="9" t="s">
        <v>1752</v>
      </c>
      <c r="D499" s="9" t="s">
        <v>1752</v>
      </c>
      <c r="E499" s="15">
        <f t="shared" si="7"/>
        <v>1</v>
      </c>
    </row>
    <row r="500" spans="1:5" x14ac:dyDescent="0.35">
      <c r="A500" s="11" t="s">
        <v>687</v>
      </c>
      <c r="B500" s="9" t="s">
        <v>1752</v>
      </c>
      <c r="C500" s="9" t="s">
        <v>1752</v>
      </c>
      <c r="D500" s="9" t="s">
        <v>1752</v>
      </c>
      <c r="E500" s="15">
        <f t="shared" si="7"/>
        <v>1</v>
      </c>
    </row>
    <row r="501" spans="1:5" x14ac:dyDescent="0.35">
      <c r="A501" s="10" t="s">
        <v>688</v>
      </c>
      <c r="B501" s="9" t="s">
        <v>1752</v>
      </c>
      <c r="C501" s="9" t="s">
        <v>1752</v>
      </c>
      <c r="D501" s="9" t="s">
        <v>1752</v>
      </c>
      <c r="E501" s="15">
        <f t="shared" si="7"/>
        <v>1</v>
      </c>
    </row>
    <row r="502" spans="1:5" x14ac:dyDescent="0.35">
      <c r="A502" s="11" t="s">
        <v>689</v>
      </c>
      <c r="B502" s="9" t="s">
        <v>1752</v>
      </c>
      <c r="C502" s="9" t="s">
        <v>1752</v>
      </c>
      <c r="D502" s="9" t="s">
        <v>1752</v>
      </c>
      <c r="E502" s="15">
        <f t="shared" si="7"/>
        <v>1</v>
      </c>
    </row>
    <row r="503" spans="1:5" x14ac:dyDescent="0.35">
      <c r="A503" s="11" t="s">
        <v>690</v>
      </c>
      <c r="B503" s="9" t="s">
        <v>1752</v>
      </c>
      <c r="C503" s="9" t="s">
        <v>1752</v>
      </c>
      <c r="D503" s="9" t="s">
        <v>1752</v>
      </c>
      <c r="E503" s="15">
        <f t="shared" si="7"/>
        <v>1</v>
      </c>
    </row>
    <row r="504" spans="1:5" x14ac:dyDescent="0.35">
      <c r="A504" s="11" t="s">
        <v>691</v>
      </c>
      <c r="B504" s="9" t="s">
        <v>1752</v>
      </c>
      <c r="C504" s="9" t="s">
        <v>1752</v>
      </c>
      <c r="D504" s="9" t="s">
        <v>1752</v>
      </c>
      <c r="E504" s="15">
        <f t="shared" si="7"/>
        <v>1</v>
      </c>
    </row>
    <row r="505" spans="1:5" x14ac:dyDescent="0.35">
      <c r="A505" s="11" t="s">
        <v>692</v>
      </c>
      <c r="B505" s="9" t="s">
        <v>1752</v>
      </c>
      <c r="C505" s="9" t="s">
        <v>1752</v>
      </c>
      <c r="D505" s="9" t="s">
        <v>1827</v>
      </c>
      <c r="E505" s="15">
        <f t="shared" si="7"/>
        <v>1</v>
      </c>
    </row>
    <row r="506" spans="1:5" x14ac:dyDescent="0.35">
      <c r="A506" s="10" t="s">
        <v>693</v>
      </c>
      <c r="B506" s="9" t="s">
        <v>1752</v>
      </c>
      <c r="C506" s="9" t="s">
        <v>1752</v>
      </c>
      <c r="D506" s="9" t="s">
        <v>1752</v>
      </c>
      <c r="E506" s="15">
        <f t="shared" si="7"/>
        <v>1</v>
      </c>
    </row>
    <row r="507" spans="1:5" x14ac:dyDescent="0.35">
      <c r="A507" s="11" t="s">
        <v>694</v>
      </c>
      <c r="B507" s="9" t="s">
        <v>1752</v>
      </c>
      <c r="C507" s="9" t="s">
        <v>1752</v>
      </c>
      <c r="D507" s="9" t="s">
        <v>1752</v>
      </c>
      <c r="E507" s="15">
        <f t="shared" si="7"/>
        <v>1</v>
      </c>
    </row>
    <row r="508" spans="1:5" x14ac:dyDescent="0.35">
      <c r="A508" s="11" t="s">
        <v>695</v>
      </c>
      <c r="B508" s="9" t="s">
        <v>1752</v>
      </c>
      <c r="C508" s="9" t="s">
        <v>1752</v>
      </c>
      <c r="D508" s="9" t="s">
        <v>1752</v>
      </c>
      <c r="E508" s="15">
        <f t="shared" si="7"/>
        <v>1</v>
      </c>
    </row>
    <row r="509" spans="1:5" x14ac:dyDescent="0.35">
      <c r="A509" s="10" t="s">
        <v>696</v>
      </c>
      <c r="B509" s="9" t="s">
        <v>1752</v>
      </c>
      <c r="C509" s="9" t="s">
        <v>1752</v>
      </c>
      <c r="D509" s="9" t="s">
        <v>1752</v>
      </c>
      <c r="E509" s="15">
        <f t="shared" si="7"/>
        <v>1</v>
      </c>
    </row>
    <row r="510" spans="1:5" x14ac:dyDescent="0.35">
      <c r="A510" s="11" t="s">
        <v>697</v>
      </c>
      <c r="B510" s="9" t="s">
        <v>1752</v>
      </c>
      <c r="C510" s="9" t="s">
        <v>1752</v>
      </c>
      <c r="D510" s="9" t="s">
        <v>1752</v>
      </c>
      <c r="E510" s="15">
        <f t="shared" si="7"/>
        <v>1</v>
      </c>
    </row>
    <row r="511" spans="1:5" x14ac:dyDescent="0.35">
      <c r="A511" s="11" t="s">
        <v>698</v>
      </c>
      <c r="B511" s="9" t="s">
        <v>1752</v>
      </c>
      <c r="C511" s="9" t="s">
        <v>1752</v>
      </c>
      <c r="D511" s="9" t="s">
        <v>1752</v>
      </c>
      <c r="E511" s="15">
        <f t="shared" si="7"/>
        <v>1</v>
      </c>
    </row>
    <row r="512" spans="1:5" x14ac:dyDescent="0.35">
      <c r="A512" s="10" t="s">
        <v>699</v>
      </c>
      <c r="B512" s="9" t="s">
        <v>1752</v>
      </c>
      <c r="C512" s="9" t="s">
        <v>1752</v>
      </c>
      <c r="D512" s="9" t="s">
        <v>1752</v>
      </c>
      <c r="E512" s="15">
        <f t="shared" si="7"/>
        <v>1</v>
      </c>
    </row>
    <row r="513" spans="1:5" x14ac:dyDescent="0.35">
      <c r="A513" s="11" t="s">
        <v>700</v>
      </c>
      <c r="B513" s="9" t="s">
        <v>1752</v>
      </c>
      <c r="C513" s="9" t="s">
        <v>1752</v>
      </c>
      <c r="D513" s="9" t="s">
        <v>1752</v>
      </c>
      <c r="E513" s="15">
        <f t="shared" si="7"/>
        <v>1</v>
      </c>
    </row>
    <row r="514" spans="1:5" x14ac:dyDescent="0.35">
      <c r="A514" s="11" t="s">
        <v>701</v>
      </c>
      <c r="B514" s="9" t="s">
        <v>1752</v>
      </c>
      <c r="C514" s="9" t="s">
        <v>1752</v>
      </c>
      <c r="D514" s="9" t="s">
        <v>1752</v>
      </c>
      <c r="E514" s="15">
        <f t="shared" si="7"/>
        <v>1</v>
      </c>
    </row>
    <row r="515" spans="1:5" x14ac:dyDescent="0.35">
      <c r="A515" s="10" t="s">
        <v>702</v>
      </c>
      <c r="B515" s="9" t="s">
        <v>1752</v>
      </c>
      <c r="C515" s="9" t="s">
        <v>1752</v>
      </c>
      <c r="D515" s="9" t="s">
        <v>1752</v>
      </c>
      <c r="E515" s="15">
        <f t="shared" ref="E515:E578" si="8">IF(COUNTIF(B515:D515,"Y")&gt;0,1,0)</f>
        <v>1</v>
      </c>
    </row>
    <row r="516" spans="1:5" x14ac:dyDescent="0.35">
      <c r="A516" s="10" t="s">
        <v>703</v>
      </c>
      <c r="B516" s="9" t="s">
        <v>1752</v>
      </c>
      <c r="C516" s="9" t="s">
        <v>1752</v>
      </c>
      <c r="D516" s="9" t="s">
        <v>1752</v>
      </c>
      <c r="E516" s="15">
        <f t="shared" si="8"/>
        <v>1</v>
      </c>
    </row>
    <row r="517" spans="1:5" x14ac:dyDescent="0.35">
      <c r="A517" s="10" t="s">
        <v>704</v>
      </c>
      <c r="B517" s="9" t="s">
        <v>1752</v>
      </c>
      <c r="C517" s="9" t="s">
        <v>1752</v>
      </c>
      <c r="D517" s="9" t="s">
        <v>1752</v>
      </c>
      <c r="E517" s="15">
        <f t="shared" si="8"/>
        <v>1</v>
      </c>
    </row>
    <row r="518" spans="1:5" x14ac:dyDescent="0.35">
      <c r="A518" s="11" t="s">
        <v>705</v>
      </c>
      <c r="B518" s="9" t="s">
        <v>1752</v>
      </c>
      <c r="C518" s="9" t="s">
        <v>1752</v>
      </c>
      <c r="D518" s="9" t="s">
        <v>1752</v>
      </c>
      <c r="E518" s="15">
        <f t="shared" si="8"/>
        <v>1</v>
      </c>
    </row>
    <row r="519" spans="1:5" x14ac:dyDescent="0.35">
      <c r="A519" s="10" t="s">
        <v>706</v>
      </c>
      <c r="B519" s="9" t="s">
        <v>1752</v>
      </c>
      <c r="C519" s="9" t="s">
        <v>1752</v>
      </c>
      <c r="D519" s="9" t="s">
        <v>1752</v>
      </c>
      <c r="E519" s="15">
        <f t="shared" si="8"/>
        <v>1</v>
      </c>
    </row>
    <row r="520" spans="1:5" x14ac:dyDescent="0.35">
      <c r="A520" s="10" t="s">
        <v>707</v>
      </c>
      <c r="B520" s="9" t="s">
        <v>1827</v>
      </c>
      <c r="C520" s="9" t="s">
        <v>1752</v>
      </c>
      <c r="D520" s="9" t="s">
        <v>1752</v>
      </c>
      <c r="E520" s="15">
        <f t="shared" si="8"/>
        <v>1</v>
      </c>
    </row>
    <row r="521" spans="1:5" x14ac:dyDescent="0.35">
      <c r="A521" s="10" t="s">
        <v>708</v>
      </c>
      <c r="B521" s="9" t="s">
        <v>1752</v>
      </c>
      <c r="C521" s="9" t="s">
        <v>1752</v>
      </c>
      <c r="D521" s="9" t="s">
        <v>1752</v>
      </c>
      <c r="E521" s="15">
        <f t="shared" si="8"/>
        <v>1</v>
      </c>
    </row>
    <row r="522" spans="1:5" x14ac:dyDescent="0.35">
      <c r="A522" s="11" t="s">
        <v>709</v>
      </c>
      <c r="B522" s="9" t="s">
        <v>1752</v>
      </c>
      <c r="C522" s="9" t="s">
        <v>1752</v>
      </c>
      <c r="D522" s="9" t="s">
        <v>1752</v>
      </c>
      <c r="E522" s="15">
        <f t="shared" si="8"/>
        <v>1</v>
      </c>
    </row>
    <row r="523" spans="1:5" x14ac:dyDescent="0.35">
      <c r="A523" s="10" t="s">
        <v>710</v>
      </c>
      <c r="B523" s="9" t="s">
        <v>1752</v>
      </c>
      <c r="C523" s="9" t="s">
        <v>1752</v>
      </c>
      <c r="D523" s="9" t="s">
        <v>1752</v>
      </c>
      <c r="E523" s="15">
        <f t="shared" si="8"/>
        <v>1</v>
      </c>
    </row>
    <row r="524" spans="1:5" x14ac:dyDescent="0.35">
      <c r="A524" s="11" t="s">
        <v>711</v>
      </c>
      <c r="B524" s="9" t="s">
        <v>1752</v>
      </c>
      <c r="C524" s="9" t="s">
        <v>1752</v>
      </c>
      <c r="D524" s="9" t="s">
        <v>1752</v>
      </c>
      <c r="E524" s="15">
        <f t="shared" si="8"/>
        <v>1</v>
      </c>
    </row>
    <row r="525" spans="1:5" x14ac:dyDescent="0.35">
      <c r="A525" s="10" t="s">
        <v>712</v>
      </c>
      <c r="B525" s="9" t="s">
        <v>1752</v>
      </c>
      <c r="C525" s="9" t="s">
        <v>1752</v>
      </c>
      <c r="D525" s="9" t="s">
        <v>1752</v>
      </c>
      <c r="E525" s="15">
        <f t="shared" si="8"/>
        <v>1</v>
      </c>
    </row>
    <row r="526" spans="1:5" x14ac:dyDescent="0.35">
      <c r="A526" s="11" t="s">
        <v>713</v>
      </c>
      <c r="B526" s="9" t="s">
        <v>1752</v>
      </c>
      <c r="C526" s="9" t="s">
        <v>1752</v>
      </c>
      <c r="D526" s="9" t="s">
        <v>1752</v>
      </c>
      <c r="E526" s="15">
        <f t="shared" si="8"/>
        <v>1</v>
      </c>
    </row>
    <row r="527" spans="1:5" x14ac:dyDescent="0.35">
      <c r="A527" s="10" t="s">
        <v>714</v>
      </c>
      <c r="B527" s="9" t="s">
        <v>1752</v>
      </c>
      <c r="C527" s="9" t="s">
        <v>1752</v>
      </c>
      <c r="D527" s="9" t="s">
        <v>1752</v>
      </c>
      <c r="E527" s="15">
        <f t="shared" si="8"/>
        <v>1</v>
      </c>
    </row>
    <row r="528" spans="1:5" x14ac:dyDescent="0.35">
      <c r="A528" s="11" t="s">
        <v>715</v>
      </c>
      <c r="B528" s="9" t="s">
        <v>1752</v>
      </c>
      <c r="C528" s="9" t="s">
        <v>1752</v>
      </c>
      <c r="D528" s="9" t="s">
        <v>1752</v>
      </c>
      <c r="E528" s="15">
        <f t="shared" si="8"/>
        <v>1</v>
      </c>
    </row>
    <row r="529" spans="1:5" x14ac:dyDescent="0.35">
      <c r="A529" s="11" t="s">
        <v>716</v>
      </c>
      <c r="B529" s="9" t="s">
        <v>1752</v>
      </c>
      <c r="C529" s="9" t="s">
        <v>1752</v>
      </c>
      <c r="D529" s="9" t="s">
        <v>1752</v>
      </c>
      <c r="E529" s="15">
        <f t="shared" si="8"/>
        <v>1</v>
      </c>
    </row>
    <row r="530" spans="1:5" x14ac:dyDescent="0.35">
      <c r="A530" s="11" t="s">
        <v>717</v>
      </c>
      <c r="B530" s="9" t="s">
        <v>1752</v>
      </c>
      <c r="C530" s="9" t="s">
        <v>1752</v>
      </c>
      <c r="D530" s="9" t="s">
        <v>1752</v>
      </c>
      <c r="E530" s="15">
        <f t="shared" si="8"/>
        <v>1</v>
      </c>
    </row>
    <row r="531" spans="1:5" x14ac:dyDescent="0.35">
      <c r="A531" s="10" t="s">
        <v>718</v>
      </c>
      <c r="B531" s="9" t="s">
        <v>1752</v>
      </c>
      <c r="C531" s="9" t="s">
        <v>1752</v>
      </c>
      <c r="D531" s="9" t="s">
        <v>1752</v>
      </c>
      <c r="E531" s="15">
        <f t="shared" si="8"/>
        <v>1</v>
      </c>
    </row>
    <row r="532" spans="1:5" x14ac:dyDescent="0.35">
      <c r="A532" s="10" t="s">
        <v>719</v>
      </c>
      <c r="B532" s="9" t="s">
        <v>1752</v>
      </c>
      <c r="C532" s="9" t="s">
        <v>1752</v>
      </c>
      <c r="D532" s="9" t="s">
        <v>1752</v>
      </c>
      <c r="E532" s="15">
        <f t="shared" si="8"/>
        <v>1</v>
      </c>
    </row>
    <row r="533" spans="1:5" x14ac:dyDescent="0.35">
      <c r="A533" s="11" t="s">
        <v>720</v>
      </c>
      <c r="B533" s="9" t="s">
        <v>1752</v>
      </c>
      <c r="C533" s="9" t="s">
        <v>1752</v>
      </c>
      <c r="D533" s="9" t="s">
        <v>1752</v>
      </c>
      <c r="E533" s="15">
        <f t="shared" si="8"/>
        <v>1</v>
      </c>
    </row>
    <row r="534" spans="1:5" x14ac:dyDescent="0.35">
      <c r="A534" s="11" t="s">
        <v>721</v>
      </c>
      <c r="B534" s="9" t="s">
        <v>1752</v>
      </c>
      <c r="C534" s="9" t="s">
        <v>1752</v>
      </c>
      <c r="D534" s="9" t="s">
        <v>1752</v>
      </c>
      <c r="E534" s="15">
        <f t="shared" si="8"/>
        <v>1</v>
      </c>
    </row>
    <row r="535" spans="1:5" x14ac:dyDescent="0.35">
      <c r="A535" s="10" t="s">
        <v>722</v>
      </c>
      <c r="B535" s="9" t="s">
        <v>1752</v>
      </c>
      <c r="C535" s="9" t="s">
        <v>1752</v>
      </c>
      <c r="D535" s="9" t="s">
        <v>1752</v>
      </c>
      <c r="E535" s="15">
        <f t="shared" si="8"/>
        <v>1</v>
      </c>
    </row>
    <row r="536" spans="1:5" x14ac:dyDescent="0.35">
      <c r="A536" s="10" t="s">
        <v>723</v>
      </c>
      <c r="B536" s="9" t="s">
        <v>1752</v>
      </c>
      <c r="C536" s="9" t="s">
        <v>1752</v>
      </c>
      <c r="D536" s="9" t="s">
        <v>1752</v>
      </c>
      <c r="E536" s="15">
        <f t="shared" si="8"/>
        <v>1</v>
      </c>
    </row>
    <row r="537" spans="1:5" x14ac:dyDescent="0.35">
      <c r="A537" s="11" t="s">
        <v>724</v>
      </c>
      <c r="B537" s="9" t="s">
        <v>1752</v>
      </c>
      <c r="C537" s="9" t="s">
        <v>1752</v>
      </c>
      <c r="D537" s="9" t="s">
        <v>1752</v>
      </c>
      <c r="E537" s="15">
        <f t="shared" si="8"/>
        <v>1</v>
      </c>
    </row>
    <row r="538" spans="1:5" x14ac:dyDescent="0.35">
      <c r="A538" s="11" t="s">
        <v>725</v>
      </c>
      <c r="B538" s="9" t="s">
        <v>1752</v>
      </c>
      <c r="C538" s="9" t="s">
        <v>1752</v>
      </c>
      <c r="D538" s="9" t="s">
        <v>1752</v>
      </c>
      <c r="E538" s="15">
        <f t="shared" si="8"/>
        <v>1</v>
      </c>
    </row>
    <row r="539" spans="1:5" x14ac:dyDescent="0.35">
      <c r="A539" s="10" t="s">
        <v>726</v>
      </c>
      <c r="B539" s="9" t="s">
        <v>1752</v>
      </c>
      <c r="C539" s="9" t="s">
        <v>1752</v>
      </c>
      <c r="D539" s="9" t="s">
        <v>1752</v>
      </c>
      <c r="E539" s="15">
        <f t="shared" si="8"/>
        <v>1</v>
      </c>
    </row>
    <row r="540" spans="1:5" x14ac:dyDescent="0.35">
      <c r="A540" s="11" t="s">
        <v>727</v>
      </c>
      <c r="B540" s="9" t="s">
        <v>1752</v>
      </c>
      <c r="C540" s="9" t="s">
        <v>1752</v>
      </c>
      <c r="D540" s="9" t="s">
        <v>1752</v>
      </c>
      <c r="E540" s="15">
        <f t="shared" si="8"/>
        <v>1</v>
      </c>
    </row>
    <row r="541" spans="1:5" x14ac:dyDescent="0.35">
      <c r="A541" s="11" t="s">
        <v>728</v>
      </c>
      <c r="B541" s="9" t="s">
        <v>1752</v>
      </c>
      <c r="C541" s="9" t="s">
        <v>1752</v>
      </c>
      <c r="D541" s="9" t="s">
        <v>1752</v>
      </c>
      <c r="E541" s="15">
        <f t="shared" si="8"/>
        <v>1</v>
      </c>
    </row>
    <row r="542" spans="1:5" x14ac:dyDescent="0.35">
      <c r="A542" s="11" t="s">
        <v>729</v>
      </c>
      <c r="B542" s="9" t="s">
        <v>1752</v>
      </c>
      <c r="C542" s="9" t="s">
        <v>1752</v>
      </c>
      <c r="D542" s="9" t="s">
        <v>1752</v>
      </c>
      <c r="E542" s="15">
        <f t="shared" si="8"/>
        <v>1</v>
      </c>
    </row>
    <row r="543" spans="1:5" x14ac:dyDescent="0.35">
      <c r="A543" s="10" t="s">
        <v>730</v>
      </c>
      <c r="B543" s="9" t="s">
        <v>1752</v>
      </c>
      <c r="C543" s="9" t="s">
        <v>1752</v>
      </c>
      <c r="D543" s="9" t="s">
        <v>1752</v>
      </c>
      <c r="E543" s="15">
        <f t="shared" si="8"/>
        <v>1</v>
      </c>
    </row>
    <row r="544" spans="1:5" x14ac:dyDescent="0.35">
      <c r="A544" s="11" t="s">
        <v>731</v>
      </c>
      <c r="B544" s="9" t="s">
        <v>1752</v>
      </c>
      <c r="C544" s="9" t="s">
        <v>1752</v>
      </c>
      <c r="D544" s="9" t="s">
        <v>1752</v>
      </c>
      <c r="E544" s="15">
        <f t="shared" si="8"/>
        <v>1</v>
      </c>
    </row>
    <row r="545" spans="1:5" x14ac:dyDescent="0.35">
      <c r="A545" s="10" t="s">
        <v>732</v>
      </c>
      <c r="B545" s="9" t="s">
        <v>1752</v>
      </c>
      <c r="C545" s="9" t="s">
        <v>1752</v>
      </c>
      <c r="D545" s="9" t="s">
        <v>1752</v>
      </c>
      <c r="E545" s="15">
        <f t="shared" si="8"/>
        <v>1</v>
      </c>
    </row>
    <row r="546" spans="1:5" x14ac:dyDescent="0.35">
      <c r="A546" s="11" t="s">
        <v>733</v>
      </c>
      <c r="B546" s="9" t="s">
        <v>1752</v>
      </c>
      <c r="C546" s="9" t="s">
        <v>1752</v>
      </c>
      <c r="D546" s="9" t="s">
        <v>1752</v>
      </c>
      <c r="E546" s="15">
        <f t="shared" si="8"/>
        <v>1</v>
      </c>
    </row>
    <row r="547" spans="1:5" x14ac:dyDescent="0.35">
      <c r="A547" s="11" t="s">
        <v>734</v>
      </c>
      <c r="B547" s="9" t="s">
        <v>1752</v>
      </c>
      <c r="C547" s="9" t="s">
        <v>1752</v>
      </c>
      <c r="D547" s="9" t="s">
        <v>1752</v>
      </c>
      <c r="E547" s="15">
        <f t="shared" si="8"/>
        <v>1</v>
      </c>
    </row>
    <row r="548" spans="1:5" x14ac:dyDescent="0.35">
      <c r="A548" s="10" t="s">
        <v>735</v>
      </c>
      <c r="B548" s="9" t="s">
        <v>1752</v>
      </c>
      <c r="C548" s="9" t="s">
        <v>1752</v>
      </c>
      <c r="D548" s="9" t="s">
        <v>1752</v>
      </c>
      <c r="E548" s="15">
        <f t="shared" si="8"/>
        <v>1</v>
      </c>
    </row>
    <row r="549" spans="1:5" x14ac:dyDescent="0.35">
      <c r="A549" s="11" t="s">
        <v>736</v>
      </c>
      <c r="B549" s="9" t="s">
        <v>1752</v>
      </c>
      <c r="C549" s="9" t="s">
        <v>1752</v>
      </c>
      <c r="D549" s="9" t="s">
        <v>1752</v>
      </c>
      <c r="E549" s="15">
        <f t="shared" si="8"/>
        <v>1</v>
      </c>
    </row>
    <row r="550" spans="1:5" x14ac:dyDescent="0.35">
      <c r="A550" s="11" t="s">
        <v>737</v>
      </c>
      <c r="B550" s="9" t="s">
        <v>1827</v>
      </c>
      <c r="C550" s="9" t="s">
        <v>1752</v>
      </c>
      <c r="D550" s="9" t="s">
        <v>1827</v>
      </c>
      <c r="E550" s="15">
        <f t="shared" si="8"/>
        <v>1</v>
      </c>
    </row>
    <row r="551" spans="1:5" x14ac:dyDescent="0.35">
      <c r="A551" s="11" t="s">
        <v>738</v>
      </c>
      <c r="B551" s="9" t="s">
        <v>1752</v>
      </c>
      <c r="C551" s="9" t="s">
        <v>1752</v>
      </c>
      <c r="D551" s="9" t="s">
        <v>1752</v>
      </c>
      <c r="E551" s="15">
        <f t="shared" si="8"/>
        <v>1</v>
      </c>
    </row>
    <row r="552" spans="1:5" x14ac:dyDescent="0.35">
      <c r="A552" s="11" t="s">
        <v>739</v>
      </c>
      <c r="B552" s="9" t="s">
        <v>1752</v>
      </c>
      <c r="C552" s="9" t="s">
        <v>1752</v>
      </c>
      <c r="D552" s="9" t="s">
        <v>1752</v>
      </c>
      <c r="E552" s="15">
        <f t="shared" si="8"/>
        <v>1</v>
      </c>
    </row>
    <row r="553" spans="1:5" x14ac:dyDescent="0.35">
      <c r="A553" s="10" t="s">
        <v>740</v>
      </c>
      <c r="B553" s="9" t="s">
        <v>1752</v>
      </c>
      <c r="C553" s="9" t="s">
        <v>1752</v>
      </c>
      <c r="D553" s="9" t="s">
        <v>1752</v>
      </c>
      <c r="E553" s="15">
        <f t="shared" si="8"/>
        <v>1</v>
      </c>
    </row>
    <row r="554" spans="1:5" x14ac:dyDescent="0.35">
      <c r="A554" s="11" t="s">
        <v>741</v>
      </c>
      <c r="B554" s="9" t="s">
        <v>1752</v>
      </c>
      <c r="C554" s="9" t="s">
        <v>1752</v>
      </c>
      <c r="D554" s="9" t="s">
        <v>1752</v>
      </c>
      <c r="E554" s="15">
        <f t="shared" si="8"/>
        <v>1</v>
      </c>
    </row>
    <row r="555" spans="1:5" x14ac:dyDescent="0.35">
      <c r="A555" s="11" t="s">
        <v>742</v>
      </c>
      <c r="B555" s="9" t="s">
        <v>1752</v>
      </c>
      <c r="C555" s="9" t="s">
        <v>1752</v>
      </c>
      <c r="D555" s="9" t="s">
        <v>1752</v>
      </c>
      <c r="E555" s="15">
        <f t="shared" si="8"/>
        <v>1</v>
      </c>
    </row>
    <row r="556" spans="1:5" x14ac:dyDescent="0.35">
      <c r="A556" s="11" t="s">
        <v>743</v>
      </c>
      <c r="B556" s="9" t="s">
        <v>1752</v>
      </c>
      <c r="C556" s="9" t="s">
        <v>1752</v>
      </c>
      <c r="D556" s="9" t="s">
        <v>1752</v>
      </c>
      <c r="E556" s="15">
        <f t="shared" si="8"/>
        <v>1</v>
      </c>
    </row>
    <row r="557" spans="1:5" x14ac:dyDescent="0.35">
      <c r="A557" s="10" t="s">
        <v>744</v>
      </c>
      <c r="B557" s="9" t="s">
        <v>1752</v>
      </c>
      <c r="C557" s="9" t="s">
        <v>1752</v>
      </c>
      <c r="D557" s="9" t="s">
        <v>1752</v>
      </c>
      <c r="E557" s="15">
        <f t="shared" si="8"/>
        <v>1</v>
      </c>
    </row>
    <row r="558" spans="1:5" x14ac:dyDescent="0.35">
      <c r="A558" s="11" t="s">
        <v>745</v>
      </c>
      <c r="B558" s="9" t="s">
        <v>1752</v>
      </c>
      <c r="C558" s="9" t="s">
        <v>1752</v>
      </c>
      <c r="D558" s="9" t="s">
        <v>1752</v>
      </c>
      <c r="E558" s="15">
        <f t="shared" si="8"/>
        <v>1</v>
      </c>
    </row>
    <row r="559" spans="1:5" x14ac:dyDescent="0.35">
      <c r="A559" s="10" t="s">
        <v>746</v>
      </c>
      <c r="B559" s="9" t="s">
        <v>1752</v>
      </c>
      <c r="C559" s="9" t="s">
        <v>1752</v>
      </c>
      <c r="D559" s="9" t="s">
        <v>1752</v>
      </c>
      <c r="E559" s="15">
        <f t="shared" si="8"/>
        <v>1</v>
      </c>
    </row>
    <row r="560" spans="1:5" x14ac:dyDescent="0.35">
      <c r="A560" s="11" t="s">
        <v>747</v>
      </c>
      <c r="B560" s="9" t="s">
        <v>1752</v>
      </c>
      <c r="C560" s="9" t="s">
        <v>1752</v>
      </c>
      <c r="D560" s="9" t="s">
        <v>1752</v>
      </c>
      <c r="E560" s="15">
        <f t="shared" si="8"/>
        <v>1</v>
      </c>
    </row>
    <row r="561" spans="1:5" x14ac:dyDescent="0.35">
      <c r="A561" s="11" t="s">
        <v>748</v>
      </c>
      <c r="B561" s="9" t="s">
        <v>1752</v>
      </c>
      <c r="C561" s="9" t="s">
        <v>1752</v>
      </c>
      <c r="D561" s="9" t="s">
        <v>1752</v>
      </c>
      <c r="E561" s="15">
        <f t="shared" si="8"/>
        <v>1</v>
      </c>
    </row>
    <row r="562" spans="1:5" x14ac:dyDescent="0.35">
      <c r="A562" s="10" t="s">
        <v>749</v>
      </c>
      <c r="B562" s="9" t="s">
        <v>1827</v>
      </c>
      <c r="C562" s="9" t="s">
        <v>1752</v>
      </c>
      <c r="D562" s="9" t="s">
        <v>1752</v>
      </c>
      <c r="E562" s="15">
        <f t="shared" si="8"/>
        <v>1</v>
      </c>
    </row>
    <row r="563" spans="1:5" x14ac:dyDescent="0.35">
      <c r="A563" s="10" t="s">
        <v>750</v>
      </c>
      <c r="B563" s="9" t="s">
        <v>1752</v>
      </c>
      <c r="C563" s="9" t="s">
        <v>1752</v>
      </c>
      <c r="D563" s="9" t="s">
        <v>1752</v>
      </c>
      <c r="E563" s="15">
        <f t="shared" si="8"/>
        <v>1</v>
      </c>
    </row>
    <row r="564" spans="1:5" x14ac:dyDescent="0.35">
      <c r="A564" s="10" t="s">
        <v>751</v>
      </c>
      <c r="B564" s="9" t="s">
        <v>1827</v>
      </c>
      <c r="C564" s="9" t="s">
        <v>1752</v>
      </c>
      <c r="D564" s="9" t="s">
        <v>1752</v>
      </c>
      <c r="E564" s="15">
        <f t="shared" si="8"/>
        <v>1</v>
      </c>
    </row>
    <row r="565" spans="1:5" x14ac:dyDescent="0.35">
      <c r="A565" s="11" t="s">
        <v>752</v>
      </c>
      <c r="B565" s="9" t="s">
        <v>1752</v>
      </c>
      <c r="C565" s="9" t="s">
        <v>1752</v>
      </c>
      <c r="D565" s="9" t="s">
        <v>1752</v>
      </c>
      <c r="E565" s="15">
        <f t="shared" si="8"/>
        <v>1</v>
      </c>
    </row>
    <row r="566" spans="1:5" x14ac:dyDescent="0.35">
      <c r="A566" s="10" t="s">
        <v>753</v>
      </c>
      <c r="B566" s="9" t="s">
        <v>1752</v>
      </c>
      <c r="C566" s="9" t="s">
        <v>1752</v>
      </c>
      <c r="D566" s="9" t="s">
        <v>1752</v>
      </c>
      <c r="E566" s="15">
        <f t="shared" si="8"/>
        <v>1</v>
      </c>
    </row>
    <row r="567" spans="1:5" x14ac:dyDescent="0.35">
      <c r="A567" s="11" t="s">
        <v>754</v>
      </c>
      <c r="B567" s="9" t="s">
        <v>1752</v>
      </c>
      <c r="C567" s="9" t="s">
        <v>1752</v>
      </c>
      <c r="D567" s="9" t="s">
        <v>1752</v>
      </c>
      <c r="E567" s="15">
        <f t="shared" si="8"/>
        <v>1</v>
      </c>
    </row>
    <row r="568" spans="1:5" x14ac:dyDescent="0.35">
      <c r="A568" s="10" t="s">
        <v>755</v>
      </c>
      <c r="B568" s="9" t="s">
        <v>1752</v>
      </c>
      <c r="C568" s="9" t="s">
        <v>1752</v>
      </c>
      <c r="D568" s="9" t="s">
        <v>1752</v>
      </c>
      <c r="E568" s="15">
        <f t="shared" si="8"/>
        <v>1</v>
      </c>
    </row>
    <row r="569" spans="1:5" x14ac:dyDescent="0.35">
      <c r="A569" s="11" t="s">
        <v>756</v>
      </c>
      <c r="B569" s="9" t="s">
        <v>1752</v>
      </c>
      <c r="C569" s="9" t="s">
        <v>1752</v>
      </c>
      <c r="D569" s="9" t="s">
        <v>1752</v>
      </c>
      <c r="E569" s="15">
        <f t="shared" si="8"/>
        <v>1</v>
      </c>
    </row>
    <row r="570" spans="1:5" x14ac:dyDescent="0.35">
      <c r="A570" s="11" t="s">
        <v>757</v>
      </c>
      <c r="B570" s="9" t="s">
        <v>1752</v>
      </c>
      <c r="C570" s="9" t="s">
        <v>1752</v>
      </c>
      <c r="D570" s="9" t="s">
        <v>1752</v>
      </c>
      <c r="E570" s="15">
        <f t="shared" si="8"/>
        <v>1</v>
      </c>
    </row>
    <row r="571" spans="1:5" x14ac:dyDescent="0.35">
      <c r="A571" s="10" t="s">
        <v>758</v>
      </c>
      <c r="B571" s="9" t="s">
        <v>1752</v>
      </c>
      <c r="C571" s="9" t="s">
        <v>1752</v>
      </c>
      <c r="D571" s="9" t="s">
        <v>1752</v>
      </c>
      <c r="E571" s="15">
        <f t="shared" si="8"/>
        <v>1</v>
      </c>
    </row>
    <row r="572" spans="1:5" x14ac:dyDescent="0.35">
      <c r="A572" s="11" t="s">
        <v>759</v>
      </c>
      <c r="B572" s="9" t="s">
        <v>1752</v>
      </c>
      <c r="C572" s="9" t="s">
        <v>1752</v>
      </c>
      <c r="D572" s="9" t="s">
        <v>1752</v>
      </c>
      <c r="E572" s="15">
        <f t="shared" si="8"/>
        <v>1</v>
      </c>
    </row>
    <row r="573" spans="1:5" x14ac:dyDescent="0.35">
      <c r="A573" s="10" t="s">
        <v>760</v>
      </c>
      <c r="B573" s="9" t="s">
        <v>1752</v>
      </c>
      <c r="C573" s="9" t="s">
        <v>1752</v>
      </c>
      <c r="D573" s="9" t="s">
        <v>1752</v>
      </c>
      <c r="E573" s="15">
        <f t="shared" si="8"/>
        <v>1</v>
      </c>
    </row>
    <row r="574" spans="1:5" x14ac:dyDescent="0.35">
      <c r="A574" s="10" t="s">
        <v>761</v>
      </c>
      <c r="B574" s="9" t="s">
        <v>1752</v>
      </c>
      <c r="C574" s="9" t="s">
        <v>1752</v>
      </c>
      <c r="D574" s="9" t="s">
        <v>1827</v>
      </c>
      <c r="E574" s="15">
        <f t="shared" si="8"/>
        <v>1</v>
      </c>
    </row>
    <row r="575" spans="1:5" x14ac:dyDescent="0.35">
      <c r="A575" s="11" t="s">
        <v>762</v>
      </c>
      <c r="B575" s="9" t="s">
        <v>1752</v>
      </c>
      <c r="C575" s="9" t="s">
        <v>1752</v>
      </c>
      <c r="D575" s="9" t="s">
        <v>1752</v>
      </c>
      <c r="E575" s="15">
        <f t="shared" si="8"/>
        <v>1</v>
      </c>
    </row>
    <row r="576" spans="1:5" x14ac:dyDescent="0.35">
      <c r="A576" s="10" t="s">
        <v>763</v>
      </c>
      <c r="B576" s="9" t="s">
        <v>1752</v>
      </c>
      <c r="C576" s="9" t="s">
        <v>1752</v>
      </c>
      <c r="D576" s="9" t="s">
        <v>1752</v>
      </c>
      <c r="E576" s="15">
        <f t="shared" si="8"/>
        <v>1</v>
      </c>
    </row>
    <row r="577" spans="1:5" x14ac:dyDescent="0.35">
      <c r="A577" s="11" t="s">
        <v>764</v>
      </c>
      <c r="B577" s="9" t="s">
        <v>1752</v>
      </c>
      <c r="C577" s="9" t="s">
        <v>1752</v>
      </c>
      <c r="D577" s="9" t="s">
        <v>1752</v>
      </c>
      <c r="E577" s="15">
        <f t="shared" si="8"/>
        <v>1</v>
      </c>
    </row>
    <row r="578" spans="1:5" x14ac:dyDescent="0.35">
      <c r="A578" s="10" t="s">
        <v>765</v>
      </c>
      <c r="B578" s="9" t="s">
        <v>1752</v>
      </c>
      <c r="C578" s="9" t="s">
        <v>1752</v>
      </c>
      <c r="D578" s="9" t="s">
        <v>1752</v>
      </c>
      <c r="E578" s="15">
        <f t="shared" si="8"/>
        <v>1</v>
      </c>
    </row>
    <row r="579" spans="1:5" x14ac:dyDescent="0.35">
      <c r="A579" s="11" t="s">
        <v>766</v>
      </c>
      <c r="B579" s="9" t="s">
        <v>1752</v>
      </c>
      <c r="C579" s="9" t="s">
        <v>1752</v>
      </c>
      <c r="D579" s="9" t="s">
        <v>1827</v>
      </c>
      <c r="E579" s="15">
        <f t="shared" ref="E579:E642" si="9">IF(COUNTIF(B579:D579,"Y")&gt;0,1,0)</f>
        <v>1</v>
      </c>
    </row>
    <row r="580" spans="1:5" x14ac:dyDescent="0.35">
      <c r="A580" s="11" t="s">
        <v>767</v>
      </c>
      <c r="B580" s="9" t="s">
        <v>1752</v>
      </c>
      <c r="C580" s="9" t="s">
        <v>1752</v>
      </c>
      <c r="D580" s="9" t="s">
        <v>1752</v>
      </c>
      <c r="E580" s="15">
        <f t="shared" si="9"/>
        <v>1</v>
      </c>
    </row>
    <row r="581" spans="1:5" x14ac:dyDescent="0.35">
      <c r="A581" s="11" t="s">
        <v>768</v>
      </c>
      <c r="B581" s="9" t="s">
        <v>1752</v>
      </c>
      <c r="C581" s="9" t="s">
        <v>1752</v>
      </c>
      <c r="D581" s="9" t="s">
        <v>1752</v>
      </c>
      <c r="E581" s="15">
        <f t="shared" si="9"/>
        <v>1</v>
      </c>
    </row>
    <row r="582" spans="1:5" x14ac:dyDescent="0.35">
      <c r="A582" s="11" t="s">
        <v>769</v>
      </c>
      <c r="B582" s="9" t="s">
        <v>1752</v>
      </c>
      <c r="C582" s="9" t="s">
        <v>1752</v>
      </c>
      <c r="D582" s="9" t="s">
        <v>1827</v>
      </c>
      <c r="E582" s="15">
        <f t="shared" si="9"/>
        <v>1</v>
      </c>
    </row>
    <row r="583" spans="1:5" x14ac:dyDescent="0.35">
      <c r="A583" s="10" t="s">
        <v>770</v>
      </c>
      <c r="B583" s="9" t="s">
        <v>1752</v>
      </c>
      <c r="C583" s="9" t="s">
        <v>1752</v>
      </c>
      <c r="D583" s="9" t="s">
        <v>1752</v>
      </c>
      <c r="E583" s="15">
        <f t="shared" si="9"/>
        <v>1</v>
      </c>
    </row>
    <row r="584" spans="1:5" x14ac:dyDescent="0.35">
      <c r="A584" s="11" t="s">
        <v>771</v>
      </c>
      <c r="B584" s="9" t="s">
        <v>1752</v>
      </c>
      <c r="C584" s="9" t="s">
        <v>1752</v>
      </c>
      <c r="D584" s="9" t="s">
        <v>1752</v>
      </c>
      <c r="E584" s="15">
        <f t="shared" si="9"/>
        <v>1</v>
      </c>
    </row>
    <row r="585" spans="1:5" x14ac:dyDescent="0.35">
      <c r="A585" s="11" t="s">
        <v>772</v>
      </c>
      <c r="B585" s="9" t="s">
        <v>1752</v>
      </c>
      <c r="C585" s="9" t="s">
        <v>1752</v>
      </c>
      <c r="D585" s="9" t="s">
        <v>1752</v>
      </c>
      <c r="E585" s="15">
        <f t="shared" si="9"/>
        <v>1</v>
      </c>
    </row>
    <row r="586" spans="1:5" x14ac:dyDescent="0.35">
      <c r="A586" s="10" t="s">
        <v>773</v>
      </c>
      <c r="B586" s="9" t="s">
        <v>1752</v>
      </c>
      <c r="C586" s="9" t="s">
        <v>1752</v>
      </c>
      <c r="D586" s="9" t="s">
        <v>1752</v>
      </c>
      <c r="E586" s="15">
        <f t="shared" si="9"/>
        <v>1</v>
      </c>
    </row>
    <row r="587" spans="1:5" x14ac:dyDescent="0.35">
      <c r="A587" s="10" t="s">
        <v>774</v>
      </c>
      <c r="B587" s="9" t="s">
        <v>1752</v>
      </c>
      <c r="C587" s="9" t="s">
        <v>1752</v>
      </c>
      <c r="D587" s="9" t="s">
        <v>1752</v>
      </c>
      <c r="E587" s="15">
        <f t="shared" si="9"/>
        <v>1</v>
      </c>
    </row>
    <row r="588" spans="1:5" x14ac:dyDescent="0.35">
      <c r="A588" s="10" t="s">
        <v>775</v>
      </c>
      <c r="B588" s="9" t="s">
        <v>1752</v>
      </c>
      <c r="C588" s="9" t="s">
        <v>1752</v>
      </c>
      <c r="D588" s="9" t="s">
        <v>1752</v>
      </c>
      <c r="E588" s="15">
        <f t="shared" si="9"/>
        <v>1</v>
      </c>
    </row>
    <row r="589" spans="1:5" x14ac:dyDescent="0.35">
      <c r="A589" s="11" t="s">
        <v>776</v>
      </c>
      <c r="B589" s="9" t="s">
        <v>1752</v>
      </c>
      <c r="C589" s="9" t="s">
        <v>1752</v>
      </c>
      <c r="D589" s="9" t="s">
        <v>1752</v>
      </c>
      <c r="E589" s="15">
        <f t="shared" si="9"/>
        <v>1</v>
      </c>
    </row>
    <row r="590" spans="1:5" x14ac:dyDescent="0.35">
      <c r="A590" s="10" t="s">
        <v>777</v>
      </c>
      <c r="B590" s="9" t="s">
        <v>1752</v>
      </c>
      <c r="C590" s="9" t="s">
        <v>1752</v>
      </c>
      <c r="D590" s="9" t="s">
        <v>1752</v>
      </c>
      <c r="E590" s="15">
        <f t="shared" si="9"/>
        <v>1</v>
      </c>
    </row>
    <row r="591" spans="1:5" x14ac:dyDescent="0.35">
      <c r="A591" s="11" t="s">
        <v>778</v>
      </c>
      <c r="B591" s="9" t="s">
        <v>1752</v>
      </c>
      <c r="C591" s="9" t="s">
        <v>1752</v>
      </c>
      <c r="D591" s="9" t="s">
        <v>1752</v>
      </c>
      <c r="E591" s="15">
        <f t="shared" si="9"/>
        <v>1</v>
      </c>
    </row>
    <row r="592" spans="1:5" x14ac:dyDescent="0.35">
      <c r="A592" s="11" t="s">
        <v>779</v>
      </c>
      <c r="B592" s="9" t="s">
        <v>1827</v>
      </c>
      <c r="C592" s="9" t="s">
        <v>1752</v>
      </c>
      <c r="D592" s="9" t="s">
        <v>1752</v>
      </c>
      <c r="E592" s="15">
        <f t="shared" si="9"/>
        <v>1</v>
      </c>
    </row>
    <row r="593" spans="1:5" x14ac:dyDescent="0.35">
      <c r="A593" s="11" t="s">
        <v>780</v>
      </c>
      <c r="B593" s="9" t="s">
        <v>1752</v>
      </c>
      <c r="C593" s="9" t="s">
        <v>1752</v>
      </c>
      <c r="D593" s="9" t="s">
        <v>1752</v>
      </c>
      <c r="E593" s="15">
        <f t="shared" si="9"/>
        <v>1</v>
      </c>
    </row>
    <row r="594" spans="1:5" x14ac:dyDescent="0.35">
      <c r="A594" s="11" t="s">
        <v>781</v>
      </c>
      <c r="B594" s="9" t="s">
        <v>1752</v>
      </c>
      <c r="C594" s="9" t="s">
        <v>1752</v>
      </c>
      <c r="D594" s="9" t="s">
        <v>1752</v>
      </c>
      <c r="E594" s="15">
        <f t="shared" si="9"/>
        <v>1</v>
      </c>
    </row>
    <row r="595" spans="1:5" x14ac:dyDescent="0.35">
      <c r="A595" s="11" t="s">
        <v>782</v>
      </c>
      <c r="B595" s="9" t="s">
        <v>1752</v>
      </c>
      <c r="C595" s="9" t="s">
        <v>1752</v>
      </c>
      <c r="D595" s="9" t="s">
        <v>1752</v>
      </c>
      <c r="E595" s="15">
        <f t="shared" si="9"/>
        <v>1</v>
      </c>
    </row>
    <row r="596" spans="1:5" x14ac:dyDescent="0.35">
      <c r="A596" s="11" t="s">
        <v>783</v>
      </c>
      <c r="B596" s="9" t="s">
        <v>1752</v>
      </c>
      <c r="C596" s="9" t="s">
        <v>1752</v>
      </c>
      <c r="D596" s="9" t="s">
        <v>1752</v>
      </c>
      <c r="E596" s="15">
        <f t="shared" si="9"/>
        <v>1</v>
      </c>
    </row>
    <row r="597" spans="1:5" x14ac:dyDescent="0.35">
      <c r="A597" s="10" t="s">
        <v>784</v>
      </c>
      <c r="B597" s="9" t="s">
        <v>1752</v>
      </c>
      <c r="C597" s="9" t="s">
        <v>1752</v>
      </c>
      <c r="D597" s="9" t="s">
        <v>1752</v>
      </c>
      <c r="E597" s="15">
        <f t="shared" si="9"/>
        <v>1</v>
      </c>
    </row>
    <row r="598" spans="1:5" x14ac:dyDescent="0.35">
      <c r="A598" s="10" t="s">
        <v>785</v>
      </c>
      <c r="B598" s="9" t="s">
        <v>1827</v>
      </c>
      <c r="C598" s="9" t="s">
        <v>1752</v>
      </c>
      <c r="D598" s="9" t="s">
        <v>1752</v>
      </c>
      <c r="E598" s="15">
        <f t="shared" si="9"/>
        <v>1</v>
      </c>
    </row>
    <row r="599" spans="1:5" x14ac:dyDescent="0.35">
      <c r="A599" s="10" t="s">
        <v>786</v>
      </c>
      <c r="B599" s="9" t="s">
        <v>1752</v>
      </c>
      <c r="C599" s="9" t="s">
        <v>1752</v>
      </c>
      <c r="D599" s="9" t="s">
        <v>1752</v>
      </c>
      <c r="E599" s="15">
        <f t="shared" si="9"/>
        <v>1</v>
      </c>
    </row>
    <row r="600" spans="1:5" x14ac:dyDescent="0.35">
      <c r="A600" s="11" t="s">
        <v>787</v>
      </c>
      <c r="B600" s="9" t="s">
        <v>1752</v>
      </c>
      <c r="C600" s="9" t="s">
        <v>1752</v>
      </c>
      <c r="D600" s="9" t="s">
        <v>1752</v>
      </c>
      <c r="E600" s="15">
        <f t="shared" si="9"/>
        <v>1</v>
      </c>
    </row>
    <row r="601" spans="1:5" x14ac:dyDescent="0.35">
      <c r="A601" s="11" t="s">
        <v>788</v>
      </c>
      <c r="B601" s="9" t="s">
        <v>1752</v>
      </c>
      <c r="C601" s="9" t="s">
        <v>1752</v>
      </c>
      <c r="D601" s="9" t="s">
        <v>1752</v>
      </c>
      <c r="E601" s="15">
        <f t="shared" si="9"/>
        <v>1</v>
      </c>
    </row>
    <row r="602" spans="1:5" x14ac:dyDescent="0.35">
      <c r="A602" s="10" t="s">
        <v>789</v>
      </c>
      <c r="B602" s="9" t="s">
        <v>1752</v>
      </c>
      <c r="C602" s="9" t="s">
        <v>1752</v>
      </c>
      <c r="D602" s="9" t="s">
        <v>1752</v>
      </c>
      <c r="E602" s="15">
        <f t="shared" si="9"/>
        <v>1</v>
      </c>
    </row>
    <row r="603" spans="1:5" x14ac:dyDescent="0.35">
      <c r="A603" s="10" t="s">
        <v>790</v>
      </c>
      <c r="B603" s="9" t="s">
        <v>1752</v>
      </c>
      <c r="C603" s="9" t="s">
        <v>1752</v>
      </c>
      <c r="D603" s="9" t="s">
        <v>1752</v>
      </c>
      <c r="E603" s="15">
        <f t="shared" si="9"/>
        <v>1</v>
      </c>
    </row>
    <row r="604" spans="1:5" x14ac:dyDescent="0.35">
      <c r="A604" s="11" t="s">
        <v>791</v>
      </c>
      <c r="B604" s="9" t="s">
        <v>1752</v>
      </c>
      <c r="C604" s="9" t="s">
        <v>1752</v>
      </c>
      <c r="D604" s="9" t="s">
        <v>1752</v>
      </c>
      <c r="E604" s="15">
        <f t="shared" si="9"/>
        <v>1</v>
      </c>
    </row>
    <row r="605" spans="1:5" x14ac:dyDescent="0.35">
      <c r="A605" s="11" t="s">
        <v>792</v>
      </c>
      <c r="B605" s="9" t="s">
        <v>1752</v>
      </c>
      <c r="C605" s="9" t="s">
        <v>1752</v>
      </c>
      <c r="D605" s="9" t="s">
        <v>1752</v>
      </c>
      <c r="E605" s="15">
        <f t="shared" si="9"/>
        <v>1</v>
      </c>
    </row>
    <row r="606" spans="1:5" x14ac:dyDescent="0.35">
      <c r="A606" s="10" t="s">
        <v>793</v>
      </c>
      <c r="B606" s="9" t="s">
        <v>1752</v>
      </c>
      <c r="C606" s="9" t="s">
        <v>1752</v>
      </c>
      <c r="D606" s="9" t="s">
        <v>1752</v>
      </c>
      <c r="E606" s="15">
        <f t="shared" si="9"/>
        <v>1</v>
      </c>
    </row>
    <row r="607" spans="1:5" x14ac:dyDescent="0.35">
      <c r="A607" s="11" t="s">
        <v>794</v>
      </c>
      <c r="B607" s="9" t="s">
        <v>1752</v>
      </c>
      <c r="C607" s="9" t="s">
        <v>1752</v>
      </c>
      <c r="D607" s="9" t="s">
        <v>1752</v>
      </c>
      <c r="E607" s="15">
        <f t="shared" si="9"/>
        <v>1</v>
      </c>
    </row>
    <row r="608" spans="1:5" x14ac:dyDescent="0.35">
      <c r="A608" s="10" t="s">
        <v>795</v>
      </c>
      <c r="B608" s="9" t="s">
        <v>1752</v>
      </c>
      <c r="C608" s="9" t="s">
        <v>1752</v>
      </c>
      <c r="D608" s="9" t="s">
        <v>1752</v>
      </c>
      <c r="E608" s="15">
        <f t="shared" si="9"/>
        <v>1</v>
      </c>
    </row>
    <row r="609" spans="1:5" x14ac:dyDescent="0.35">
      <c r="A609" s="11" t="s">
        <v>796</v>
      </c>
      <c r="B609" s="9" t="s">
        <v>1752</v>
      </c>
      <c r="C609" s="9" t="s">
        <v>1752</v>
      </c>
      <c r="D609" s="9" t="s">
        <v>1752</v>
      </c>
      <c r="E609" s="15">
        <f t="shared" si="9"/>
        <v>1</v>
      </c>
    </row>
    <row r="610" spans="1:5" x14ac:dyDescent="0.35">
      <c r="A610" s="10" t="s">
        <v>797</v>
      </c>
      <c r="B610" s="9" t="s">
        <v>1752</v>
      </c>
      <c r="C610" s="9" t="s">
        <v>1752</v>
      </c>
      <c r="D610" s="9" t="s">
        <v>1752</v>
      </c>
      <c r="E610" s="15">
        <f t="shared" si="9"/>
        <v>1</v>
      </c>
    </row>
    <row r="611" spans="1:5" x14ac:dyDescent="0.35">
      <c r="A611" s="10" t="s">
        <v>798</v>
      </c>
      <c r="B611" s="9" t="s">
        <v>1752</v>
      </c>
      <c r="C611" s="9" t="s">
        <v>1752</v>
      </c>
      <c r="D611" s="9" t="s">
        <v>1752</v>
      </c>
      <c r="E611" s="15">
        <f t="shared" si="9"/>
        <v>1</v>
      </c>
    </row>
    <row r="612" spans="1:5" x14ac:dyDescent="0.35">
      <c r="A612" s="11" t="s">
        <v>799</v>
      </c>
      <c r="B612" s="9" t="s">
        <v>1752</v>
      </c>
      <c r="C612" s="9" t="s">
        <v>1752</v>
      </c>
      <c r="D612" s="9" t="s">
        <v>1752</v>
      </c>
      <c r="E612" s="15">
        <f t="shared" si="9"/>
        <v>1</v>
      </c>
    </row>
    <row r="613" spans="1:5" x14ac:dyDescent="0.35">
      <c r="A613" s="10" t="s">
        <v>800</v>
      </c>
      <c r="B613" s="9" t="s">
        <v>1752</v>
      </c>
      <c r="C613" s="9" t="s">
        <v>1752</v>
      </c>
      <c r="D613" s="9" t="s">
        <v>1752</v>
      </c>
      <c r="E613" s="15">
        <f t="shared" si="9"/>
        <v>1</v>
      </c>
    </row>
    <row r="614" spans="1:5" x14ac:dyDescent="0.35">
      <c r="A614" s="11" t="s">
        <v>801</v>
      </c>
      <c r="B614" s="9" t="s">
        <v>1752</v>
      </c>
      <c r="C614" s="9" t="s">
        <v>1752</v>
      </c>
      <c r="D614" s="9" t="s">
        <v>1752</v>
      </c>
      <c r="E614" s="15">
        <f t="shared" si="9"/>
        <v>1</v>
      </c>
    </row>
    <row r="615" spans="1:5" x14ac:dyDescent="0.35">
      <c r="A615" s="11" t="s">
        <v>802</v>
      </c>
      <c r="B615" s="9" t="s">
        <v>1752</v>
      </c>
      <c r="C615" s="9" t="s">
        <v>1752</v>
      </c>
      <c r="D615" s="9" t="s">
        <v>1752</v>
      </c>
      <c r="E615" s="15">
        <f t="shared" si="9"/>
        <v>1</v>
      </c>
    </row>
    <row r="616" spans="1:5" x14ac:dyDescent="0.35">
      <c r="A616" s="11" t="s">
        <v>803</v>
      </c>
      <c r="B616" s="9" t="s">
        <v>1752</v>
      </c>
      <c r="C616" s="9" t="s">
        <v>1752</v>
      </c>
      <c r="D616" s="9" t="s">
        <v>1752</v>
      </c>
      <c r="E616" s="15">
        <f t="shared" si="9"/>
        <v>1</v>
      </c>
    </row>
    <row r="617" spans="1:5" x14ac:dyDescent="0.35">
      <c r="A617" s="11" t="s">
        <v>804</v>
      </c>
      <c r="B617" s="9" t="s">
        <v>1752</v>
      </c>
      <c r="C617" s="9" t="s">
        <v>1752</v>
      </c>
      <c r="D617" s="9" t="s">
        <v>1827</v>
      </c>
      <c r="E617" s="15">
        <f t="shared" si="9"/>
        <v>1</v>
      </c>
    </row>
    <row r="618" spans="1:5" x14ac:dyDescent="0.35">
      <c r="A618" s="10" t="s">
        <v>805</v>
      </c>
      <c r="B618" s="9" t="s">
        <v>1752</v>
      </c>
      <c r="C618" s="9" t="s">
        <v>1752</v>
      </c>
      <c r="D618" s="9" t="s">
        <v>1752</v>
      </c>
      <c r="E618" s="15">
        <f t="shared" si="9"/>
        <v>1</v>
      </c>
    </row>
    <row r="619" spans="1:5" x14ac:dyDescent="0.35">
      <c r="A619" s="10" t="s">
        <v>806</v>
      </c>
      <c r="B619" s="9" t="s">
        <v>1752</v>
      </c>
      <c r="C619" s="9" t="s">
        <v>1752</v>
      </c>
      <c r="D619" s="9" t="s">
        <v>1752</v>
      </c>
      <c r="E619" s="15">
        <f t="shared" si="9"/>
        <v>1</v>
      </c>
    </row>
    <row r="620" spans="1:5" x14ac:dyDescent="0.35">
      <c r="A620" s="10" t="s">
        <v>807</v>
      </c>
      <c r="B620" s="9" t="s">
        <v>1752</v>
      </c>
      <c r="C620" s="9" t="s">
        <v>1752</v>
      </c>
      <c r="D620" s="9" t="s">
        <v>1752</v>
      </c>
      <c r="E620" s="15">
        <f t="shared" si="9"/>
        <v>1</v>
      </c>
    </row>
    <row r="621" spans="1:5" x14ac:dyDescent="0.35">
      <c r="A621" s="11" t="s">
        <v>808</v>
      </c>
      <c r="B621" s="9" t="s">
        <v>1752</v>
      </c>
      <c r="C621" s="9" t="s">
        <v>1752</v>
      </c>
      <c r="D621" s="9" t="s">
        <v>1752</v>
      </c>
      <c r="E621" s="15">
        <f t="shared" si="9"/>
        <v>1</v>
      </c>
    </row>
    <row r="622" spans="1:5" x14ac:dyDescent="0.35">
      <c r="A622" s="10" t="s">
        <v>809</v>
      </c>
      <c r="B622" s="9" t="s">
        <v>1752</v>
      </c>
      <c r="C622" s="9" t="s">
        <v>1752</v>
      </c>
      <c r="D622" s="9" t="s">
        <v>1752</v>
      </c>
      <c r="E622" s="15">
        <f t="shared" si="9"/>
        <v>1</v>
      </c>
    </row>
    <row r="623" spans="1:5" x14ac:dyDescent="0.35">
      <c r="A623" s="10" t="s">
        <v>810</v>
      </c>
      <c r="B623" s="9" t="s">
        <v>1752</v>
      </c>
      <c r="C623" s="9" t="s">
        <v>1752</v>
      </c>
      <c r="D623" s="9" t="s">
        <v>1752</v>
      </c>
      <c r="E623" s="15">
        <f t="shared" si="9"/>
        <v>1</v>
      </c>
    </row>
    <row r="624" spans="1:5" x14ac:dyDescent="0.35">
      <c r="A624" s="11" t="s">
        <v>811</v>
      </c>
      <c r="B624" s="9" t="s">
        <v>1752</v>
      </c>
      <c r="C624" s="9" t="s">
        <v>1752</v>
      </c>
      <c r="D624" s="9" t="s">
        <v>1752</v>
      </c>
      <c r="E624" s="15">
        <f t="shared" si="9"/>
        <v>1</v>
      </c>
    </row>
    <row r="625" spans="1:5" x14ac:dyDescent="0.35">
      <c r="A625" s="11" t="s">
        <v>812</v>
      </c>
      <c r="B625" s="9" t="s">
        <v>1752</v>
      </c>
      <c r="C625" s="9" t="s">
        <v>1752</v>
      </c>
      <c r="D625" s="9" t="s">
        <v>1752</v>
      </c>
      <c r="E625" s="15">
        <f t="shared" si="9"/>
        <v>1</v>
      </c>
    </row>
    <row r="626" spans="1:5" x14ac:dyDescent="0.35">
      <c r="A626" s="11" t="s">
        <v>813</v>
      </c>
      <c r="B626" s="9" t="s">
        <v>1752</v>
      </c>
      <c r="C626" s="9" t="s">
        <v>1752</v>
      </c>
      <c r="D626" s="9" t="s">
        <v>1752</v>
      </c>
      <c r="E626" s="15">
        <f t="shared" si="9"/>
        <v>1</v>
      </c>
    </row>
    <row r="627" spans="1:5" x14ac:dyDescent="0.35">
      <c r="A627" s="10" t="s">
        <v>814</v>
      </c>
      <c r="B627" s="9" t="s">
        <v>1752</v>
      </c>
      <c r="C627" s="9" t="s">
        <v>1752</v>
      </c>
      <c r="D627" s="9" t="s">
        <v>1752</v>
      </c>
      <c r="E627" s="15">
        <f t="shared" si="9"/>
        <v>1</v>
      </c>
    </row>
    <row r="628" spans="1:5" x14ac:dyDescent="0.35">
      <c r="A628" s="10" t="s">
        <v>815</v>
      </c>
      <c r="B628" s="9" t="s">
        <v>1752</v>
      </c>
      <c r="C628" s="9" t="s">
        <v>1752</v>
      </c>
      <c r="D628" s="9" t="s">
        <v>1752</v>
      </c>
      <c r="E628" s="15">
        <f t="shared" si="9"/>
        <v>1</v>
      </c>
    </row>
    <row r="629" spans="1:5" x14ac:dyDescent="0.35">
      <c r="A629" s="10" t="s">
        <v>816</v>
      </c>
      <c r="B629" s="9" t="s">
        <v>1752</v>
      </c>
      <c r="C629" s="9" t="s">
        <v>1752</v>
      </c>
      <c r="D629" s="9" t="s">
        <v>1752</v>
      </c>
      <c r="E629" s="15">
        <f t="shared" si="9"/>
        <v>1</v>
      </c>
    </row>
    <row r="630" spans="1:5" x14ac:dyDescent="0.35">
      <c r="A630" s="11" t="s">
        <v>817</v>
      </c>
      <c r="B630" s="9" t="s">
        <v>1752</v>
      </c>
      <c r="C630" s="9" t="s">
        <v>1752</v>
      </c>
      <c r="D630" s="9" t="s">
        <v>1752</v>
      </c>
      <c r="E630" s="15">
        <f t="shared" si="9"/>
        <v>1</v>
      </c>
    </row>
    <row r="631" spans="1:5" x14ac:dyDescent="0.35">
      <c r="A631" s="10" t="s">
        <v>818</v>
      </c>
      <c r="B631" s="9" t="s">
        <v>1752</v>
      </c>
      <c r="C631" s="9" t="s">
        <v>1752</v>
      </c>
      <c r="D631" s="9" t="s">
        <v>1752</v>
      </c>
      <c r="E631" s="15">
        <f t="shared" si="9"/>
        <v>1</v>
      </c>
    </row>
    <row r="632" spans="1:5" x14ac:dyDescent="0.35">
      <c r="A632" s="11" t="s">
        <v>819</v>
      </c>
      <c r="B632" s="9" t="s">
        <v>1752</v>
      </c>
      <c r="C632" s="9" t="s">
        <v>1752</v>
      </c>
      <c r="D632" s="9" t="s">
        <v>1827</v>
      </c>
      <c r="E632" s="15">
        <f t="shared" si="9"/>
        <v>1</v>
      </c>
    </row>
    <row r="633" spans="1:5" x14ac:dyDescent="0.35">
      <c r="A633" s="11" t="s">
        <v>820</v>
      </c>
      <c r="B633" s="9" t="s">
        <v>1752</v>
      </c>
      <c r="C633" s="9" t="s">
        <v>1752</v>
      </c>
      <c r="D633" s="9" t="s">
        <v>1752</v>
      </c>
      <c r="E633" s="15">
        <f t="shared" si="9"/>
        <v>1</v>
      </c>
    </row>
    <row r="634" spans="1:5" x14ac:dyDescent="0.35">
      <c r="A634" s="11" t="s">
        <v>821</v>
      </c>
      <c r="B634" s="9" t="s">
        <v>1752</v>
      </c>
      <c r="C634" s="9" t="s">
        <v>1752</v>
      </c>
      <c r="D634" s="9" t="s">
        <v>1752</v>
      </c>
      <c r="E634" s="15">
        <f t="shared" si="9"/>
        <v>1</v>
      </c>
    </row>
    <row r="635" spans="1:5" x14ac:dyDescent="0.35">
      <c r="A635" s="11" t="s">
        <v>822</v>
      </c>
      <c r="B635" s="9" t="s">
        <v>1752</v>
      </c>
      <c r="C635" s="9" t="s">
        <v>1752</v>
      </c>
      <c r="D635" s="9" t="s">
        <v>1752</v>
      </c>
      <c r="E635" s="15">
        <f t="shared" si="9"/>
        <v>1</v>
      </c>
    </row>
    <row r="636" spans="1:5" x14ac:dyDescent="0.35">
      <c r="A636" s="11" t="s">
        <v>823</v>
      </c>
      <c r="B636" s="9" t="s">
        <v>1752</v>
      </c>
      <c r="C636" s="9" t="s">
        <v>1752</v>
      </c>
      <c r="D636" s="9" t="s">
        <v>1752</v>
      </c>
      <c r="E636" s="15">
        <f t="shared" si="9"/>
        <v>1</v>
      </c>
    </row>
    <row r="637" spans="1:5" x14ac:dyDescent="0.35">
      <c r="A637" s="10" t="s">
        <v>824</v>
      </c>
      <c r="B637" s="9" t="s">
        <v>1752</v>
      </c>
      <c r="C637" s="9" t="s">
        <v>1752</v>
      </c>
      <c r="D637" s="9" t="s">
        <v>1752</v>
      </c>
      <c r="E637" s="15">
        <f t="shared" si="9"/>
        <v>1</v>
      </c>
    </row>
    <row r="638" spans="1:5" x14ac:dyDescent="0.35">
      <c r="A638" s="11" t="s">
        <v>825</v>
      </c>
      <c r="B638" s="9" t="s">
        <v>1752</v>
      </c>
      <c r="C638" s="9" t="s">
        <v>1752</v>
      </c>
      <c r="D638" s="9" t="s">
        <v>1752</v>
      </c>
      <c r="E638" s="15">
        <f t="shared" si="9"/>
        <v>1</v>
      </c>
    </row>
    <row r="639" spans="1:5" x14ac:dyDescent="0.35">
      <c r="A639" s="10" t="s">
        <v>826</v>
      </c>
      <c r="B639" s="9" t="s">
        <v>1752</v>
      </c>
      <c r="C639" s="9" t="s">
        <v>1752</v>
      </c>
      <c r="D639" s="9" t="s">
        <v>1752</v>
      </c>
      <c r="E639" s="15">
        <f t="shared" si="9"/>
        <v>1</v>
      </c>
    </row>
    <row r="640" spans="1:5" x14ac:dyDescent="0.35">
      <c r="A640" s="10" t="s">
        <v>827</v>
      </c>
      <c r="B640" s="9" t="s">
        <v>1752</v>
      </c>
      <c r="C640" s="9" t="s">
        <v>1752</v>
      </c>
      <c r="D640" s="9" t="s">
        <v>1752</v>
      </c>
      <c r="E640" s="15">
        <f t="shared" si="9"/>
        <v>1</v>
      </c>
    </row>
    <row r="641" spans="1:5" x14ac:dyDescent="0.35">
      <c r="A641" s="10" t="s">
        <v>828</v>
      </c>
      <c r="B641" s="9" t="s">
        <v>1752</v>
      </c>
      <c r="C641" s="9" t="s">
        <v>1752</v>
      </c>
      <c r="D641" s="9" t="s">
        <v>1752</v>
      </c>
      <c r="E641" s="15">
        <f t="shared" si="9"/>
        <v>1</v>
      </c>
    </row>
    <row r="642" spans="1:5" x14ac:dyDescent="0.35">
      <c r="A642" s="10" t="s">
        <v>829</v>
      </c>
      <c r="B642" s="9" t="s">
        <v>1752</v>
      </c>
      <c r="C642" s="9" t="s">
        <v>1752</v>
      </c>
      <c r="D642" s="9" t="s">
        <v>1752</v>
      </c>
      <c r="E642" s="15">
        <f t="shared" si="9"/>
        <v>1</v>
      </c>
    </row>
    <row r="643" spans="1:5" x14ac:dyDescent="0.35">
      <c r="A643" s="10" t="s">
        <v>830</v>
      </c>
      <c r="B643" s="9" t="s">
        <v>1752</v>
      </c>
      <c r="C643" s="9" t="s">
        <v>1752</v>
      </c>
      <c r="D643" s="9" t="s">
        <v>1752</v>
      </c>
      <c r="E643" s="15">
        <f t="shared" ref="E643:E706" si="10">IF(COUNTIF(B643:D643,"Y")&gt;0,1,0)</f>
        <v>1</v>
      </c>
    </row>
    <row r="644" spans="1:5" x14ac:dyDescent="0.35">
      <c r="A644" s="11" t="s">
        <v>831</v>
      </c>
      <c r="B644" s="9" t="s">
        <v>1752</v>
      </c>
      <c r="C644" s="9" t="s">
        <v>1752</v>
      </c>
      <c r="D644" s="9" t="s">
        <v>1752</v>
      </c>
      <c r="E644" s="15">
        <f t="shared" si="10"/>
        <v>1</v>
      </c>
    </row>
    <row r="645" spans="1:5" x14ac:dyDescent="0.35">
      <c r="A645" s="10" t="s">
        <v>832</v>
      </c>
      <c r="B645" s="9" t="s">
        <v>1752</v>
      </c>
      <c r="C645" s="9" t="s">
        <v>1752</v>
      </c>
      <c r="D645" s="9" t="s">
        <v>1752</v>
      </c>
      <c r="E645" s="15">
        <f t="shared" si="10"/>
        <v>1</v>
      </c>
    </row>
    <row r="646" spans="1:5" x14ac:dyDescent="0.35">
      <c r="A646" s="11" t="s">
        <v>833</v>
      </c>
      <c r="B646" s="9" t="s">
        <v>1752</v>
      </c>
      <c r="C646" s="9" t="s">
        <v>1752</v>
      </c>
      <c r="D646" s="9" t="s">
        <v>1752</v>
      </c>
      <c r="E646" s="15">
        <f t="shared" si="10"/>
        <v>1</v>
      </c>
    </row>
    <row r="647" spans="1:5" x14ac:dyDescent="0.35">
      <c r="A647" s="11" t="s">
        <v>834</v>
      </c>
      <c r="B647" s="9" t="s">
        <v>1752</v>
      </c>
      <c r="C647" s="9" t="s">
        <v>1752</v>
      </c>
      <c r="D647" s="9" t="s">
        <v>1752</v>
      </c>
      <c r="E647" s="15">
        <f t="shared" si="10"/>
        <v>1</v>
      </c>
    </row>
    <row r="648" spans="1:5" x14ac:dyDescent="0.35">
      <c r="A648" s="10" t="s">
        <v>835</v>
      </c>
      <c r="B648" s="9" t="s">
        <v>1752</v>
      </c>
      <c r="C648" s="9" t="s">
        <v>1752</v>
      </c>
      <c r="D648" s="9" t="s">
        <v>1752</v>
      </c>
      <c r="E648" s="15">
        <f t="shared" si="10"/>
        <v>1</v>
      </c>
    </row>
    <row r="649" spans="1:5" x14ac:dyDescent="0.35">
      <c r="A649" s="10" t="s">
        <v>836</v>
      </c>
      <c r="B649" s="9" t="s">
        <v>1752</v>
      </c>
      <c r="C649" s="9" t="s">
        <v>1752</v>
      </c>
      <c r="D649" s="9" t="s">
        <v>1752</v>
      </c>
      <c r="E649" s="15">
        <f t="shared" si="10"/>
        <v>1</v>
      </c>
    </row>
    <row r="650" spans="1:5" x14ac:dyDescent="0.35">
      <c r="A650" s="11" t="s">
        <v>837</v>
      </c>
      <c r="B650" s="9" t="s">
        <v>1752</v>
      </c>
      <c r="C650" s="9" t="s">
        <v>1752</v>
      </c>
      <c r="D650" s="9" t="s">
        <v>1752</v>
      </c>
      <c r="E650" s="15">
        <f t="shared" si="10"/>
        <v>1</v>
      </c>
    </row>
    <row r="651" spans="1:5" x14ac:dyDescent="0.35">
      <c r="A651" s="10" t="s">
        <v>838</v>
      </c>
      <c r="B651" s="9" t="s">
        <v>1752</v>
      </c>
      <c r="C651" s="9" t="s">
        <v>1752</v>
      </c>
      <c r="D651" s="9" t="s">
        <v>1827</v>
      </c>
      <c r="E651" s="15">
        <f t="shared" si="10"/>
        <v>1</v>
      </c>
    </row>
    <row r="652" spans="1:5" x14ac:dyDescent="0.35">
      <c r="A652" s="11" t="s">
        <v>839</v>
      </c>
      <c r="B652" s="9" t="s">
        <v>1752</v>
      </c>
      <c r="C652" s="9" t="s">
        <v>1752</v>
      </c>
      <c r="D652" s="9" t="s">
        <v>1752</v>
      </c>
      <c r="E652" s="15">
        <f t="shared" si="10"/>
        <v>1</v>
      </c>
    </row>
    <row r="653" spans="1:5" x14ac:dyDescent="0.35">
      <c r="A653" s="11" t="s">
        <v>840</v>
      </c>
      <c r="B653" s="9" t="s">
        <v>1752</v>
      </c>
      <c r="C653" s="9" t="s">
        <v>1752</v>
      </c>
      <c r="D653" s="9" t="s">
        <v>1752</v>
      </c>
      <c r="E653" s="15">
        <f t="shared" si="10"/>
        <v>1</v>
      </c>
    </row>
    <row r="654" spans="1:5" x14ac:dyDescent="0.35">
      <c r="A654" s="11" t="s">
        <v>841</v>
      </c>
      <c r="B654" s="9" t="s">
        <v>1752</v>
      </c>
      <c r="C654" s="9" t="s">
        <v>1752</v>
      </c>
      <c r="D654" s="9" t="s">
        <v>1752</v>
      </c>
      <c r="E654" s="15">
        <f t="shared" si="10"/>
        <v>1</v>
      </c>
    </row>
    <row r="655" spans="1:5" x14ac:dyDescent="0.35">
      <c r="A655" s="11" t="s">
        <v>842</v>
      </c>
      <c r="B655" s="9" t="s">
        <v>1752</v>
      </c>
      <c r="C655" s="9" t="s">
        <v>1752</v>
      </c>
      <c r="D655" s="9" t="s">
        <v>1752</v>
      </c>
      <c r="E655" s="15">
        <f t="shared" si="10"/>
        <v>1</v>
      </c>
    </row>
    <row r="656" spans="1:5" x14ac:dyDescent="0.35">
      <c r="A656" s="10" t="s">
        <v>843</v>
      </c>
      <c r="B656" s="9" t="s">
        <v>1752</v>
      </c>
      <c r="C656" s="9" t="s">
        <v>1752</v>
      </c>
      <c r="D656" s="9" t="s">
        <v>1752</v>
      </c>
      <c r="E656" s="15">
        <f t="shared" si="10"/>
        <v>1</v>
      </c>
    </row>
    <row r="657" spans="1:5" x14ac:dyDescent="0.35">
      <c r="A657" s="10" t="s">
        <v>844</v>
      </c>
      <c r="B657" s="9" t="s">
        <v>1752</v>
      </c>
      <c r="C657" s="9" t="s">
        <v>1752</v>
      </c>
      <c r="D657" s="9" t="s">
        <v>1752</v>
      </c>
      <c r="E657" s="15">
        <f t="shared" si="10"/>
        <v>1</v>
      </c>
    </row>
    <row r="658" spans="1:5" x14ac:dyDescent="0.35">
      <c r="A658" s="11" t="s">
        <v>845</v>
      </c>
      <c r="B658" s="9" t="s">
        <v>1752</v>
      </c>
      <c r="C658" s="9" t="s">
        <v>1752</v>
      </c>
      <c r="D658" s="9" t="s">
        <v>1752</v>
      </c>
      <c r="E658" s="15">
        <f t="shared" si="10"/>
        <v>1</v>
      </c>
    </row>
    <row r="659" spans="1:5" x14ac:dyDescent="0.35">
      <c r="A659" s="10" t="s">
        <v>846</v>
      </c>
      <c r="B659" s="9" t="s">
        <v>1752</v>
      </c>
      <c r="C659" s="9" t="s">
        <v>1752</v>
      </c>
      <c r="D659" s="9" t="s">
        <v>1752</v>
      </c>
      <c r="E659" s="15">
        <f t="shared" si="10"/>
        <v>1</v>
      </c>
    </row>
    <row r="660" spans="1:5" x14ac:dyDescent="0.35">
      <c r="A660" s="10" t="s">
        <v>847</v>
      </c>
      <c r="B660" s="9" t="s">
        <v>1752</v>
      </c>
      <c r="C660" s="9" t="s">
        <v>1752</v>
      </c>
      <c r="D660" s="9" t="s">
        <v>1752</v>
      </c>
      <c r="E660" s="15">
        <f t="shared" si="10"/>
        <v>1</v>
      </c>
    </row>
    <row r="661" spans="1:5" x14ac:dyDescent="0.35">
      <c r="A661" s="10" t="s">
        <v>848</v>
      </c>
      <c r="B661" s="9" t="s">
        <v>1752</v>
      </c>
      <c r="C661" s="9" t="s">
        <v>1752</v>
      </c>
      <c r="D661" s="9" t="s">
        <v>1752</v>
      </c>
      <c r="E661" s="15">
        <f t="shared" si="10"/>
        <v>1</v>
      </c>
    </row>
    <row r="662" spans="1:5" x14ac:dyDescent="0.35">
      <c r="A662" s="11" t="s">
        <v>849</v>
      </c>
      <c r="B662" s="9" t="s">
        <v>1752</v>
      </c>
      <c r="C662" s="9" t="s">
        <v>1752</v>
      </c>
      <c r="D662" s="9" t="s">
        <v>1752</v>
      </c>
      <c r="E662" s="15">
        <f t="shared" si="10"/>
        <v>1</v>
      </c>
    </row>
    <row r="663" spans="1:5" x14ac:dyDescent="0.35">
      <c r="A663" s="10" t="s">
        <v>850</v>
      </c>
      <c r="B663" s="9" t="s">
        <v>1752</v>
      </c>
      <c r="C663" s="9" t="s">
        <v>1752</v>
      </c>
      <c r="D663" s="9" t="s">
        <v>1752</v>
      </c>
      <c r="E663" s="15">
        <f t="shared" si="10"/>
        <v>1</v>
      </c>
    </row>
    <row r="664" spans="1:5" x14ac:dyDescent="0.35">
      <c r="A664" s="10" t="s">
        <v>851</v>
      </c>
      <c r="B664" s="9" t="s">
        <v>1752</v>
      </c>
      <c r="C664" s="9" t="s">
        <v>1752</v>
      </c>
      <c r="D664" s="9" t="s">
        <v>1752</v>
      </c>
      <c r="E664" s="15">
        <f t="shared" si="10"/>
        <v>1</v>
      </c>
    </row>
    <row r="665" spans="1:5" x14ac:dyDescent="0.35">
      <c r="A665" s="11" t="s">
        <v>852</v>
      </c>
      <c r="B665" s="9" t="s">
        <v>1752</v>
      </c>
      <c r="C665" s="9" t="s">
        <v>1752</v>
      </c>
      <c r="D665" s="9" t="s">
        <v>1752</v>
      </c>
      <c r="E665" s="15">
        <f t="shared" si="10"/>
        <v>1</v>
      </c>
    </row>
    <row r="666" spans="1:5" x14ac:dyDescent="0.35">
      <c r="A666" s="10" t="s">
        <v>853</v>
      </c>
      <c r="B666" s="9" t="s">
        <v>1752</v>
      </c>
      <c r="C666" s="9" t="s">
        <v>1752</v>
      </c>
      <c r="D666" s="9" t="s">
        <v>1752</v>
      </c>
      <c r="E666" s="15">
        <f t="shared" si="10"/>
        <v>1</v>
      </c>
    </row>
    <row r="667" spans="1:5" x14ac:dyDescent="0.35">
      <c r="A667" s="10" t="s">
        <v>854</v>
      </c>
      <c r="B667" s="9" t="s">
        <v>1752</v>
      </c>
      <c r="C667" s="9" t="s">
        <v>1752</v>
      </c>
      <c r="D667" s="9" t="s">
        <v>1827</v>
      </c>
      <c r="E667" s="15">
        <f t="shared" si="10"/>
        <v>1</v>
      </c>
    </row>
    <row r="668" spans="1:5" x14ac:dyDescent="0.35">
      <c r="A668" s="10" t="s">
        <v>855</v>
      </c>
      <c r="B668" s="9" t="s">
        <v>1752</v>
      </c>
      <c r="C668" s="9" t="s">
        <v>1752</v>
      </c>
      <c r="D668" s="9" t="s">
        <v>1752</v>
      </c>
      <c r="E668" s="15">
        <f t="shared" si="10"/>
        <v>1</v>
      </c>
    </row>
    <row r="669" spans="1:5" x14ac:dyDescent="0.35">
      <c r="A669" s="10" t="s">
        <v>856</v>
      </c>
      <c r="B669" s="9" t="s">
        <v>1752</v>
      </c>
      <c r="C669" s="9" t="s">
        <v>1752</v>
      </c>
      <c r="D669" s="9" t="s">
        <v>1752</v>
      </c>
      <c r="E669" s="15">
        <f t="shared" si="10"/>
        <v>1</v>
      </c>
    </row>
    <row r="670" spans="1:5" x14ac:dyDescent="0.35">
      <c r="A670" s="11" t="s">
        <v>857</v>
      </c>
      <c r="B670" s="9" t="s">
        <v>1827</v>
      </c>
      <c r="C670" s="9" t="s">
        <v>1752</v>
      </c>
      <c r="D670" s="9" t="s">
        <v>1752</v>
      </c>
      <c r="E670" s="15">
        <f t="shared" si="10"/>
        <v>1</v>
      </c>
    </row>
    <row r="671" spans="1:5" x14ac:dyDescent="0.35">
      <c r="A671" s="10" t="s">
        <v>858</v>
      </c>
      <c r="B671" s="9" t="s">
        <v>1752</v>
      </c>
      <c r="C671" s="9" t="s">
        <v>1752</v>
      </c>
      <c r="D671" s="9" t="s">
        <v>1827</v>
      </c>
      <c r="E671" s="15">
        <f t="shared" si="10"/>
        <v>1</v>
      </c>
    </row>
    <row r="672" spans="1:5" x14ac:dyDescent="0.35">
      <c r="A672" s="11" t="s">
        <v>859</v>
      </c>
      <c r="B672" s="9" t="s">
        <v>1752</v>
      </c>
      <c r="C672" s="9" t="s">
        <v>1752</v>
      </c>
      <c r="D672" s="9" t="s">
        <v>1752</v>
      </c>
      <c r="E672" s="15">
        <f t="shared" si="10"/>
        <v>1</v>
      </c>
    </row>
    <row r="673" spans="1:5" x14ac:dyDescent="0.35">
      <c r="A673" s="10" t="s">
        <v>860</v>
      </c>
      <c r="B673" s="9" t="s">
        <v>1752</v>
      </c>
      <c r="C673" s="9" t="s">
        <v>1752</v>
      </c>
      <c r="D673" s="9" t="s">
        <v>1752</v>
      </c>
      <c r="E673" s="15">
        <f t="shared" si="10"/>
        <v>1</v>
      </c>
    </row>
    <row r="674" spans="1:5" x14ac:dyDescent="0.35">
      <c r="A674" s="11" t="s">
        <v>861</v>
      </c>
      <c r="B674" s="9" t="s">
        <v>1752</v>
      </c>
      <c r="C674" s="9" t="s">
        <v>1752</v>
      </c>
      <c r="D674" s="9" t="s">
        <v>1752</v>
      </c>
      <c r="E674" s="15">
        <f t="shared" si="10"/>
        <v>1</v>
      </c>
    </row>
    <row r="675" spans="1:5" x14ac:dyDescent="0.35">
      <c r="A675" s="11" t="s">
        <v>862</v>
      </c>
      <c r="B675" s="9" t="s">
        <v>1752</v>
      </c>
      <c r="C675" s="9" t="s">
        <v>1752</v>
      </c>
      <c r="D675" s="9" t="s">
        <v>1752</v>
      </c>
      <c r="E675" s="15">
        <f t="shared" si="10"/>
        <v>1</v>
      </c>
    </row>
    <row r="676" spans="1:5" x14ac:dyDescent="0.35">
      <c r="A676" s="11" t="s">
        <v>863</v>
      </c>
      <c r="B676" s="9" t="s">
        <v>1752</v>
      </c>
      <c r="C676" s="9" t="s">
        <v>1752</v>
      </c>
      <c r="D676" s="9" t="s">
        <v>1752</v>
      </c>
      <c r="E676" s="15">
        <f t="shared" si="10"/>
        <v>1</v>
      </c>
    </row>
    <row r="677" spans="1:5" x14ac:dyDescent="0.35">
      <c r="A677" s="10" t="s">
        <v>864</v>
      </c>
      <c r="B677" s="9" t="s">
        <v>1752</v>
      </c>
      <c r="C677" s="9" t="s">
        <v>1752</v>
      </c>
      <c r="D677" s="9" t="s">
        <v>1752</v>
      </c>
      <c r="E677" s="15">
        <f t="shared" si="10"/>
        <v>1</v>
      </c>
    </row>
    <row r="678" spans="1:5" x14ac:dyDescent="0.35">
      <c r="A678" s="10" t="s">
        <v>865</v>
      </c>
      <c r="B678" s="9" t="s">
        <v>1752</v>
      </c>
      <c r="C678" s="9" t="s">
        <v>1752</v>
      </c>
      <c r="D678" s="9" t="s">
        <v>1752</v>
      </c>
      <c r="E678" s="15">
        <f t="shared" si="10"/>
        <v>1</v>
      </c>
    </row>
    <row r="679" spans="1:5" x14ac:dyDescent="0.35">
      <c r="A679" s="10" t="s">
        <v>866</v>
      </c>
      <c r="B679" s="9" t="s">
        <v>1752</v>
      </c>
      <c r="C679" s="9" t="s">
        <v>1752</v>
      </c>
      <c r="D679" s="9" t="s">
        <v>1827</v>
      </c>
      <c r="E679" s="15">
        <f t="shared" si="10"/>
        <v>1</v>
      </c>
    </row>
    <row r="680" spans="1:5" x14ac:dyDescent="0.35">
      <c r="A680" s="10" t="s">
        <v>867</v>
      </c>
      <c r="B680" s="9" t="s">
        <v>1752</v>
      </c>
      <c r="C680" s="9" t="s">
        <v>1752</v>
      </c>
      <c r="D680" s="9" t="s">
        <v>1752</v>
      </c>
      <c r="E680" s="15">
        <f t="shared" si="10"/>
        <v>1</v>
      </c>
    </row>
    <row r="681" spans="1:5" x14ac:dyDescent="0.35">
      <c r="A681" s="11" t="s">
        <v>868</v>
      </c>
      <c r="B681" s="9" t="s">
        <v>1752</v>
      </c>
      <c r="C681" s="9" t="s">
        <v>1752</v>
      </c>
      <c r="D681" s="9" t="s">
        <v>1752</v>
      </c>
      <c r="E681" s="15">
        <f t="shared" si="10"/>
        <v>1</v>
      </c>
    </row>
    <row r="682" spans="1:5" x14ac:dyDescent="0.35">
      <c r="A682" s="10" t="s">
        <v>869</v>
      </c>
      <c r="B682" s="9" t="s">
        <v>1752</v>
      </c>
      <c r="C682" s="9" t="s">
        <v>1752</v>
      </c>
      <c r="D682" s="9" t="s">
        <v>1752</v>
      </c>
      <c r="E682" s="15">
        <f t="shared" si="10"/>
        <v>1</v>
      </c>
    </row>
    <row r="683" spans="1:5" x14ac:dyDescent="0.35">
      <c r="A683" s="11" t="s">
        <v>870</v>
      </c>
      <c r="B683" s="9" t="s">
        <v>1752</v>
      </c>
      <c r="C683" s="9" t="s">
        <v>1752</v>
      </c>
      <c r="D683" s="9" t="s">
        <v>1752</v>
      </c>
      <c r="E683" s="15">
        <f t="shared" si="10"/>
        <v>1</v>
      </c>
    </row>
    <row r="684" spans="1:5" x14ac:dyDescent="0.35">
      <c r="A684" s="11" t="s">
        <v>871</v>
      </c>
      <c r="B684" s="9" t="s">
        <v>1752</v>
      </c>
      <c r="C684" s="9" t="s">
        <v>1752</v>
      </c>
      <c r="D684" s="9" t="s">
        <v>1752</v>
      </c>
      <c r="E684" s="15">
        <f t="shared" si="10"/>
        <v>1</v>
      </c>
    </row>
    <row r="685" spans="1:5" x14ac:dyDescent="0.35">
      <c r="A685" s="11" t="s">
        <v>872</v>
      </c>
      <c r="B685" s="9" t="s">
        <v>1752</v>
      </c>
      <c r="C685" s="9" t="s">
        <v>1752</v>
      </c>
      <c r="D685" s="9" t="s">
        <v>1752</v>
      </c>
      <c r="E685" s="15">
        <f t="shared" si="10"/>
        <v>1</v>
      </c>
    </row>
    <row r="686" spans="1:5" x14ac:dyDescent="0.35">
      <c r="A686" s="11" t="s">
        <v>873</v>
      </c>
      <c r="B686" s="9" t="s">
        <v>1752</v>
      </c>
      <c r="C686" s="9" t="s">
        <v>1752</v>
      </c>
      <c r="D686" s="9" t="s">
        <v>1752</v>
      </c>
      <c r="E686" s="15">
        <f t="shared" si="10"/>
        <v>1</v>
      </c>
    </row>
    <row r="687" spans="1:5" x14ac:dyDescent="0.35">
      <c r="A687" s="10" t="s">
        <v>874</v>
      </c>
      <c r="B687" s="9" t="s">
        <v>1752</v>
      </c>
      <c r="C687" s="9" t="s">
        <v>1752</v>
      </c>
      <c r="D687" s="9" t="s">
        <v>1752</v>
      </c>
      <c r="E687" s="15">
        <f t="shared" si="10"/>
        <v>1</v>
      </c>
    </row>
    <row r="688" spans="1:5" x14ac:dyDescent="0.35">
      <c r="A688" s="11" t="s">
        <v>875</v>
      </c>
      <c r="B688" s="9" t="s">
        <v>1752</v>
      </c>
      <c r="C688" s="9" t="s">
        <v>1752</v>
      </c>
      <c r="D688" s="9" t="s">
        <v>1752</v>
      </c>
      <c r="E688" s="15">
        <f t="shared" si="10"/>
        <v>1</v>
      </c>
    </row>
    <row r="689" spans="1:5" x14ac:dyDescent="0.35">
      <c r="A689" s="11" t="s">
        <v>876</v>
      </c>
      <c r="B689" s="9" t="s">
        <v>1752</v>
      </c>
      <c r="C689" s="9" t="s">
        <v>1752</v>
      </c>
      <c r="D689" s="9" t="s">
        <v>1752</v>
      </c>
      <c r="E689" s="15">
        <f t="shared" si="10"/>
        <v>1</v>
      </c>
    </row>
    <row r="690" spans="1:5" x14ac:dyDescent="0.35">
      <c r="A690" s="11" t="s">
        <v>877</v>
      </c>
      <c r="B690" s="9" t="s">
        <v>1752</v>
      </c>
      <c r="C690" s="9" t="s">
        <v>1752</v>
      </c>
      <c r="D690" s="9" t="s">
        <v>1752</v>
      </c>
      <c r="E690" s="15">
        <f t="shared" si="10"/>
        <v>1</v>
      </c>
    </row>
    <row r="691" spans="1:5" x14ac:dyDescent="0.35">
      <c r="A691" s="10" t="s">
        <v>878</v>
      </c>
      <c r="B691" s="9" t="s">
        <v>1752</v>
      </c>
      <c r="C691" s="9" t="s">
        <v>1752</v>
      </c>
      <c r="D691" s="9" t="s">
        <v>1827</v>
      </c>
      <c r="E691" s="15">
        <f t="shared" si="10"/>
        <v>1</v>
      </c>
    </row>
    <row r="692" spans="1:5" x14ac:dyDescent="0.35">
      <c r="A692" s="10" t="s">
        <v>879</v>
      </c>
      <c r="B692" s="9" t="s">
        <v>1752</v>
      </c>
      <c r="C692" s="9" t="s">
        <v>1752</v>
      </c>
      <c r="D692" s="9" t="s">
        <v>1752</v>
      </c>
      <c r="E692" s="15">
        <f t="shared" si="10"/>
        <v>1</v>
      </c>
    </row>
    <row r="693" spans="1:5" x14ac:dyDescent="0.35">
      <c r="A693" s="11" t="s">
        <v>880</v>
      </c>
      <c r="B693" s="9" t="s">
        <v>1752</v>
      </c>
      <c r="C693" s="9" t="s">
        <v>1752</v>
      </c>
      <c r="D693" s="9" t="s">
        <v>1752</v>
      </c>
      <c r="E693" s="15">
        <f t="shared" si="10"/>
        <v>1</v>
      </c>
    </row>
    <row r="694" spans="1:5" x14ac:dyDescent="0.35">
      <c r="A694" s="11" t="s">
        <v>881</v>
      </c>
      <c r="B694" s="9" t="s">
        <v>1752</v>
      </c>
      <c r="C694" s="9" t="s">
        <v>1752</v>
      </c>
      <c r="D694" s="9" t="s">
        <v>1752</v>
      </c>
      <c r="E694" s="15">
        <f t="shared" si="10"/>
        <v>1</v>
      </c>
    </row>
    <row r="695" spans="1:5" x14ac:dyDescent="0.35">
      <c r="A695" s="10" t="s">
        <v>882</v>
      </c>
      <c r="B695" s="9" t="s">
        <v>1752</v>
      </c>
      <c r="C695" s="9" t="s">
        <v>1752</v>
      </c>
      <c r="D695" s="9" t="s">
        <v>1752</v>
      </c>
      <c r="E695" s="15">
        <f t="shared" si="10"/>
        <v>1</v>
      </c>
    </row>
    <row r="696" spans="1:5" x14ac:dyDescent="0.35">
      <c r="A696" s="10" t="s">
        <v>883</v>
      </c>
      <c r="B696" s="9" t="s">
        <v>1752</v>
      </c>
      <c r="C696" s="9" t="s">
        <v>1752</v>
      </c>
      <c r="D696" s="9" t="s">
        <v>1752</v>
      </c>
      <c r="E696" s="15">
        <f t="shared" si="10"/>
        <v>1</v>
      </c>
    </row>
    <row r="697" spans="1:5" x14ac:dyDescent="0.35">
      <c r="A697" s="11" t="s">
        <v>884</v>
      </c>
      <c r="B697" s="9" t="s">
        <v>1752</v>
      </c>
      <c r="C697" s="9" t="s">
        <v>1752</v>
      </c>
      <c r="D697" s="9" t="s">
        <v>1752</v>
      </c>
      <c r="E697" s="15">
        <f t="shared" si="10"/>
        <v>1</v>
      </c>
    </row>
    <row r="698" spans="1:5" x14ac:dyDescent="0.35">
      <c r="A698" s="10" t="s">
        <v>885</v>
      </c>
      <c r="B698" s="9" t="s">
        <v>1752</v>
      </c>
      <c r="C698" s="9" t="s">
        <v>1752</v>
      </c>
      <c r="D698" s="9" t="s">
        <v>1752</v>
      </c>
      <c r="E698" s="15">
        <f t="shared" si="10"/>
        <v>1</v>
      </c>
    </row>
    <row r="699" spans="1:5" x14ac:dyDescent="0.35">
      <c r="A699" s="11" t="s">
        <v>886</v>
      </c>
      <c r="B699" s="9" t="s">
        <v>1752</v>
      </c>
      <c r="C699" s="9" t="s">
        <v>1752</v>
      </c>
      <c r="D699" s="9" t="s">
        <v>1752</v>
      </c>
      <c r="E699" s="15">
        <f t="shared" si="10"/>
        <v>1</v>
      </c>
    </row>
    <row r="700" spans="1:5" x14ac:dyDescent="0.35">
      <c r="A700" s="11" t="s">
        <v>887</v>
      </c>
      <c r="B700" s="9" t="s">
        <v>1752</v>
      </c>
      <c r="C700" s="9" t="s">
        <v>1752</v>
      </c>
      <c r="D700" s="9" t="s">
        <v>1752</v>
      </c>
      <c r="E700" s="15">
        <f t="shared" si="10"/>
        <v>1</v>
      </c>
    </row>
    <row r="701" spans="1:5" x14ac:dyDescent="0.35">
      <c r="A701" s="11" t="s">
        <v>888</v>
      </c>
      <c r="B701" s="9" t="s">
        <v>1752</v>
      </c>
      <c r="C701" s="9" t="s">
        <v>1752</v>
      </c>
      <c r="D701" s="9" t="s">
        <v>1827</v>
      </c>
      <c r="E701" s="15">
        <f t="shared" si="10"/>
        <v>1</v>
      </c>
    </row>
    <row r="702" spans="1:5" x14ac:dyDescent="0.35">
      <c r="A702" s="11" t="s">
        <v>889</v>
      </c>
      <c r="B702" s="9" t="s">
        <v>1752</v>
      </c>
      <c r="C702" s="9" t="s">
        <v>1752</v>
      </c>
      <c r="D702" s="9" t="s">
        <v>1752</v>
      </c>
      <c r="E702" s="15">
        <f t="shared" si="10"/>
        <v>1</v>
      </c>
    </row>
    <row r="703" spans="1:5" x14ac:dyDescent="0.35">
      <c r="A703" s="10" t="s">
        <v>890</v>
      </c>
      <c r="B703" s="9" t="s">
        <v>1752</v>
      </c>
      <c r="C703" s="9" t="s">
        <v>1752</v>
      </c>
      <c r="D703" s="9" t="s">
        <v>1752</v>
      </c>
      <c r="E703" s="15">
        <f t="shared" si="10"/>
        <v>1</v>
      </c>
    </row>
    <row r="704" spans="1:5" x14ac:dyDescent="0.35">
      <c r="A704" s="11" t="s">
        <v>891</v>
      </c>
      <c r="B704" s="9" t="s">
        <v>1752</v>
      </c>
      <c r="C704" s="9" t="s">
        <v>1752</v>
      </c>
      <c r="D704" s="9" t="s">
        <v>1752</v>
      </c>
      <c r="E704" s="15">
        <f t="shared" si="10"/>
        <v>1</v>
      </c>
    </row>
    <row r="705" spans="1:5" x14ac:dyDescent="0.35">
      <c r="A705" s="11" t="s">
        <v>892</v>
      </c>
      <c r="B705" s="9" t="s">
        <v>1752</v>
      </c>
      <c r="C705" s="9" t="s">
        <v>1752</v>
      </c>
      <c r="D705" s="9" t="s">
        <v>1752</v>
      </c>
      <c r="E705" s="15">
        <f t="shared" si="10"/>
        <v>1</v>
      </c>
    </row>
    <row r="706" spans="1:5" x14ac:dyDescent="0.35">
      <c r="A706" s="10" t="s">
        <v>893</v>
      </c>
      <c r="B706" s="9" t="s">
        <v>1752</v>
      </c>
      <c r="C706" s="9" t="s">
        <v>1752</v>
      </c>
      <c r="D706" s="9" t="s">
        <v>1752</v>
      </c>
      <c r="E706" s="15">
        <f t="shared" si="10"/>
        <v>1</v>
      </c>
    </row>
    <row r="707" spans="1:5" x14ac:dyDescent="0.35">
      <c r="A707" s="11" t="s">
        <v>894</v>
      </c>
      <c r="B707" s="9" t="s">
        <v>1752</v>
      </c>
      <c r="C707" s="9" t="s">
        <v>1752</v>
      </c>
      <c r="D707" s="9" t="s">
        <v>1752</v>
      </c>
      <c r="E707" s="15">
        <f t="shared" ref="E707:E770" si="11">IF(COUNTIF(B707:D707,"Y")&gt;0,1,0)</f>
        <v>1</v>
      </c>
    </row>
    <row r="708" spans="1:5" x14ac:dyDescent="0.35">
      <c r="A708" s="10" t="s">
        <v>895</v>
      </c>
      <c r="B708" s="9" t="s">
        <v>1752</v>
      </c>
      <c r="C708" s="9" t="s">
        <v>1752</v>
      </c>
      <c r="D708" s="9" t="s">
        <v>1752</v>
      </c>
      <c r="E708" s="15">
        <f t="shared" si="11"/>
        <v>1</v>
      </c>
    </row>
    <row r="709" spans="1:5" x14ac:dyDescent="0.35">
      <c r="A709" s="11" t="s">
        <v>896</v>
      </c>
      <c r="B709" s="9" t="s">
        <v>1752</v>
      </c>
      <c r="C709" s="9" t="s">
        <v>1752</v>
      </c>
      <c r="D709" s="9" t="s">
        <v>1752</v>
      </c>
      <c r="E709" s="15">
        <f t="shared" si="11"/>
        <v>1</v>
      </c>
    </row>
    <row r="710" spans="1:5" x14ac:dyDescent="0.35">
      <c r="A710" s="10" t="s">
        <v>897</v>
      </c>
      <c r="B710" s="9" t="s">
        <v>1752</v>
      </c>
      <c r="C710" s="9" t="s">
        <v>1752</v>
      </c>
      <c r="D710" s="9" t="s">
        <v>1752</v>
      </c>
      <c r="E710" s="15">
        <f t="shared" si="11"/>
        <v>1</v>
      </c>
    </row>
    <row r="711" spans="1:5" x14ac:dyDescent="0.35">
      <c r="A711" s="10" t="s">
        <v>898</v>
      </c>
      <c r="B711" s="9" t="s">
        <v>1827</v>
      </c>
      <c r="C711" s="9" t="s">
        <v>1752</v>
      </c>
      <c r="D711" s="9" t="s">
        <v>1752</v>
      </c>
      <c r="E711" s="15">
        <f t="shared" si="11"/>
        <v>1</v>
      </c>
    </row>
    <row r="712" spans="1:5" x14ac:dyDescent="0.35">
      <c r="A712" s="11" t="s">
        <v>899</v>
      </c>
      <c r="B712" s="9" t="s">
        <v>1752</v>
      </c>
      <c r="C712" s="9" t="s">
        <v>1752</v>
      </c>
      <c r="D712" s="9" t="s">
        <v>1752</v>
      </c>
      <c r="E712" s="15">
        <f t="shared" si="11"/>
        <v>1</v>
      </c>
    </row>
    <row r="713" spans="1:5" x14ac:dyDescent="0.35">
      <c r="A713" s="10" t="s">
        <v>900</v>
      </c>
      <c r="B713" s="9" t="s">
        <v>1752</v>
      </c>
      <c r="C713" s="9" t="s">
        <v>1752</v>
      </c>
      <c r="D713" s="9" t="s">
        <v>1752</v>
      </c>
      <c r="E713" s="15">
        <f t="shared" si="11"/>
        <v>1</v>
      </c>
    </row>
    <row r="714" spans="1:5" x14ac:dyDescent="0.35">
      <c r="A714" s="11" t="s">
        <v>901</v>
      </c>
      <c r="B714" s="9" t="s">
        <v>1752</v>
      </c>
      <c r="C714" s="9" t="s">
        <v>1752</v>
      </c>
      <c r="D714" s="9" t="s">
        <v>1752</v>
      </c>
      <c r="E714" s="15">
        <f t="shared" si="11"/>
        <v>1</v>
      </c>
    </row>
    <row r="715" spans="1:5" x14ac:dyDescent="0.35">
      <c r="A715" s="10" t="s">
        <v>902</v>
      </c>
      <c r="B715" s="9" t="s">
        <v>1752</v>
      </c>
      <c r="C715" s="9" t="s">
        <v>1752</v>
      </c>
      <c r="D715" s="9" t="s">
        <v>1752</v>
      </c>
      <c r="E715" s="15">
        <f t="shared" si="11"/>
        <v>1</v>
      </c>
    </row>
    <row r="716" spans="1:5" x14ac:dyDescent="0.35">
      <c r="A716" s="10" t="s">
        <v>903</v>
      </c>
      <c r="B716" s="9" t="s">
        <v>1752</v>
      </c>
      <c r="C716" s="9" t="s">
        <v>1752</v>
      </c>
      <c r="D716" s="9" t="s">
        <v>1752</v>
      </c>
      <c r="E716" s="15">
        <f t="shared" si="11"/>
        <v>1</v>
      </c>
    </row>
    <row r="717" spans="1:5" x14ac:dyDescent="0.35">
      <c r="A717" s="10" t="s">
        <v>904</v>
      </c>
      <c r="B717" s="9" t="s">
        <v>1752</v>
      </c>
      <c r="C717" s="9" t="s">
        <v>1752</v>
      </c>
      <c r="D717" s="9" t="s">
        <v>1752</v>
      </c>
      <c r="E717" s="15">
        <f t="shared" si="11"/>
        <v>1</v>
      </c>
    </row>
    <row r="718" spans="1:5" x14ac:dyDescent="0.35">
      <c r="A718" s="11" t="s">
        <v>905</v>
      </c>
      <c r="B718" s="9" t="s">
        <v>1752</v>
      </c>
      <c r="C718" s="9" t="s">
        <v>1752</v>
      </c>
      <c r="D718" s="9" t="s">
        <v>1827</v>
      </c>
      <c r="E718" s="15">
        <f t="shared" si="11"/>
        <v>1</v>
      </c>
    </row>
    <row r="719" spans="1:5" x14ac:dyDescent="0.35">
      <c r="A719" s="10" t="s">
        <v>906</v>
      </c>
      <c r="B719" s="9" t="s">
        <v>1752</v>
      </c>
      <c r="C719" s="9" t="s">
        <v>1752</v>
      </c>
      <c r="D719" s="9" t="s">
        <v>1827</v>
      </c>
      <c r="E719" s="15">
        <f t="shared" si="11"/>
        <v>1</v>
      </c>
    </row>
    <row r="720" spans="1:5" x14ac:dyDescent="0.35">
      <c r="A720" s="10" t="s">
        <v>907</v>
      </c>
      <c r="B720" s="9" t="s">
        <v>1752</v>
      </c>
      <c r="C720" s="9" t="s">
        <v>1752</v>
      </c>
      <c r="D720" s="9" t="s">
        <v>1752</v>
      </c>
      <c r="E720" s="15">
        <f t="shared" si="11"/>
        <v>1</v>
      </c>
    </row>
    <row r="721" spans="1:5" x14ac:dyDescent="0.35">
      <c r="A721" s="10" t="s">
        <v>908</v>
      </c>
      <c r="B721" s="9" t="s">
        <v>1827</v>
      </c>
      <c r="C721" s="9" t="s">
        <v>1752</v>
      </c>
      <c r="D721" s="9" t="s">
        <v>1752</v>
      </c>
      <c r="E721" s="15">
        <f t="shared" si="11"/>
        <v>1</v>
      </c>
    </row>
    <row r="722" spans="1:5" x14ac:dyDescent="0.35">
      <c r="A722" s="10" t="s">
        <v>909</v>
      </c>
      <c r="B722" s="9" t="s">
        <v>1752</v>
      </c>
      <c r="C722" s="9" t="s">
        <v>1752</v>
      </c>
      <c r="D722" s="9" t="s">
        <v>1752</v>
      </c>
      <c r="E722" s="15">
        <f t="shared" si="11"/>
        <v>1</v>
      </c>
    </row>
    <row r="723" spans="1:5" x14ac:dyDescent="0.35">
      <c r="A723" s="10" t="s">
        <v>910</v>
      </c>
      <c r="B723" s="9" t="s">
        <v>1752</v>
      </c>
      <c r="C723" s="9" t="s">
        <v>1752</v>
      </c>
      <c r="D723" s="9" t="s">
        <v>1752</v>
      </c>
      <c r="E723" s="15">
        <f t="shared" si="11"/>
        <v>1</v>
      </c>
    </row>
    <row r="724" spans="1:5" x14ac:dyDescent="0.35">
      <c r="A724" s="10" t="s">
        <v>911</v>
      </c>
      <c r="B724" s="9" t="s">
        <v>1752</v>
      </c>
      <c r="C724" s="9" t="s">
        <v>1752</v>
      </c>
      <c r="D724" s="9" t="s">
        <v>1752</v>
      </c>
      <c r="E724" s="15">
        <f t="shared" si="11"/>
        <v>1</v>
      </c>
    </row>
    <row r="725" spans="1:5" x14ac:dyDescent="0.35">
      <c r="A725" s="11" t="s">
        <v>912</v>
      </c>
      <c r="B725" s="9" t="s">
        <v>1752</v>
      </c>
      <c r="C725" s="9" t="s">
        <v>1752</v>
      </c>
      <c r="D725" s="9" t="s">
        <v>1752</v>
      </c>
      <c r="E725" s="15">
        <f t="shared" si="11"/>
        <v>1</v>
      </c>
    </row>
    <row r="726" spans="1:5" x14ac:dyDescent="0.35">
      <c r="A726" s="10" t="s">
        <v>913</v>
      </c>
      <c r="B726" s="9" t="s">
        <v>1752</v>
      </c>
      <c r="C726" s="9" t="s">
        <v>1752</v>
      </c>
      <c r="D726" s="9" t="s">
        <v>1752</v>
      </c>
      <c r="E726" s="15">
        <f t="shared" si="11"/>
        <v>1</v>
      </c>
    </row>
    <row r="727" spans="1:5" x14ac:dyDescent="0.35">
      <c r="A727" s="10" t="s">
        <v>914</v>
      </c>
      <c r="B727" s="9" t="s">
        <v>1752</v>
      </c>
      <c r="C727" s="9" t="s">
        <v>1752</v>
      </c>
      <c r="D727" s="9" t="s">
        <v>1752</v>
      </c>
      <c r="E727" s="15">
        <f t="shared" si="11"/>
        <v>1</v>
      </c>
    </row>
    <row r="728" spans="1:5" x14ac:dyDescent="0.35">
      <c r="A728" s="11" t="s">
        <v>915</v>
      </c>
      <c r="B728" s="9" t="s">
        <v>1752</v>
      </c>
      <c r="C728" s="9" t="s">
        <v>1752</v>
      </c>
      <c r="D728" s="9" t="s">
        <v>1752</v>
      </c>
      <c r="E728" s="15">
        <f t="shared" si="11"/>
        <v>1</v>
      </c>
    </row>
    <row r="729" spans="1:5" x14ac:dyDescent="0.35">
      <c r="A729" s="10" t="s">
        <v>916</v>
      </c>
      <c r="B729" s="9" t="s">
        <v>1752</v>
      </c>
      <c r="C729" s="9" t="s">
        <v>1752</v>
      </c>
      <c r="D729" s="9" t="s">
        <v>1752</v>
      </c>
      <c r="E729" s="15">
        <f t="shared" si="11"/>
        <v>1</v>
      </c>
    </row>
    <row r="730" spans="1:5" x14ac:dyDescent="0.35">
      <c r="A730" s="10" t="s">
        <v>917</v>
      </c>
      <c r="B730" s="9" t="s">
        <v>1752</v>
      </c>
      <c r="C730" s="9" t="s">
        <v>1752</v>
      </c>
      <c r="D730" s="9" t="s">
        <v>1752</v>
      </c>
      <c r="E730" s="15">
        <f t="shared" si="11"/>
        <v>1</v>
      </c>
    </row>
    <row r="731" spans="1:5" x14ac:dyDescent="0.35">
      <c r="A731" s="11" t="s">
        <v>918</v>
      </c>
      <c r="B731" s="9" t="s">
        <v>1752</v>
      </c>
      <c r="C731" s="9" t="s">
        <v>1752</v>
      </c>
      <c r="D731" s="9" t="s">
        <v>1752</v>
      </c>
      <c r="E731" s="15">
        <f t="shared" si="11"/>
        <v>1</v>
      </c>
    </row>
    <row r="732" spans="1:5" x14ac:dyDescent="0.35">
      <c r="A732" s="10" t="s">
        <v>919</v>
      </c>
      <c r="B732" s="9" t="s">
        <v>1752</v>
      </c>
      <c r="C732" s="9" t="s">
        <v>1752</v>
      </c>
      <c r="D732" s="9" t="s">
        <v>1752</v>
      </c>
      <c r="E732" s="15">
        <f t="shared" si="11"/>
        <v>1</v>
      </c>
    </row>
    <row r="733" spans="1:5" x14ac:dyDescent="0.35">
      <c r="A733" s="11" t="s">
        <v>920</v>
      </c>
      <c r="B733" s="9" t="s">
        <v>1752</v>
      </c>
      <c r="C733" s="9" t="s">
        <v>1752</v>
      </c>
      <c r="D733" s="9" t="s">
        <v>1752</v>
      </c>
      <c r="E733" s="15">
        <f t="shared" si="11"/>
        <v>1</v>
      </c>
    </row>
    <row r="734" spans="1:5" x14ac:dyDescent="0.35">
      <c r="A734" s="11" t="s">
        <v>921</v>
      </c>
      <c r="B734" s="9" t="s">
        <v>1752</v>
      </c>
      <c r="C734" s="9" t="s">
        <v>1752</v>
      </c>
      <c r="D734" s="9" t="s">
        <v>1752</v>
      </c>
      <c r="E734" s="15">
        <f t="shared" si="11"/>
        <v>1</v>
      </c>
    </row>
    <row r="735" spans="1:5" x14ac:dyDescent="0.35">
      <c r="A735" s="10" t="s">
        <v>922</v>
      </c>
      <c r="B735" s="9" t="s">
        <v>1752</v>
      </c>
      <c r="C735" s="9" t="s">
        <v>1752</v>
      </c>
      <c r="D735" s="9" t="s">
        <v>1752</v>
      </c>
      <c r="E735" s="15">
        <f t="shared" si="11"/>
        <v>1</v>
      </c>
    </row>
    <row r="736" spans="1:5" x14ac:dyDescent="0.35">
      <c r="A736" s="11" t="s">
        <v>923</v>
      </c>
      <c r="B736" s="9" t="s">
        <v>1752</v>
      </c>
      <c r="C736" s="9" t="s">
        <v>1752</v>
      </c>
      <c r="D736" s="9" t="s">
        <v>1752</v>
      </c>
      <c r="E736" s="15">
        <f t="shared" si="11"/>
        <v>1</v>
      </c>
    </row>
    <row r="737" spans="1:5" x14ac:dyDescent="0.35">
      <c r="A737" s="10" t="s">
        <v>924</v>
      </c>
      <c r="B737" s="9" t="s">
        <v>1752</v>
      </c>
      <c r="C737" s="9" t="s">
        <v>1752</v>
      </c>
      <c r="D737" s="9" t="s">
        <v>1752</v>
      </c>
      <c r="E737" s="15">
        <f t="shared" si="11"/>
        <v>1</v>
      </c>
    </row>
    <row r="738" spans="1:5" x14ac:dyDescent="0.35">
      <c r="A738" s="10" t="s">
        <v>925</v>
      </c>
      <c r="B738" s="9" t="s">
        <v>1752</v>
      </c>
      <c r="C738" s="9" t="s">
        <v>1752</v>
      </c>
      <c r="D738" s="9" t="s">
        <v>1752</v>
      </c>
      <c r="E738" s="15">
        <f t="shared" si="11"/>
        <v>1</v>
      </c>
    </row>
    <row r="739" spans="1:5" x14ac:dyDescent="0.35">
      <c r="A739" s="11" t="s">
        <v>926</v>
      </c>
      <c r="B739" s="9" t="s">
        <v>1752</v>
      </c>
      <c r="C739" s="9" t="s">
        <v>1752</v>
      </c>
      <c r="D739" s="9" t="s">
        <v>1752</v>
      </c>
      <c r="E739" s="15">
        <f t="shared" si="11"/>
        <v>1</v>
      </c>
    </row>
    <row r="740" spans="1:5" x14ac:dyDescent="0.35">
      <c r="A740" s="10" t="s">
        <v>927</v>
      </c>
      <c r="B740" s="9" t="s">
        <v>1752</v>
      </c>
      <c r="C740" s="9" t="s">
        <v>1752</v>
      </c>
      <c r="D740" s="9" t="s">
        <v>1827</v>
      </c>
      <c r="E740" s="15">
        <f t="shared" si="11"/>
        <v>1</v>
      </c>
    </row>
    <row r="741" spans="1:5" x14ac:dyDescent="0.35">
      <c r="A741" s="10" t="s">
        <v>928</v>
      </c>
      <c r="B741" s="9" t="s">
        <v>1752</v>
      </c>
      <c r="C741" s="9" t="s">
        <v>1752</v>
      </c>
      <c r="D741" s="9" t="s">
        <v>1752</v>
      </c>
      <c r="E741" s="15">
        <f t="shared" si="11"/>
        <v>1</v>
      </c>
    </row>
    <row r="742" spans="1:5" x14ac:dyDescent="0.35">
      <c r="A742" s="11" t="s">
        <v>929</v>
      </c>
      <c r="B742" s="9" t="s">
        <v>1752</v>
      </c>
      <c r="C742" s="9" t="s">
        <v>1752</v>
      </c>
      <c r="D742" s="9" t="s">
        <v>1752</v>
      </c>
      <c r="E742" s="15">
        <f t="shared" si="11"/>
        <v>1</v>
      </c>
    </row>
    <row r="743" spans="1:5" x14ac:dyDescent="0.35">
      <c r="A743" s="10" t="s">
        <v>930</v>
      </c>
      <c r="B743" s="9" t="s">
        <v>1752</v>
      </c>
      <c r="C743" s="9" t="s">
        <v>1752</v>
      </c>
      <c r="D743" s="9" t="s">
        <v>1752</v>
      </c>
      <c r="E743" s="15">
        <f t="shared" si="11"/>
        <v>1</v>
      </c>
    </row>
    <row r="744" spans="1:5" x14ac:dyDescent="0.35">
      <c r="A744" s="10" t="s">
        <v>931</v>
      </c>
      <c r="B744" s="9" t="s">
        <v>1752</v>
      </c>
      <c r="C744" s="9" t="s">
        <v>1752</v>
      </c>
      <c r="D744" s="9" t="s">
        <v>1752</v>
      </c>
      <c r="E744" s="15">
        <f t="shared" si="11"/>
        <v>1</v>
      </c>
    </row>
    <row r="745" spans="1:5" x14ac:dyDescent="0.35">
      <c r="A745" s="11" t="s">
        <v>932</v>
      </c>
      <c r="B745" s="9" t="s">
        <v>1752</v>
      </c>
      <c r="C745" s="9" t="s">
        <v>1752</v>
      </c>
      <c r="D745" s="9" t="s">
        <v>1752</v>
      </c>
      <c r="E745" s="15">
        <f t="shared" si="11"/>
        <v>1</v>
      </c>
    </row>
    <row r="746" spans="1:5" x14ac:dyDescent="0.35">
      <c r="A746" s="10" t="s">
        <v>933</v>
      </c>
      <c r="B746" s="9" t="s">
        <v>1752</v>
      </c>
      <c r="C746" s="9" t="s">
        <v>1752</v>
      </c>
      <c r="D746" s="9" t="s">
        <v>1752</v>
      </c>
      <c r="E746" s="15">
        <f t="shared" si="11"/>
        <v>1</v>
      </c>
    </row>
    <row r="747" spans="1:5" x14ac:dyDescent="0.35">
      <c r="A747" s="10" t="s">
        <v>934</v>
      </c>
      <c r="B747" s="9" t="s">
        <v>1827</v>
      </c>
      <c r="C747" s="9" t="s">
        <v>1752</v>
      </c>
      <c r="D747" s="9" t="s">
        <v>1752</v>
      </c>
      <c r="E747" s="15">
        <f t="shared" si="11"/>
        <v>1</v>
      </c>
    </row>
    <row r="748" spans="1:5" x14ac:dyDescent="0.35">
      <c r="A748" s="10" t="s">
        <v>935</v>
      </c>
      <c r="B748" s="9" t="s">
        <v>1752</v>
      </c>
      <c r="C748" s="9" t="s">
        <v>1752</v>
      </c>
      <c r="D748" s="9" t="s">
        <v>1752</v>
      </c>
      <c r="E748" s="15">
        <f t="shared" si="11"/>
        <v>1</v>
      </c>
    </row>
    <row r="749" spans="1:5" x14ac:dyDescent="0.35">
      <c r="A749" s="11" t="s">
        <v>936</v>
      </c>
      <c r="B749" s="9" t="s">
        <v>1752</v>
      </c>
      <c r="C749" s="9" t="s">
        <v>1752</v>
      </c>
      <c r="D749" s="9" t="s">
        <v>1752</v>
      </c>
      <c r="E749" s="15">
        <f t="shared" si="11"/>
        <v>1</v>
      </c>
    </row>
    <row r="750" spans="1:5" x14ac:dyDescent="0.35">
      <c r="A750" s="11" t="s">
        <v>937</v>
      </c>
      <c r="B750" s="9" t="s">
        <v>1752</v>
      </c>
      <c r="C750" s="9" t="s">
        <v>1752</v>
      </c>
      <c r="D750" s="9" t="s">
        <v>1752</v>
      </c>
      <c r="E750" s="15">
        <f t="shared" si="11"/>
        <v>1</v>
      </c>
    </row>
    <row r="751" spans="1:5" x14ac:dyDescent="0.35">
      <c r="A751" s="11" t="s">
        <v>938</v>
      </c>
      <c r="B751" s="9" t="s">
        <v>1752</v>
      </c>
      <c r="C751" s="9" t="s">
        <v>1752</v>
      </c>
      <c r="D751" s="9" t="s">
        <v>1752</v>
      </c>
      <c r="E751" s="15">
        <f t="shared" si="11"/>
        <v>1</v>
      </c>
    </row>
    <row r="752" spans="1:5" x14ac:dyDescent="0.35">
      <c r="A752" s="11" t="s">
        <v>939</v>
      </c>
      <c r="B752" s="9" t="s">
        <v>1752</v>
      </c>
      <c r="C752" s="9" t="s">
        <v>1752</v>
      </c>
      <c r="D752" s="9" t="s">
        <v>1752</v>
      </c>
      <c r="E752" s="15">
        <f t="shared" si="11"/>
        <v>1</v>
      </c>
    </row>
    <row r="753" spans="1:5" x14ac:dyDescent="0.35">
      <c r="A753" s="11" t="s">
        <v>940</v>
      </c>
      <c r="B753" s="9" t="s">
        <v>1752</v>
      </c>
      <c r="C753" s="9" t="s">
        <v>1752</v>
      </c>
      <c r="D753" s="9" t="s">
        <v>1752</v>
      </c>
      <c r="E753" s="15">
        <f t="shared" si="11"/>
        <v>1</v>
      </c>
    </row>
    <row r="754" spans="1:5" x14ac:dyDescent="0.35">
      <c r="A754" s="11" t="s">
        <v>941</v>
      </c>
      <c r="B754" s="9" t="s">
        <v>1752</v>
      </c>
      <c r="C754" s="9" t="s">
        <v>1752</v>
      </c>
      <c r="D754" s="9" t="s">
        <v>1752</v>
      </c>
      <c r="E754" s="15">
        <f t="shared" si="11"/>
        <v>1</v>
      </c>
    </row>
    <row r="755" spans="1:5" x14ac:dyDescent="0.35">
      <c r="A755" s="10" t="s">
        <v>942</v>
      </c>
      <c r="B755" s="9" t="s">
        <v>1752</v>
      </c>
      <c r="C755" s="9" t="s">
        <v>1752</v>
      </c>
      <c r="D755" s="9" t="s">
        <v>1752</v>
      </c>
      <c r="E755" s="15">
        <f t="shared" si="11"/>
        <v>1</v>
      </c>
    </row>
    <row r="756" spans="1:5" x14ac:dyDescent="0.35">
      <c r="A756" s="11" t="s">
        <v>943</v>
      </c>
      <c r="B756" s="9" t="s">
        <v>1827</v>
      </c>
      <c r="C756" s="9" t="s">
        <v>1752</v>
      </c>
      <c r="D756" s="9" t="s">
        <v>1752</v>
      </c>
      <c r="E756" s="15">
        <f t="shared" si="11"/>
        <v>1</v>
      </c>
    </row>
    <row r="757" spans="1:5" x14ac:dyDescent="0.35">
      <c r="A757" s="10" t="s">
        <v>944</v>
      </c>
      <c r="B757" s="9" t="s">
        <v>1752</v>
      </c>
      <c r="C757" s="9" t="s">
        <v>1752</v>
      </c>
      <c r="D757" s="9" t="s">
        <v>1752</v>
      </c>
      <c r="E757" s="15">
        <f t="shared" si="11"/>
        <v>1</v>
      </c>
    </row>
    <row r="758" spans="1:5" x14ac:dyDescent="0.35">
      <c r="A758" s="10" t="s">
        <v>945</v>
      </c>
      <c r="B758" s="9" t="s">
        <v>1752</v>
      </c>
      <c r="C758" s="9" t="s">
        <v>1752</v>
      </c>
      <c r="D758" s="9" t="s">
        <v>1752</v>
      </c>
      <c r="E758" s="15">
        <f t="shared" si="11"/>
        <v>1</v>
      </c>
    </row>
    <row r="759" spans="1:5" x14ac:dyDescent="0.35">
      <c r="A759" s="11" t="s">
        <v>946</v>
      </c>
      <c r="B759" s="9" t="s">
        <v>1752</v>
      </c>
      <c r="C759" s="9" t="s">
        <v>1752</v>
      </c>
      <c r="D759" s="9" t="s">
        <v>1752</v>
      </c>
      <c r="E759" s="15">
        <f t="shared" si="11"/>
        <v>1</v>
      </c>
    </row>
    <row r="760" spans="1:5" x14ac:dyDescent="0.35">
      <c r="A760" s="11" t="s">
        <v>947</v>
      </c>
      <c r="B760" s="9" t="s">
        <v>1752</v>
      </c>
      <c r="C760" s="9" t="s">
        <v>1752</v>
      </c>
      <c r="D760" s="9" t="s">
        <v>1752</v>
      </c>
      <c r="E760" s="15">
        <f t="shared" si="11"/>
        <v>1</v>
      </c>
    </row>
    <row r="761" spans="1:5" x14ac:dyDescent="0.35">
      <c r="A761" s="10" t="s">
        <v>948</v>
      </c>
      <c r="B761" s="9" t="s">
        <v>1752</v>
      </c>
      <c r="C761" s="9" t="s">
        <v>1752</v>
      </c>
      <c r="D761" s="9" t="s">
        <v>1752</v>
      </c>
      <c r="E761" s="15">
        <f t="shared" si="11"/>
        <v>1</v>
      </c>
    </row>
    <row r="762" spans="1:5" x14ac:dyDescent="0.35">
      <c r="A762" s="11" t="s">
        <v>949</v>
      </c>
      <c r="B762" s="9" t="s">
        <v>1752</v>
      </c>
      <c r="C762" s="9" t="s">
        <v>1752</v>
      </c>
      <c r="D762" s="9" t="s">
        <v>1752</v>
      </c>
      <c r="E762" s="15">
        <f t="shared" si="11"/>
        <v>1</v>
      </c>
    </row>
    <row r="763" spans="1:5" x14ac:dyDescent="0.35">
      <c r="A763" s="10" t="s">
        <v>950</v>
      </c>
      <c r="B763" s="9" t="s">
        <v>1752</v>
      </c>
      <c r="C763" s="9" t="s">
        <v>1752</v>
      </c>
      <c r="D763" s="9" t="s">
        <v>1752</v>
      </c>
      <c r="E763" s="15">
        <f t="shared" si="11"/>
        <v>1</v>
      </c>
    </row>
    <row r="764" spans="1:5" x14ac:dyDescent="0.35">
      <c r="A764" s="11" t="s">
        <v>951</v>
      </c>
      <c r="B764" s="9" t="s">
        <v>1752</v>
      </c>
      <c r="C764" s="9" t="s">
        <v>1752</v>
      </c>
      <c r="D764" s="9" t="s">
        <v>1752</v>
      </c>
      <c r="E764" s="15">
        <f t="shared" si="11"/>
        <v>1</v>
      </c>
    </row>
    <row r="765" spans="1:5" x14ac:dyDescent="0.35">
      <c r="A765" s="10" t="s">
        <v>952</v>
      </c>
      <c r="B765" s="9" t="s">
        <v>1752</v>
      </c>
      <c r="C765" s="9" t="s">
        <v>1752</v>
      </c>
      <c r="D765" s="9" t="s">
        <v>1752</v>
      </c>
      <c r="E765" s="15">
        <f t="shared" si="11"/>
        <v>1</v>
      </c>
    </row>
    <row r="766" spans="1:5" x14ac:dyDescent="0.35">
      <c r="A766" s="10" t="s">
        <v>953</v>
      </c>
      <c r="B766" s="9" t="s">
        <v>1752</v>
      </c>
      <c r="C766" s="9" t="s">
        <v>1752</v>
      </c>
      <c r="D766" s="9" t="s">
        <v>1752</v>
      </c>
      <c r="E766" s="15">
        <f t="shared" si="11"/>
        <v>1</v>
      </c>
    </row>
    <row r="767" spans="1:5" x14ac:dyDescent="0.35">
      <c r="A767" s="10" t="s">
        <v>954</v>
      </c>
      <c r="B767" s="9" t="s">
        <v>1752</v>
      </c>
      <c r="C767" s="9" t="s">
        <v>1752</v>
      </c>
      <c r="D767" s="9" t="s">
        <v>1752</v>
      </c>
      <c r="E767" s="15">
        <f t="shared" si="11"/>
        <v>1</v>
      </c>
    </row>
    <row r="768" spans="1:5" x14ac:dyDescent="0.35">
      <c r="A768" s="11" t="s">
        <v>955</v>
      </c>
      <c r="B768" s="9" t="s">
        <v>1752</v>
      </c>
      <c r="C768" s="9" t="s">
        <v>1752</v>
      </c>
      <c r="D768" s="9" t="s">
        <v>1752</v>
      </c>
      <c r="E768" s="15">
        <f t="shared" si="11"/>
        <v>1</v>
      </c>
    </row>
    <row r="769" spans="1:5" x14ac:dyDescent="0.35">
      <c r="A769" s="10" t="s">
        <v>956</v>
      </c>
      <c r="B769" s="9" t="s">
        <v>1827</v>
      </c>
      <c r="C769" s="9" t="s">
        <v>1752</v>
      </c>
      <c r="D769" s="9" t="s">
        <v>1752</v>
      </c>
      <c r="E769" s="15">
        <f t="shared" si="11"/>
        <v>1</v>
      </c>
    </row>
    <row r="770" spans="1:5" x14ac:dyDescent="0.35">
      <c r="A770" s="11" t="s">
        <v>957</v>
      </c>
      <c r="B770" s="9" t="s">
        <v>1752</v>
      </c>
      <c r="C770" s="9" t="s">
        <v>1752</v>
      </c>
      <c r="D770" s="9" t="s">
        <v>1752</v>
      </c>
      <c r="E770" s="15">
        <f t="shared" si="11"/>
        <v>1</v>
      </c>
    </row>
    <row r="771" spans="1:5" x14ac:dyDescent="0.35">
      <c r="A771" s="11" t="s">
        <v>958</v>
      </c>
      <c r="B771" s="9" t="s">
        <v>1752</v>
      </c>
      <c r="C771" s="9" t="s">
        <v>1752</v>
      </c>
      <c r="D771" s="9" t="s">
        <v>1752</v>
      </c>
      <c r="E771" s="15">
        <f t="shared" ref="E771:E834" si="12">IF(COUNTIF(B771:D771,"Y")&gt;0,1,0)</f>
        <v>1</v>
      </c>
    </row>
    <row r="772" spans="1:5" x14ac:dyDescent="0.35">
      <c r="A772" s="11" t="s">
        <v>959</v>
      </c>
      <c r="B772" s="9" t="s">
        <v>1752</v>
      </c>
      <c r="C772" s="9" t="s">
        <v>1752</v>
      </c>
      <c r="D772" s="9" t="s">
        <v>1752</v>
      </c>
      <c r="E772" s="15">
        <f t="shared" si="12"/>
        <v>1</v>
      </c>
    </row>
    <row r="773" spans="1:5" x14ac:dyDescent="0.35">
      <c r="A773" s="10" t="s">
        <v>960</v>
      </c>
      <c r="B773" s="9" t="s">
        <v>1752</v>
      </c>
      <c r="C773" s="9" t="s">
        <v>1752</v>
      </c>
      <c r="D773" s="9" t="s">
        <v>1752</v>
      </c>
      <c r="E773" s="15">
        <f t="shared" si="12"/>
        <v>1</v>
      </c>
    </row>
    <row r="774" spans="1:5" x14ac:dyDescent="0.35">
      <c r="A774" s="10" t="s">
        <v>961</v>
      </c>
      <c r="B774" s="9" t="s">
        <v>1752</v>
      </c>
      <c r="C774" s="9" t="s">
        <v>1752</v>
      </c>
      <c r="D774" s="9" t="s">
        <v>1752</v>
      </c>
      <c r="E774" s="15">
        <f t="shared" si="12"/>
        <v>1</v>
      </c>
    </row>
    <row r="775" spans="1:5" x14ac:dyDescent="0.35">
      <c r="A775" s="10" t="s">
        <v>962</v>
      </c>
      <c r="B775" s="9" t="s">
        <v>1752</v>
      </c>
      <c r="C775" s="9" t="s">
        <v>1752</v>
      </c>
      <c r="D775" s="9" t="s">
        <v>1752</v>
      </c>
      <c r="E775" s="15">
        <f t="shared" si="12"/>
        <v>1</v>
      </c>
    </row>
    <row r="776" spans="1:5" x14ac:dyDescent="0.35">
      <c r="A776" s="10" t="s">
        <v>963</v>
      </c>
      <c r="B776" s="9" t="s">
        <v>1752</v>
      </c>
      <c r="C776" s="9" t="s">
        <v>1752</v>
      </c>
      <c r="D776" s="9" t="s">
        <v>1752</v>
      </c>
      <c r="E776" s="15">
        <f t="shared" si="12"/>
        <v>1</v>
      </c>
    </row>
    <row r="777" spans="1:5" x14ac:dyDescent="0.35">
      <c r="A777" s="11" t="s">
        <v>964</v>
      </c>
      <c r="B777" s="9" t="s">
        <v>1752</v>
      </c>
      <c r="C777" s="9" t="s">
        <v>1752</v>
      </c>
      <c r="D777" s="9" t="s">
        <v>1752</v>
      </c>
      <c r="E777" s="15">
        <f t="shared" si="12"/>
        <v>1</v>
      </c>
    </row>
    <row r="778" spans="1:5" x14ac:dyDescent="0.35">
      <c r="A778" s="10" t="s">
        <v>965</v>
      </c>
      <c r="B778" s="9" t="s">
        <v>1827</v>
      </c>
      <c r="C778" s="9" t="s">
        <v>1752</v>
      </c>
      <c r="D778" s="9" t="s">
        <v>1752</v>
      </c>
      <c r="E778" s="15">
        <f t="shared" si="12"/>
        <v>1</v>
      </c>
    </row>
    <row r="779" spans="1:5" x14ac:dyDescent="0.35">
      <c r="A779" s="10" t="s">
        <v>966</v>
      </c>
      <c r="B779" s="9" t="s">
        <v>1752</v>
      </c>
      <c r="C779" s="9" t="s">
        <v>1752</v>
      </c>
      <c r="D779" s="9" t="s">
        <v>1752</v>
      </c>
      <c r="E779" s="15">
        <f t="shared" si="12"/>
        <v>1</v>
      </c>
    </row>
    <row r="780" spans="1:5" x14ac:dyDescent="0.35">
      <c r="A780" s="10" t="s">
        <v>967</v>
      </c>
      <c r="B780" s="9" t="s">
        <v>1752</v>
      </c>
      <c r="C780" s="9" t="s">
        <v>1752</v>
      </c>
      <c r="D780" s="9" t="s">
        <v>1752</v>
      </c>
      <c r="E780" s="15">
        <f t="shared" si="12"/>
        <v>1</v>
      </c>
    </row>
    <row r="781" spans="1:5" x14ac:dyDescent="0.35">
      <c r="A781" s="11" t="s">
        <v>968</v>
      </c>
      <c r="B781" s="9" t="s">
        <v>1752</v>
      </c>
      <c r="C781" s="9" t="s">
        <v>1752</v>
      </c>
      <c r="D781" s="9" t="s">
        <v>1752</v>
      </c>
      <c r="E781" s="15">
        <f t="shared" si="12"/>
        <v>1</v>
      </c>
    </row>
    <row r="782" spans="1:5" x14ac:dyDescent="0.35">
      <c r="A782" s="11" t="s">
        <v>969</v>
      </c>
      <c r="B782" s="9" t="s">
        <v>1752</v>
      </c>
      <c r="C782" s="9" t="s">
        <v>1752</v>
      </c>
      <c r="D782" s="9" t="s">
        <v>1752</v>
      </c>
      <c r="E782" s="15">
        <f t="shared" si="12"/>
        <v>1</v>
      </c>
    </row>
    <row r="783" spans="1:5" x14ac:dyDescent="0.35">
      <c r="A783" s="10" t="s">
        <v>970</v>
      </c>
      <c r="B783" s="9" t="s">
        <v>1752</v>
      </c>
      <c r="C783" s="9" t="s">
        <v>1752</v>
      </c>
      <c r="D783" s="9" t="s">
        <v>1752</v>
      </c>
      <c r="E783" s="15">
        <f t="shared" si="12"/>
        <v>1</v>
      </c>
    </row>
    <row r="784" spans="1:5" x14ac:dyDescent="0.35">
      <c r="A784" s="10" t="s">
        <v>971</v>
      </c>
      <c r="B784" s="9" t="s">
        <v>1752</v>
      </c>
      <c r="C784" s="9" t="s">
        <v>1752</v>
      </c>
      <c r="D784" s="9" t="s">
        <v>1752</v>
      </c>
      <c r="E784" s="15">
        <f t="shared" si="12"/>
        <v>1</v>
      </c>
    </row>
    <row r="785" spans="1:5" x14ac:dyDescent="0.35">
      <c r="A785" s="11" t="s">
        <v>972</v>
      </c>
      <c r="B785" s="9" t="s">
        <v>1752</v>
      </c>
      <c r="C785" s="9" t="s">
        <v>1752</v>
      </c>
      <c r="D785" s="9" t="s">
        <v>1752</v>
      </c>
      <c r="E785" s="15">
        <f t="shared" si="12"/>
        <v>1</v>
      </c>
    </row>
    <row r="786" spans="1:5" x14ac:dyDescent="0.35">
      <c r="A786" s="11" t="s">
        <v>973</v>
      </c>
      <c r="B786" s="9" t="s">
        <v>1752</v>
      </c>
      <c r="C786" s="9" t="s">
        <v>1752</v>
      </c>
      <c r="D786" s="9" t="s">
        <v>1752</v>
      </c>
      <c r="E786" s="15">
        <f t="shared" si="12"/>
        <v>1</v>
      </c>
    </row>
    <row r="787" spans="1:5" x14ac:dyDescent="0.35">
      <c r="A787" s="10" t="s">
        <v>974</v>
      </c>
      <c r="B787" s="9" t="s">
        <v>1752</v>
      </c>
      <c r="C787" s="9" t="s">
        <v>1752</v>
      </c>
      <c r="D787" s="9" t="s">
        <v>1752</v>
      </c>
      <c r="E787" s="15">
        <f t="shared" si="12"/>
        <v>1</v>
      </c>
    </row>
    <row r="788" spans="1:5" x14ac:dyDescent="0.35">
      <c r="A788" s="11" t="s">
        <v>975</v>
      </c>
      <c r="B788" s="9" t="s">
        <v>1752</v>
      </c>
      <c r="C788" s="9" t="s">
        <v>1752</v>
      </c>
      <c r="D788" s="9" t="s">
        <v>1752</v>
      </c>
      <c r="E788" s="15">
        <f t="shared" si="12"/>
        <v>1</v>
      </c>
    </row>
    <row r="789" spans="1:5" x14ac:dyDescent="0.35">
      <c r="A789" s="10" t="s">
        <v>976</v>
      </c>
      <c r="B789" s="9" t="s">
        <v>1752</v>
      </c>
      <c r="C789" s="9" t="s">
        <v>1752</v>
      </c>
      <c r="D789" s="9" t="s">
        <v>1752</v>
      </c>
      <c r="E789" s="15">
        <f t="shared" si="12"/>
        <v>1</v>
      </c>
    </row>
    <row r="790" spans="1:5" x14ac:dyDescent="0.35">
      <c r="A790" s="10" t="s">
        <v>977</v>
      </c>
      <c r="B790" s="9" t="s">
        <v>1827</v>
      </c>
      <c r="C790" s="9" t="s">
        <v>1752</v>
      </c>
      <c r="D790" s="9" t="s">
        <v>1752</v>
      </c>
      <c r="E790" s="15">
        <f t="shared" si="12"/>
        <v>1</v>
      </c>
    </row>
    <row r="791" spans="1:5" x14ac:dyDescent="0.35">
      <c r="A791" s="11" t="s">
        <v>978</v>
      </c>
      <c r="B791" s="9" t="s">
        <v>1752</v>
      </c>
      <c r="C791" s="9" t="s">
        <v>1752</v>
      </c>
      <c r="D791" s="9" t="s">
        <v>1752</v>
      </c>
      <c r="E791" s="15">
        <f t="shared" si="12"/>
        <v>1</v>
      </c>
    </row>
    <row r="792" spans="1:5" x14ac:dyDescent="0.35">
      <c r="A792" s="11" t="s">
        <v>979</v>
      </c>
      <c r="B792" s="9" t="s">
        <v>1752</v>
      </c>
      <c r="C792" s="9" t="s">
        <v>1752</v>
      </c>
      <c r="D792" s="9" t="s">
        <v>1752</v>
      </c>
      <c r="E792" s="15">
        <f t="shared" si="12"/>
        <v>1</v>
      </c>
    </row>
    <row r="793" spans="1:5" x14ac:dyDescent="0.35">
      <c r="A793" s="10" t="s">
        <v>980</v>
      </c>
      <c r="B793" s="9" t="s">
        <v>1752</v>
      </c>
      <c r="C793" s="9" t="s">
        <v>1752</v>
      </c>
      <c r="D793" s="9" t="s">
        <v>1752</v>
      </c>
      <c r="E793" s="15">
        <f t="shared" si="12"/>
        <v>1</v>
      </c>
    </row>
    <row r="794" spans="1:5" x14ac:dyDescent="0.35">
      <c r="A794" s="11" t="s">
        <v>981</v>
      </c>
      <c r="B794" s="9" t="s">
        <v>1752</v>
      </c>
      <c r="C794" s="9" t="s">
        <v>1752</v>
      </c>
      <c r="D794" s="9" t="s">
        <v>1752</v>
      </c>
      <c r="E794" s="15">
        <f t="shared" si="12"/>
        <v>1</v>
      </c>
    </row>
    <row r="795" spans="1:5" x14ac:dyDescent="0.35">
      <c r="A795" s="10" t="s">
        <v>982</v>
      </c>
      <c r="B795" s="9" t="s">
        <v>1752</v>
      </c>
      <c r="C795" s="9" t="s">
        <v>1752</v>
      </c>
      <c r="D795" s="9" t="s">
        <v>1752</v>
      </c>
      <c r="E795" s="15">
        <f t="shared" si="12"/>
        <v>1</v>
      </c>
    </row>
    <row r="796" spans="1:5" x14ac:dyDescent="0.35">
      <c r="A796" s="10" t="s">
        <v>983</v>
      </c>
      <c r="B796" s="9" t="s">
        <v>1752</v>
      </c>
      <c r="C796" s="9" t="s">
        <v>1752</v>
      </c>
      <c r="D796" s="9" t="s">
        <v>1752</v>
      </c>
      <c r="E796" s="15">
        <f t="shared" si="12"/>
        <v>1</v>
      </c>
    </row>
    <row r="797" spans="1:5" x14ac:dyDescent="0.35">
      <c r="A797" s="10" t="s">
        <v>984</v>
      </c>
      <c r="B797" s="9" t="s">
        <v>1752</v>
      </c>
      <c r="C797" s="9" t="s">
        <v>1752</v>
      </c>
      <c r="D797" s="9" t="s">
        <v>1752</v>
      </c>
      <c r="E797" s="15">
        <f t="shared" si="12"/>
        <v>1</v>
      </c>
    </row>
    <row r="798" spans="1:5" x14ac:dyDescent="0.35">
      <c r="A798" s="11" t="s">
        <v>985</v>
      </c>
      <c r="B798" s="9" t="s">
        <v>1752</v>
      </c>
      <c r="C798" s="9" t="s">
        <v>1752</v>
      </c>
      <c r="D798" s="9" t="s">
        <v>1752</v>
      </c>
      <c r="E798" s="15">
        <f t="shared" si="12"/>
        <v>1</v>
      </c>
    </row>
    <row r="799" spans="1:5" x14ac:dyDescent="0.35">
      <c r="A799" s="10" t="s">
        <v>986</v>
      </c>
      <c r="B799" s="9" t="s">
        <v>1752</v>
      </c>
      <c r="C799" s="9" t="s">
        <v>1752</v>
      </c>
      <c r="D799" s="9" t="s">
        <v>1752</v>
      </c>
      <c r="E799" s="15">
        <f t="shared" si="12"/>
        <v>1</v>
      </c>
    </row>
    <row r="800" spans="1:5" x14ac:dyDescent="0.35">
      <c r="A800" s="10" t="s">
        <v>987</v>
      </c>
      <c r="B800" s="9" t="s">
        <v>1752</v>
      </c>
      <c r="C800" s="9" t="s">
        <v>1752</v>
      </c>
      <c r="D800" s="9" t="s">
        <v>1752</v>
      </c>
      <c r="E800" s="15">
        <f t="shared" si="12"/>
        <v>1</v>
      </c>
    </row>
    <row r="801" spans="1:5" x14ac:dyDescent="0.35">
      <c r="A801" s="11" t="s">
        <v>988</v>
      </c>
      <c r="B801" s="9" t="s">
        <v>1752</v>
      </c>
      <c r="C801" s="9" t="s">
        <v>1752</v>
      </c>
      <c r="D801" s="9" t="s">
        <v>1752</v>
      </c>
      <c r="E801" s="15">
        <f t="shared" si="12"/>
        <v>1</v>
      </c>
    </row>
    <row r="802" spans="1:5" x14ac:dyDescent="0.35">
      <c r="A802" s="11" t="s">
        <v>989</v>
      </c>
      <c r="B802" s="9" t="s">
        <v>1752</v>
      </c>
      <c r="C802" s="9" t="s">
        <v>1752</v>
      </c>
      <c r="D802" s="9" t="s">
        <v>1752</v>
      </c>
      <c r="E802" s="15">
        <f t="shared" si="12"/>
        <v>1</v>
      </c>
    </row>
    <row r="803" spans="1:5" x14ac:dyDescent="0.35">
      <c r="A803" s="10" t="s">
        <v>990</v>
      </c>
      <c r="B803" s="9" t="s">
        <v>1752</v>
      </c>
      <c r="C803" s="9" t="s">
        <v>1752</v>
      </c>
      <c r="D803" s="9" t="s">
        <v>1752</v>
      </c>
      <c r="E803" s="15">
        <f t="shared" si="12"/>
        <v>1</v>
      </c>
    </row>
    <row r="804" spans="1:5" x14ac:dyDescent="0.35">
      <c r="A804" s="11" t="s">
        <v>991</v>
      </c>
      <c r="B804" s="9" t="s">
        <v>1752</v>
      </c>
      <c r="C804" s="9" t="s">
        <v>1752</v>
      </c>
      <c r="D804" s="9" t="s">
        <v>1752</v>
      </c>
      <c r="E804" s="15">
        <f t="shared" si="12"/>
        <v>1</v>
      </c>
    </row>
    <row r="805" spans="1:5" x14ac:dyDescent="0.35">
      <c r="A805" s="10" t="s">
        <v>992</v>
      </c>
      <c r="B805" s="9" t="s">
        <v>1752</v>
      </c>
      <c r="C805" s="9" t="s">
        <v>1752</v>
      </c>
      <c r="D805" s="9" t="s">
        <v>1752</v>
      </c>
      <c r="E805" s="15">
        <f t="shared" si="12"/>
        <v>1</v>
      </c>
    </row>
    <row r="806" spans="1:5" x14ac:dyDescent="0.35">
      <c r="A806" s="11" t="s">
        <v>993</v>
      </c>
      <c r="B806" s="9" t="s">
        <v>1752</v>
      </c>
      <c r="C806" s="9" t="s">
        <v>1752</v>
      </c>
      <c r="D806" s="9" t="s">
        <v>1752</v>
      </c>
      <c r="E806" s="15">
        <f t="shared" si="12"/>
        <v>1</v>
      </c>
    </row>
    <row r="807" spans="1:5" x14ac:dyDescent="0.35">
      <c r="A807" s="11" t="s">
        <v>994</v>
      </c>
      <c r="B807" s="9" t="s">
        <v>1752</v>
      </c>
      <c r="C807" s="9" t="s">
        <v>1752</v>
      </c>
      <c r="D807" s="9" t="s">
        <v>1752</v>
      </c>
      <c r="E807" s="15">
        <f t="shared" si="12"/>
        <v>1</v>
      </c>
    </row>
    <row r="808" spans="1:5" x14ac:dyDescent="0.35">
      <c r="A808" s="11" t="s">
        <v>995</v>
      </c>
      <c r="B808" s="9" t="s">
        <v>1752</v>
      </c>
      <c r="C808" s="9" t="s">
        <v>1752</v>
      </c>
      <c r="D808" s="9" t="s">
        <v>1752</v>
      </c>
      <c r="E808" s="15">
        <f t="shared" si="12"/>
        <v>1</v>
      </c>
    </row>
    <row r="809" spans="1:5" x14ac:dyDescent="0.35">
      <c r="A809" s="10" t="s">
        <v>996</v>
      </c>
      <c r="B809" s="9" t="s">
        <v>1752</v>
      </c>
      <c r="C809" s="9" t="s">
        <v>1752</v>
      </c>
      <c r="D809" s="9" t="s">
        <v>1752</v>
      </c>
      <c r="E809" s="15">
        <f t="shared" si="12"/>
        <v>1</v>
      </c>
    </row>
    <row r="810" spans="1:5" x14ac:dyDescent="0.35">
      <c r="A810" s="11" t="s">
        <v>997</v>
      </c>
      <c r="B810" s="9" t="s">
        <v>1752</v>
      </c>
      <c r="C810" s="9" t="s">
        <v>1752</v>
      </c>
      <c r="D810" s="9" t="s">
        <v>1752</v>
      </c>
      <c r="E810" s="15">
        <f t="shared" si="12"/>
        <v>1</v>
      </c>
    </row>
    <row r="811" spans="1:5" x14ac:dyDescent="0.35">
      <c r="A811" s="10" t="s">
        <v>998</v>
      </c>
      <c r="B811" s="9" t="s">
        <v>1752</v>
      </c>
      <c r="C811" s="9" t="s">
        <v>1752</v>
      </c>
      <c r="D811" s="9" t="s">
        <v>1752</v>
      </c>
      <c r="E811" s="15">
        <f t="shared" si="12"/>
        <v>1</v>
      </c>
    </row>
    <row r="812" spans="1:5" x14ac:dyDescent="0.35">
      <c r="A812" s="11" t="s">
        <v>999</v>
      </c>
      <c r="B812" s="9" t="s">
        <v>1752</v>
      </c>
      <c r="C812" s="9" t="s">
        <v>1752</v>
      </c>
      <c r="D812" s="9" t="s">
        <v>1752</v>
      </c>
      <c r="E812" s="15">
        <f t="shared" si="12"/>
        <v>1</v>
      </c>
    </row>
    <row r="813" spans="1:5" x14ac:dyDescent="0.35">
      <c r="A813" s="11" t="s">
        <v>1000</v>
      </c>
      <c r="B813" s="9" t="s">
        <v>1752</v>
      </c>
      <c r="C813" s="9" t="s">
        <v>1752</v>
      </c>
      <c r="D813" s="9" t="s">
        <v>1752</v>
      </c>
      <c r="E813" s="15">
        <f t="shared" si="12"/>
        <v>1</v>
      </c>
    </row>
    <row r="814" spans="1:5" x14ac:dyDescent="0.35">
      <c r="A814" s="10" t="s">
        <v>1001</v>
      </c>
      <c r="B814" s="9" t="s">
        <v>1752</v>
      </c>
      <c r="C814" s="9" t="s">
        <v>1752</v>
      </c>
      <c r="D814" s="9" t="s">
        <v>1827</v>
      </c>
      <c r="E814" s="15">
        <f t="shared" si="12"/>
        <v>1</v>
      </c>
    </row>
    <row r="815" spans="1:5" x14ac:dyDescent="0.35">
      <c r="A815" s="10" t="s">
        <v>1002</v>
      </c>
      <c r="B815" s="9" t="s">
        <v>1752</v>
      </c>
      <c r="C815" s="9" t="s">
        <v>1752</v>
      </c>
      <c r="D815" s="9" t="s">
        <v>1752</v>
      </c>
      <c r="E815" s="15">
        <f t="shared" si="12"/>
        <v>1</v>
      </c>
    </row>
    <row r="816" spans="1:5" x14ac:dyDescent="0.35">
      <c r="A816" s="10" t="s">
        <v>1003</v>
      </c>
      <c r="B816" s="9" t="s">
        <v>1752</v>
      </c>
      <c r="C816" s="9" t="s">
        <v>1752</v>
      </c>
      <c r="D816" s="9" t="s">
        <v>1752</v>
      </c>
      <c r="E816" s="15">
        <f t="shared" si="12"/>
        <v>1</v>
      </c>
    </row>
    <row r="817" spans="1:5" x14ac:dyDescent="0.35">
      <c r="A817" s="10" t="s">
        <v>1004</v>
      </c>
      <c r="B817" s="9" t="s">
        <v>1752</v>
      </c>
      <c r="C817" s="9" t="s">
        <v>1752</v>
      </c>
      <c r="D817" s="9" t="s">
        <v>1752</v>
      </c>
      <c r="E817" s="15">
        <f t="shared" si="12"/>
        <v>1</v>
      </c>
    </row>
    <row r="818" spans="1:5" x14ac:dyDescent="0.35">
      <c r="A818" s="10" t="s">
        <v>1005</v>
      </c>
      <c r="B818" s="9" t="s">
        <v>1752</v>
      </c>
      <c r="C818" s="9" t="s">
        <v>1752</v>
      </c>
      <c r="D818" s="9" t="s">
        <v>1752</v>
      </c>
      <c r="E818" s="15">
        <f t="shared" si="12"/>
        <v>1</v>
      </c>
    </row>
    <row r="819" spans="1:5" x14ac:dyDescent="0.35">
      <c r="A819" s="11" t="s">
        <v>1006</v>
      </c>
      <c r="B819" s="9" t="s">
        <v>1827</v>
      </c>
      <c r="C819" s="9" t="s">
        <v>1752</v>
      </c>
      <c r="D819" s="9" t="s">
        <v>1752</v>
      </c>
      <c r="E819" s="15">
        <f t="shared" si="12"/>
        <v>1</v>
      </c>
    </row>
    <row r="820" spans="1:5" x14ac:dyDescent="0.35">
      <c r="A820" s="10" t="s">
        <v>1007</v>
      </c>
      <c r="B820" s="9" t="s">
        <v>1752</v>
      </c>
      <c r="C820" s="9" t="s">
        <v>1752</v>
      </c>
      <c r="D820" s="9" t="s">
        <v>1752</v>
      </c>
      <c r="E820" s="15">
        <f t="shared" si="12"/>
        <v>1</v>
      </c>
    </row>
    <row r="821" spans="1:5" x14ac:dyDescent="0.35">
      <c r="A821" s="11" t="s">
        <v>1008</v>
      </c>
      <c r="B821" s="9" t="s">
        <v>1752</v>
      </c>
      <c r="C821" s="9" t="s">
        <v>1752</v>
      </c>
      <c r="D821" s="9" t="s">
        <v>1752</v>
      </c>
      <c r="E821" s="15">
        <f t="shared" si="12"/>
        <v>1</v>
      </c>
    </row>
    <row r="822" spans="1:5" x14ac:dyDescent="0.35">
      <c r="A822" s="10" t="s">
        <v>1009</v>
      </c>
      <c r="B822" s="9" t="s">
        <v>1752</v>
      </c>
      <c r="C822" s="9" t="s">
        <v>1752</v>
      </c>
      <c r="D822" s="9" t="s">
        <v>1752</v>
      </c>
      <c r="E822" s="15">
        <f t="shared" si="12"/>
        <v>1</v>
      </c>
    </row>
    <row r="823" spans="1:5" x14ac:dyDescent="0.35">
      <c r="A823" s="11" t="s">
        <v>1010</v>
      </c>
      <c r="B823" s="9" t="s">
        <v>1827</v>
      </c>
      <c r="C823" s="9" t="s">
        <v>1752</v>
      </c>
      <c r="D823" s="9" t="s">
        <v>1752</v>
      </c>
      <c r="E823" s="15">
        <f t="shared" si="12"/>
        <v>1</v>
      </c>
    </row>
    <row r="824" spans="1:5" x14ac:dyDescent="0.35">
      <c r="A824" s="10" t="s">
        <v>1011</v>
      </c>
      <c r="B824" s="9" t="s">
        <v>1752</v>
      </c>
      <c r="C824" s="9" t="s">
        <v>1752</v>
      </c>
      <c r="D824" s="9" t="s">
        <v>1752</v>
      </c>
      <c r="E824" s="15">
        <f t="shared" si="12"/>
        <v>1</v>
      </c>
    </row>
    <row r="825" spans="1:5" x14ac:dyDescent="0.35">
      <c r="A825" s="10" t="s">
        <v>1012</v>
      </c>
      <c r="B825" s="9" t="s">
        <v>1752</v>
      </c>
      <c r="C825" s="9" t="s">
        <v>1752</v>
      </c>
      <c r="D825" s="9" t="s">
        <v>1752</v>
      </c>
      <c r="E825" s="15">
        <f t="shared" si="12"/>
        <v>1</v>
      </c>
    </row>
    <row r="826" spans="1:5" x14ac:dyDescent="0.35">
      <c r="A826" s="11" t="s">
        <v>1013</v>
      </c>
      <c r="B826" s="9" t="s">
        <v>1752</v>
      </c>
      <c r="C826" s="9" t="s">
        <v>1752</v>
      </c>
      <c r="D826" s="9" t="s">
        <v>1752</v>
      </c>
      <c r="E826" s="15">
        <f t="shared" si="12"/>
        <v>1</v>
      </c>
    </row>
    <row r="827" spans="1:5" x14ac:dyDescent="0.35">
      <c r="A827" s="10" t="s">
        <v>1014</v>
      </c>
      <c r="B827" s="9" t="s">
        <v>1752</v>
      </c>
      <c r="C827" s="9" t="s">
        <v>1752</v>
      </c>
      <c r="D827" s="9" t="s">
        <v>1752</v>
      </c>
      <c r="E827" s="15">
        <f t="shared" si="12"/>
        <v>1</v>
      </c>
    </row>
    <row r="828" spans="1:5" x14ac:dyDescent="0.35">
      <c r="A828" s="11" t="s">
        <v>1015</v>
      </c>
      <c r="B828" s="9" t="s">
        <v>1752</v>
      </c>
      <c r="C828" s="9" t="s">
        <v>1752</v>
      </c>
      <c r="D828" s="9" t="s">
        <v>1752</v>
      </c>
      <c r="E828" s="15">
        <f t="shared" si="12"/>
        <v>1</v>
      </c>
    </row>
    <row r="829" spans="1:5" x14ac:dyDescent="0.35">
      <c r="A829" s="10" t="s">
        <v>1016</v>
      </c>
      <c r="B829" s="9" t="s">
        <v>1752</v>
      </c>
      <c r="C829" s="9" t="s">
        <v>1752</v>
      </c>
      <c r="D829" s="9" t="s">
        <v>1752</v>
      </c>
      <c r="E829" s="15">
        <f t="shared" si="12"/>
        <v>1</v>
      </c>
    </row>
    <row r="830" spans="1:5" x14ac:dyDescent="0.35">
      <c r="A830" s="10" t="s">
        <v>1017</v>
      </c>
      <c r="B830" s="9" t="s">
        <v>1752</v>
      </c>
      <c r="C830" s="9" t="s">
        <v>1752</v>
      </c>
      <c r="D830" s="9" t="s">
        <v>1752</v>
      </c>
      <c r="E830" s="15">
        <f t="shared" si="12"/>
        <v>1</v>
      </c>
    </row>
    <row r="831" spans="1:5" x14ac:dyDescent="0.35">
      <c r="A831" s="10" t="s">
        <v>1018</v>
      </c>
      <c r="B831" s="9" t="s">
        <v>1752</v>
      </c>
      <c r="C831" s="9" t="s">
        <v>1752</v>
      </c>
      <c r="D831" s="9" t="s">
        <v>1752</v>
      </c>
      <c r="E831" s="15">
        <f t="shared" si="12"/>
        <v>1</v>
      </c>
    </row>
    <row r="832" spans="1:5" x14ac:dyDescent="0.35">
      <c r="A832" s="10" t="s">
        <v>1019</v>
      </c>
      <c r="B832" s="9" t="s">
        <v>1827</v>
      </c>
      <c r="C832" s="9" t="s">
        <v>1752</v>
      </c>
      <c r="D832" s="9" t="s">
        <v>1752</v>
      </c>
      <c r="E832" s="15">
        <f t="shared" si="12"/>
        <v>1</v>
      </c>
    </row>
    <row r="833" spans="1:5" x14ac:dyDescent="0.35">
      <c r="A833" s="10" t="s">
        <v>1020</v>
      </c>
      <c r="B833" s="9" t="s">
        <v>1752</v>
      </c>
      <c r="C833" s="9" t="s">
        <v>1752</v>
      </c>
      <c r="D833" s="9" t="s">
        <v>1752</v>
      </c>
      <c r="E833" s="15">
        <f t="shared" si="12"/>
        <v>1</v>
      </c>
    </row>
    <row r="834" spans="1:5" x14ac:dyDescent="0.35">
      <c r="A834" s="11" t="s">
        <v>1021</v>
      </c>
      <c r="B834" s="9" t="s">
        <v>1752</v>
      </c>
      <c r="C834" s="9" t="s">
        <v>1752</v>
      </c>
      <c r="D834" s="9" t="s">
        <v>1752</v>
      </c>
      <c r="E834" s="15">
        <f t="shared" si="12"/>
        <v>1</v>
      </c>
    </row>
    <row r="835" spans="1:5" x14ac:dyDescent="0.35">
      <c r="A835" s="10" t="s">
        <v>1022</v>
      </c>
      <c r="B835" s="9" t="s">
        <v>1752</v>
      </c>
      <c r="C835" s="9" t="s">
        <v>1752</v>
      </c>
      <c r="D835" s="9" t="s">
        <v>1752</v>
      </c>
      <c r="E835" s="15">
        <f t="shared" ref="E835:E898" si="13">IF(COUNTIF(B835:D835,"Y")&gt;0,1,0)</f>
        <v>1</v>
      </c>
    </row>
    <row r="836" spans="1:5" x14ac:dyDescent="0.35">
      <c r="A836" s="11" t="s">
        <v>1023</v>
      </c>
      <c r="B836" s="9" t="s">
        <v>1752</v>
      </c>
      <c r="C836" s="9" t="s">
        <v>1752</v>
      </c>
      <c r="D836" s="9" t="s">
        <v>1752</v>
      </c>
      <c r="E836" s="15">
        <f t="shared" si="13"/>
        <v>1</v>
      </c>
    </row>
    <row r="837" spans="1:5" x14ac:dyDescent="0.35">
      <c r="A837" s="11" t="s">
        <v>1024</v>
      </c>
      <c r="B837" s="9" t="s">
        <v>1752</v>
      </c>
      <c r="C837" s="9" t="s">
        <v>1752</v>
      </c>
      <c r="D837" s="9" t="s">
        <v>1752</v>
      </c>
      <c r="E837" s="15">
        <f t="shared" si="13"/>
        <v>1</v>
      </c>
    </row>
    <row r="838" spans="1:5" x14ac:dyDescent="0.35">
      <c r="A838" s="11" t="s">
        <v>1025</v>
      </c>
      <c r="B838" s="9" t="s">
        <v>1752</v>
      </c>
      <c r="C838" s="9" t="s">
        <v>1752</v>
      </c>
      <c r="D838" s="9" t="s">
        <v>1752</v>
      </c>
      <c r="E838" s="15">
        <f t="shared" si="13"/>
        <v>1</v>
      </c>
    </row>
    <row r="839" spans="1:5" x14ac:dyDescent="0.35">
      <c r="A839" s="11" t="s">
        <v>1026</v>
      </c>
      <c r="B839" s="9" t="s">
        <v>1752</v>
      </c>
      <c r="C839" s="9" t="s">
        <v>1752</v>
      </c>
      <c r="D839" s="9" t="s">
        <v>1752</v>
      </c>
      <c r="E839" s="15">
        <f t="shared" si="13"/>
        <v>1</v>
      </c>
    </row>
    <row r="840" spans="1:5" x14ac:dyDescent="0.35">
      <c r="A840" s="10" t="s">
        <v>1027</v>
      </c>
      <c r="B840" s="9" t="s">
        <v>1752</v>
      </c>
      <c r="C840" s="9" t="s">
        <v>1752</v>
      </c>
      <c r="D840" s="9" t="s">
        <v>1752</v>
      </c>
      <c r="E840" s="15">
        <f t="shared" si="13"/>
        <v>1</v>
      </c>
    </row>
    <row r="841" spans="1:5" x14ac:dyDescent="0.35">
      <c r="A841" s="11" t="s">
        <v>1028</v>
      </c>
      <c r="B841" s="9" t="s">
        <v>1752</v>
      </c>
      <c r="C841" s="9" t="s">
        <v>1752</v>
      </c>
      <c r="D841" s="9" t="s">
        <v>1752</v>
      </c>
      <c r="E841" s="15">
        <f t="shared" si="13"/>
        <v>1</v>
      </c>
    </row>
    <row r="842" spans="1:5" x14ac:dyDescent="0.35">
      <c r="A842" s="11" t="s">
        <v>1029</v>
      </c>
      <c r="B842" s="9" t="s">
        <v>1752</v>
      </c>
      <c r="C842" s="9" t="s">
        <v>1752</v>
      </c>
      <c r="D842" s="9" t="s">
        <v>1752</v>
      </c>
      <c r="E842" s="15">
        <f t="shared" si="13"/>
        <v>1</v>
      </c>
    </row>
    <row r="843" spans="1:5" x14ac:dyDescent="0.35">
      <c r="A843" s="11" t="s">
        <v>1030</v>
      </c>
      <c r="B843" s="9" t="s">
        <v>1752</v>
      </c>
      <c r="C843" s="9" t="s">
        <v>1752</v>
      </c>
      <c r="D843" s="9" t="s">
        <v>1752</v>
      </c>
      <c r="E843" s="15">
        <f t="shared" si="13"/>
        <v>1</v>
      </c>
    </row>
    <row r="844" spans="1:5" x14ac:dyDescent="0.35">
      <c r="A844" s="10" t="s">
        <v>1031</v>
      </c>
      <c r="B844" s="9" t="s">
        <v>1752</v>
      </c>
      <c r="C844" s="9" t="s">
        <v>1752</v>
      </c>
      <c r="D844" s="9" t="s">
        <v>1752</v>
      </c>
      <c r="E844" s="15">
        <f t="shared" si="13"/>
        <v>1</v>
      </c>
    </row>
    <row r="845" spans="1:5" x14ac:dyDescent="0.35">
      <c r="A845" s="11" t="s">
        <v>1032</v>
      </c>
      <c r="B845" s="9" t="s">
        <v>1752</v>
      </c>
      <c r="C845" s="9" t="s">
        <v>1752</v>
      </c>
      <c r="D845" s="9" t="s">
        <v>1752</v>
      </c>
      <c r="E845" s="15">
        <f t="shared" si="13"/>
        <v>1</v>
      </c>
    </row>
    <row r="846" spans="1:5" x14ac:dyDescent="0.35">
      <c r="A846" s="11" t="s">
        <v>1033</v>
      </c>
      <c r="B846" s="9" t="s">
        <v>1752</v>
      </c>
      <c r="C846" s="9" t="s">
        <v>1752</v>
      </c>
      <c r="D846" s="9" t="s">
        <v>1752</v>
      </c>
      <c r="E846" s="15">
        <f t="shared" si="13"/>
        <v>1</v>
      </c>
    </row>
    <row r="847" spans="1:5" x14ac:dyDescent="0.35">
      <c r="A847" s="11" t="s">
        <v>1034</v>
      </c>
      <c r="B847" s="9" t="s">
        <v>1752</v>
      </c>
      <c r="C847" s="9" t="s">
        <v>1752</v>
      </c>
      <c r="D847" s="9" t="s">
        <v>1752</v>
      </c>
      <c r="E847" s="15">
        <f t="shared" si="13"/>
        <v>1</v>
      </c>
    </row>
    <row r="848" spans="1:5" x14ac:dyDescent="0.35">
      <c r="A848" s="11" t="s">
        <v>1035</v>
      </c>
      <c r="B848" s="9" t="s">
        <v>1752</v>
      </c>
      <c r="C848" s="9" t="s">
        <v>1752</v>
      </c>
      <c r="D848" s="9" t="s">
        <v>1752</v>
      </c>
      <c r="E848" s="15">
        <f t="shared" si="13"/>
        <v>1</v>
      </c>
    </row>
    <row r="849" spans="1:5" x14ac:dyDescent="0.35">
      <c r="A849" s="11" t="s">
        <v>1036</v>
      </c>
      <c r="B849" s="9" t="s">
        <v>1752</v>
      </c>
      <c r="C849" s="9" t="s">
        <v>1752</v>
      </c>
      <c r="D849" s="9" t="s">
        <v>1752</v>
      </c>
      <c r="E849" s="15">
        <f t="shared" si="13"/>
        <v>1</v>
      </c>
    </row>
    <row r="850" spans="1:5" x14ac:dyDescent="0.35">
      <c r="A850" s="11" t="s">
        <v>1037</v>
      </c>
      <c r="B850" s="9" t="s">
        <v>1827</v>
      </c>
      <c r="C850" s="9" t="s">
        <v>1752</v>
      </c>
      <c r="D850" s="9" t="s">
        <v>1752</v>
      </c>
      <c r="E850" s="15">
        <f t="shared" si="13"/>
        <v>1</v>
      </c>
    </row>
    <row r="851" spans="1:5" x14ac:dyDescent="0.35">
      <c r="A851" s="10" t="s">
        <v>1038</v>
      </c>
      <c r="B851" s="9" t="s">
        <v>1827</v>
      </c>
      <c r="C851" s="9" t="s">
        <v>1752</v>
      </c>
      <c r="D851" s="9" t="s">
        <v>1752</v>
      </c>
      <c r="E851" s="15">
        <f t="shared" si="13"/>
        <v>1</v>
      </c>
    </row>
    <row r="852" spans="1:5" x14ac:dyDescent="0.35">
      <c r="A852" s="11" t="s">
        <v>1039</v>
      </c>
      <c r="B852" s="9" t="s">
        <v>1827</v>
      </c>
      <c r="C852" s="9" t="s">
        <v>1752</v>
      </c>
      <c r="D852" s="9" t="s">
        <v>1752</v>
      </c>
      <c r="E852" s="15">
        <f t="shared" si="13"/>
        <v>1</v>
      </c>
    </row>
    <row r="853" spans="1:5" x14ac:dyDescent="0.35">
      <c r="A853" s="11" t="s">
        <v>1040</v>
      </c>
      <c r="B853" s="9" t="s">
        <v>1752</v>
      </c>
      <c r="C853" s="9" t="s">
        <v>1752</v>
      </c>
      <c r="D853" s="9" t="s">
        <v>1752</v>
      </c>
      <c r="E853" s="15">
        <f t="shared" si="13"/>
        <v>1</v>
      </c>
    </row>
    <row r="854" spans="1:5" x14ac:dyDescent="0.35">
      <c r="A854" s="10" t="s">
        <v>1041</v>
      </c>
      <c r="B854" s="9" t="s">
        <v>1752</v>
      </c>
      <c r="C854" s="9" t="s">
        <v>1752</v>
      </c>
      <c r="D854" s="9" t="s">
        <v>1752</v>
      </c>
      <c r="E854" s="15">
        <f t="shared" si="13"/>
        <v>1</v>
      </c>
    </row>
    <row r="855" spans="1:5" x14ac:dyDescent="0.35">
      <c r="A855" s="10" t="s">
        <v>1042</v>
      </c>
      <c r="B855" s="9" t="s">
        <v>1752</v>
      </c>
      <c r="C855" s="9" t="s">
        <v>1752</v>
      </c>
      <c r="D855" s="9" t="s">
        <v>1752</v>
      </c>
      <c r="E855" s="15">
        <f t="shared" si="13"/>
        <v>1</v>
      </c>
    </row>
    <row r="856" spans="1:5" x14ac:dyDescent="0.35">
      <c r="A856" s="11" t="s">
        <v>1043</v>
      </c>
      <c r="B856" s="9" t="s">
        <v>1752</v>
      </c>
      <c r="C856" s="9" t="s">
        <v>1752</v>
      </c>
      <c r="D856" s="9" t="s">
        <v>1752</v>
      </c>
      <c r="E856" s="15">
        <f t="shared" si="13"/>
        <v>1</v>
      </c>
    </row>
    <row r="857" spans="1:5" x14ac:dyDescent="0.35">
      <c r="A857" s="11" t="s">
        <v>1044</v>
      </c>
      <c r="B857" s="9" t="s">
        <v>1752</v>
      </c>
      <c r="C857" s="9" t="s">
        <v>1752</v>
      </c>
      <c r="D857" s="9" t="s">
        <v>1752</v>
      </c>
      <c r="E857" s="15">
        <f t="shared" si="13"/>
        <v>1</v>
      </c>
    </row>
    <row r="858" spans="1:5" x14ac:dyDescent="0.35">
      <c r="A858" s="11" t="s">
        <v>1045</v>
      </c>
      <c r="B858" s="9" t="s">
        <v>1752</v>
      </c>
      <c r="C858" s="9" t="s">
        <v>1752</v>
      </c>
      <c r="D858" s="9" t="s">
        <v>1752</v>
      </c>
      <c r="E858" s="15">
        <f t="shared" si="13"/>
        <v>1</v>
      </c>
    </row>
    <row r="859" spans="1:5" x14ac:dyDescent="0.35">
      <c r="A859" s="11" t="s">
        <v>1046</v>
      </c>
      <c r="B859" s="9" t="s">
        <v>1752</v>
      </c>
      <c r="C859" s="9" t="s">
        <v>1752</v>
      </c>
      <c r="D859" s="9" t="s">
        <v>1752</v>
      </c>
      <c r="E859" s="15">
        <f t="shared" si="13"/>
        <v>1</v>
      </c>
    </row>
    <row r="860" spans="1:5" x14ac:dyDescent="0.35">
      <c r="A860" s="10" t="s">
        <v>1047</v>
      </c>
      <c r="B860" s="9" t="s">
        <v>1752</v>
      </c>
      <c r="C860" s="9" t="s">
        <v>1752</v>
      </c>
      <c r="D860" s="9" t="s">
        <v>1752</v>
      </c>
      <c r="E860" s="15">
        <f t="shared" si="13"/>
        <v>1</v>
      </c>
    </row>
    <row r="861" spans="1:5" x14ac:dyDescent="0.35">
      <c r="A861" s="11" t="s">
        <v>1048</v>
      </c>
      <c r="B861" s="9" t="s">
        <v>1752</v>
      </c>
      <c r="C861" s="9" t="s">
        <v>1752</v>
      </c>
      <c r="D861" s="9" t="s">
        <v>1752</v>
      </c>
      <c r="E861" s="15">
        <f t="shared" si="13"/>
        <v>1</v>
      </c>
    </row>
    <row r="862" spans="1:5" x14ac:dyDescent="0.35">
      <c r="A862" s="10" t="s">
        <v>1049</v>
      </c>
      <c r="B862" s="9" t="s">
        <v>1752</v>
      </c>
      <c r="C862" s="9" t="s">
        <v>1752</v>
      </c>
      <c r="D862" s="9" t="s">
        <v>1752</v>
      </c>
      <c r="E862" s="15">
        <f t="shared" si="13"/>
        <v>1</v>
      </c>
    </row>
    <row r="863" spans="1:5" x14ac:dyDescent="0.35">
      <c r="A863" s="10" t="s">
        <v>1050</v>
      </c>
      <c r="B863" s="9" t="s">
        <v>1752</v>
      </c>
      <c r="C863" s="9" t="s">
        <v>1752</v>
      </c>
      <c r="D863" s="9" t="s">
        <v>1752</v>
      </c>
      <c r="E863" s="15">
        <f t="shared" si="13"/>
        <v>1</v>
      </c>
    </row>
    <row r="864" spans="1:5" x14ac:dyDescent="0.35">
      <c r="A864" s="11" t="s">
        <v>1051</v>
      </c>
      <c r="B864" s="9" t="s">
        <v>1752</v>
      </c>
      <c r="C864" s="9" t="s">
        <v>1752</v>
      </c>
      <c r="D864" s="9" t="s">
        <v>1752</v>
      </c>
      <c r="E864" s="15">
        <f t="shared" si="13"/>
        <v>1</v>
      </c>
    </row>
    <row r="865" spans="1:5" x14ac:dyDescent="0.35">
      <c r="A865" s="10" t="s">
        <v>1052</v>
      </c>
      <c r="B865" s="9" t="s">
        <v>1752</v>
      </c>
      <c r="C865" s="9" t="s">
        <v>1752</v>
      </c>
      <c r="D865" s="9" t="s">
        <v>1752</v>
      </c>
      <c r="E865" s="15">
        <f t="shared" si="13"/>
        <v>1</v>
      </c>
    </row>
    <row r="866" spans="1:5" x14ac:dyDescent="0.35">
      <c r="A866" s="10" t="s">
        <v>1053</v>
      </c>
      <c r="B866" s="9" t="s">
        <v>1752</v>
      </c>
      <c r="C866" s="9" t="s">
        <v>1752</v>
      </c>
      <c r="D866" s="9" t="s">
        <v>1752</v>
      </c>
      <c r="E866" s="15">
        <f t="shared" si="13"/>
        <v>1</v>
      </c>
    </row>
    <row r="867" spans="1:5" x14ac:dyDescent="0.35">
      <c r="A867" s="11" t="s">
        <v>1054</v>
      </c>
      <c r="B867" s="9" t="s">
        <v>1752</v>
      </c>
      <c r="C867" s="9" t="s">
        <v>1752</v>
      </c>
      <c r="D867" s="9" t="s">
        <v>1752</v>
      </c>
      <c r="E867" s="15">
        <f t="shared" si="13"/>
        <v>1</v>
      </c>
    </row>
    <row r="868" spans="1:5" x14ac:dyDescent="0.35">
      <c r="A868" s="10" t="s">
        <v>1055</v>
      </c>
      <c r="B868" s="9" t="s">
        <v>1752</v>
      </c>
      <c r="C868" s="9" t="s">
        <v>1752</v>
      </c>
      <c r="D868" s="9" t="s">
        <v>1752</v>
      </c>
      <c r="E868" s="15">
        <f t="shared" si="13"/>
        <v>1</v>
      </c>
    </row>
    <row r="869" spans="1:5" x14ac:dyDescent="0.35">
      <c r="A869" s="10" t="s">
        <v>1056</v>
      </c>
      <c r="B869" s="9" t="s">
        <v>1752</v>
      </c>
      <c r="C869" s="9" t="s">
        <v>1752</v>
      </c>
      <c r="D869" s="9" t="s">
        <v>1752</v>
      </c>
      <c r="E869" s="15">
        <f t="shared" si="13"/>
        <v>1</v>
      </c>
    </row>
    <row r="870" spans="1:5" x14ac:dyDescent="0.35">
      <c r="A870" s="10" t="s">
        <v>1057</v>
      </c>
      <c r="B870" s="9" t="s">
        <v>1752</v>
      </c>
      <c r="C870" s="9" t="s">
        <v>1752</v>
      </c>
      <c r="D870" s="9" t="s">
        <v>1752</v>
      </c>
      <c r="E870" s="15">
        <f t="shared" si="13"/>
        <v>1</v>
      </c>
    </row>
    <row r="871" spans="1:5" x14ac:dyDescent="0.35">
      <c r="A871" s="11" t="s">
        <v>1058</v>
      </c>
      <c r="B871" s="9" t="s">
        <v>1752</v>
      </c>
      <c r="C871" s="9" t="s">
        <v>1752</v>
      </c>
      <c r="D871" s="9" t="s">
        <v>1752</v>
      </c>
      <c r="E871" s="15">
        <f t="shared" si="13"/>
        <v>1</v>
      </c>
    </row>
    <row r="872" spans="1:5" x14ac:dyDescent="0.35">
      <c r="A872" s="10" t="s">
        <v>1059</v>
      </c>
      <c r="B872" s="9" t="s">
        <v>1752</v>
      </c>
      <c r="C872" s="9" t="s">
        <v>1752</v>
      </c>
      <c r="D872" s="9" t="s">
        <v>1752</v>
      </c>
      <c r="E872" s="15">
        <f t="shared" si="13"/>
        <v>1</v>
      </c>
    </row>
    <row r="873" spans="1:5" x14ac:dyDescent="0.35">
      <c r="A873" s="11" t="s">
        <v>1060</v>
      </c>
      <c r="B873" s="9" t="s">
        <v>1752</v>
      </c>
      <c r="C873" s="9" t="s">
        <v>1752</v>
      </c>
      <c r="D873" s="9" t="s">
        <v>1752</v>
      </c>
      <c r="E873" s="15">
        <f t="shared" si="13"/>
        <v>1</v>
      </c>
    </row>
    <row r="874" spans="1:5" x14ac:dyDescent="0.35">
      <c r="A874" s="11" t="s">
        <v>1061</v>
      </c>
      <c r="B874" s="9" t="s">
        <v>1752</v>
      </c>
      <c r="C874" s="9" t="s">
        <v>1752</v>
      </c>
      <c r="D874" s="9" t="s">
        <v>1752</v>
      </c>
      <c r="E874" s="15">
        <f t="shared" si="13"/>
        <v>1</v>
      </c>
    </row>
    <row r="875" spans="1:5" x14ac:dyDescent="0.35">
      <c r="A875" s="11" t="s">
        <v>1062</v>
      </c>
      <c r="B875" s="9" t="s">
        <v>1752</v>
      </c>
      <c r="C875" s="9" t="s">
        <v>1752</v>
      </c>
      <c r="D875" s="9" t="s">
        <v>1752</v>
      </c>
      <c r="E875" s="15">
        <f t="shared" si="13"/>
        <v>1</v>
      </c>
    </row>
    <row r="876" spans="1:5" x14ac:dyDescent="0.35">
      <c r="A876" s="11" t="s">
        <v>1063</v>
      </c>
      <c r="B876" s="9" t="s">
        <v>1752</v>
      </c>
      <c r="C876" s="9" t="s">
        <v>1752</v>
      </c>
      <c r="D876" s="9" t="s">
        <v>1752</v>
      </c>
      <c r="E876" s="15">
        <f t="shared" si="13"/>
        <v>1</v>
      </c>
    </row>
    <row r="877" spans="1:5" x14ac:dyDescent="0.35">
      <c r="A877" s="10" t="s">
        <v>1064</v>
      </c>
      <c r="B877" s="9" t="s">
        <v>1752</v>
      </c>
      <c r="C877" s="9" t="s">
        <v>1752</v>
      </c>
      <c r="D877" s="9" t="s">
        <v>1752</v>
      </c>
      <c r="E877" s="15">
        <f t="shared" si="13"/>
        <v>1</v>
      </c>
    </row>
    <row r="878" spans="1:5" x14ac:dyDescent="0.35">
      <c r="A878" s="10" t="s">
        <v>1065</v>
      </c>
      <c r="B878" s="9" t="s">
        <v>1752</v>
      </c>
      <c r="C878" s="9" t="s">
        <v>1752</v>
      </c>
      <c r="D878" s="9" t="s">
        <v>1752</v>
      </c>
      <c r="E878" s="15">
        <f t="shared" si="13"/>
        <v>1</v>
      </c>
    </row>
    <row r="879" spans="1:5" x14ac:dyDescent="0.35">
      <c r="A879" s="11" t="s">
        <v>1066</v>
      </c>
      <c r="B879" s="9" t="s">
        <v>1752</v>
      </c>
      <c r="C879" s="9" t="s">
        <v>1752</v>
      </c>
      <c r="D879" s="9" t="s">
        <v>1752</v>
      </c>
      <c r="E879" s="15">
        <f t="shared" si="13"/>
        <v>1</v>
      </c>
    </row>
    <row r="880" spans="1:5" x14ac:dyDescent="0.35">
      <c r="A880" s="10" t="s">
        <v>1067</v>
      </c>
      <c r="B880" s="9" t="s">
        <v>1752</v>
      </c>
      <c r="C880" s="9" t="s">
        <v>1752</v>
      </c>
      <c r="D880" s="9" t="s">
        <v>1752</v>
      </c>
      <c r="E880" s="15">
        <f t="shared" si="13"/>
        <v>1</v>
      </c>
    </row>
    <row r="881" spans="1:5" x14ac:dyDescent="0.35">
      <c r="A881" s="11" t="s">
        <v>1068</v>
      </c>
      <c r="B881" s="9" t="s">
        <v>1752</v>
      </c>
      <c r="C881" s="9" t="s">
        <v>1752</v>
      </c>
      <c r="D881" s="9" t="s">
        <v>1752</v>
      </c>
      <c r="E881" s="15">
        <f t="shared" si="13"/>
        <v>1</v>
      </c>
    </row>
    <row r="882" spans="1:5" x14ac:dyDescent="0.35">
      <c r="A882" s="10" t="s">
        <v>1069</v>
      </c>
      <c r="B882" s="9" t="s">
        <v>1752</v>
      </c>
      <c r="C882" s="9" t="s">
        <v>1752</v>
      </c>
      <c r="D882" s="9" t="s">
        <v>1752</v>
      </c>
      <c r="E882" s="15">
        <f t="shared" si="13"/>
        <v>1</v>
      </c>
    </row>
    <row r="883" spans="1:5" x14ac:dyDescent="0.35">
      <c r="A883" s="11" t="s">
        <v>1070</v>
      </c>
      <c r="B883" s="9" t="s">
        <v>1752</v>
      </c>
      <c r="C883" s="9" t="s">
        <v>1752</v>
      </c>
      <c r="D883" s="9" t="s">
        <v>1752</v>
      </c>
      <c r="E883" s="15">
        <f t="shared" si="13"/>
        <v>1</v>
      </c>
    </row>
    <row r="884" spans="1:5" x14ac:dyDescent="0.35">
      <c r="A884" s="10" t="s">
        <v>1071</v>
      </c>
      <c r="B884" s="9" t="s">
        <v>1752</v>
      </c>
      <c r="C884" s="9" t="s">
        <v>1752</v>
      </c>
      <c r="D884" s="9" t="s">
        <v>1752</v>
      </c>
      <c r="E884" s="15">
        <f t="shared" si="13"/>
        <v>1</v>
      </c>
    </row>
    <row r="885" spans="1:5" x14ac:dyDescent="0.35">
      <c r="A885" s="10" t="s">
        <v>1072</v>
      </c>
      <c r="B885" s="9" t="s">
        <v>1827</v>
      </c>
      <c r="C885" s="9" t="s">
        <v>1752</v>
      </c>
      <c r="D885" s="9" t="s">
        <v>1752</v>
      </c>
      <c r="E885" s="15">
        <f t="shared" si="13"/>
        <v>1</v>
      </c>
    </row>
    <row r="886" spans="1:5" x14ac:dyDescent="0.35">
      <c r="A886" s="11" t="s">
        <v>1073</v>
      </c>
      <c r="B886" s="9" t="s">
        <v>1752</v>
      </c>
      <c r="C886" s="9" t="s">
        <v>1752</v>
      </c>
      <c r="D886" s="9" t="s">
        <v>1752</v>
      </c>
      <c r="E886" s="15">
        <f t="shared" si="13"/>
        <v>1</v>
      </c>
    </row>
    <row r="887" spans="1:5" x14ac:dyDescent="0.35">
      <c r="A887" s="11" t="s">
        <v>1074</v>
      </c>
      <c r="B887" s="9" t="s">
        <v>1752</v>
      </c>
      <c r="C887" s="9" t="s">
        <v>1752</v>
      </c>
      <c r="D887" s="9" t="s">
        <v>1752</v>
      </c>
      <c r="E887" s="15">
        <f t="shared" si="13"/>
        <v>1</v>
      </c>
    </row>
    <row r="888" spans="1:5" x14ac:dyDescent="0.35">
      <c r="A888" s="10" t="s">
        <v>1075</v>
      </c>
      <c r="B888" s="9" t="s">
        <v>1752</v>
      </c>
      <c r="C888" s="9" t="s">
        <v>1752</v>
      </c>
      <c r="D888" s="9" t="s">
        <v>1827</v>
      </c>
      <c r="E888" s="15">
        <f t="shared" si="13"/>
        <v>1</v>
      </c>
    </row>
    <row r="889" spans="1:5" x14ac:dyDescent="0.35">
      <c r="A889" s="11" t="s">
        <v>1076</v>
      </c>
      <c r="B889" s="9" t="s">
        <v>1752</v>
      </c>
      <c r="C889" s="9" t="s">
        <v>1752</v>
      </c>
      <c r="D889" s="9" t="s">
        <v>1752</v>
      </c>
      <c r="E889" s="15">
        <f t="shared" si="13"/>
        <v>1</v>
      </c>
    </row>
    <row r="890" spans="1:5" x14ac:dyDescent="0.35">
      <c r="A890" s="10" t="s">
        <v>1077</v>
      </c>
      <c r="B890" s="9" t="s">
        <v>1752</v>
      </c>
      <c r="C890" s="9" t="s">
        <v>1752</v>
      </c>
      <c r="D890" s="9" t="s">
        <v>1752</v>
      </c>
      <c r="E890" s="15">
        <f t="shared" si="13"/>
        <v>1</v>
      </c>
    </row>
    <row r="891" spans="1:5" x14ac:dyDescent="0.35">
      <c r="A891" s="11" t="s">
        <v>1078</v>
      </c>
      <c r="B891" s="9" t="s">
        <v>1752</v>
      </c>
      <c r="C891" s="9" t="s">
        <v>1752</v>
      </c>
      <c r="D891" s="9" t="s">
        <v>1752</v>
      </c>
      <c r="E891" s="15">
        <f t="shared" si="13"/>
        <v>1</v>
      </c>
    </row>
    <row r="892" spans="1:5" x14ac:dyDescent="0.35">
      <c r="A892" s="10" t="s">
        <v>1079</v>
      </c>
      <c r="B892" s="9" t="s">
        <v>1752</v>
      </c>
      <c r="C892" s="9" t="s">
        <v>1752</v>
      </c>
      <c r="D892" s="9" t="s">
        <v>1752</v>
      </c>
      <c r="E892" s="15">
        <f t="shared" si="13"/>
        <v>1</v>
      </c>
    </row>
    <row r="893" spans="1:5" x14ac:dyDescent="0.35">
      <c r="A893" s="11" t="s">
        <v>1080</v>
      </c>
      <c r="B893" s="9" t="s">
        <v>1752</v>
      </c>
      <c r="C893" s="9" t="s">
        <v>1752</v>
      </c>
      <c r="D893" s="9" t="s">
        <v>1752</v>
      </c>
      <c r="E893" s="15">
        <f t="shared" si="13"/>
        <v>1</v>
      </c>
    </row>
    <row r="894" spans="1:5" x14ac:dyDescent="0.35">
      <c r="A894" s="10" t="s">
        <v>1081</v>
      </c>
      <c r="B894" s="9" t="s">
        <v>1752</v>
      </c>
      <c r="C894" s="9" t="s">
        <v>1752</v>
      </c>
      <c r="D894" s="9" t="s">
        <v>1827</v>
      </c>
      <c r="E894" s="15">
        <f t="shared" si="13"/>
        <v>1</v>
      </c>
    </row>
    <row r="895" spans="1:5" x14ac:dyDescent="0.35">
      <c r="A895" s="11" t="s">
        <v>1082</v>
      </c>
      <c r="B895" s="9" t="s">
        <v>1752</v>
      </c>
      <c r="C895" s="9" t="s">
        <v>1752</v>
      </c>
      <c r="D895" s="9" t="s">
        <v>1752</v>
      </c>
      <c r="E895" s="15">
        <f t="shared" si="13"/>
        <v>1</v>
      </c>
    </row>
    <row r="896" spans="1:5" x14ac:dyDescent="0.35">
      <c r="A896" s="10" t="s">
        <v>1083</v>
      </c>
      <c r="B896" s="9" t="s">
        <v>1752</v>
      </c>
      <c r="C896" s="9" t="s">
        <v>1752</v>
      </c>
      <c r="D896" s="9" t="s">
        <v>1752</v>
      </c>
      <c r="E896" s="15">
        <f t="shared" si="13"/>
        <v>1</v>
      </c>
    </row>
    <row r="897" spans="1:5" x14ac:dyDescent="0.35">
      <c r="A897" s="10" t="s">
        <v>1084</v>
      </c>
      <c r="B897" s="9" t="s">
        <v>1752</v>
      </c>
      <c r="C897" s="9" t="s">
        <v>1752</v>
      </c>
      <c r="D897" s="9" t="s">
        <v>1752</v>
      </c>
      <c r="E897" s="15">
        <f t="shared" si="13"/>
        <v>1</v>
      </c>
    </row>
    <row r="898" spans="1:5" x14ac:dyDescent="0.35">
      <c r="A898" s="10" t="s">
        <v>1085</v>
      </c>
      <c r="B898" s="9" t="s">
        <v>1752</v>
      </c>
      <c r="C898" s="9" t="s">
        <v>1752</v>
      </c>
      <c r="D898" s="9" t="s">
        <v>1752</v>
      </c>
      <c r="E898" s="15">
        <f t="shared" si="13"/>
        <v>1</v>
      </c>
    </row>
    <row r="899" spans="1:5" x14ac:dyDescent="0.35">
      <c r="A899" s="11" t="s">
        <v>1086</v>
      </c>
      <c r="B899" s="9" t="s">
        <v>1752</v>
      </c>
      <c r="C899" s="9" t="s">
        <v>1752</v>
      </c>
      <c r="D899" s="9" t="s">
        <v>1752</v>
      </c>
      <c r="E899" s="15">
        <f t="shared" ref="E899:E962" si="14">IF(COUNTIF(B899:D899,"Y")&gt;0,1,0)</f>
        <v>1</v>
      </c>
    </row>
    <row r="900" spans="1:5" x14ac:dyDescent="0.35">
      <c r="A900" s="10" t="s">
        <v>1087</v>
      </c>
      <c r="B900" s="9" t="s">
        <v>1752</v>
      </c>
      <c r="C900" s="9" t="s">
        <v>1752</v>
      </c>
      <c r="D900" s="9" t="s">
        <v>1752</v>
      </c>
      <c r="E900" s="15">
        <f t="shared" si="14"/>
        <v>1</v>
      </c>
    </row>
    <row r="901" spans="1:5" x14ac:dyDescent="0.35">
      <c r="A901" s="11" t="s">
        <v>1088</v>
      </c>
      <c r="B901" s="9" t="s">
        <v>1752</v>
      </c>
      <c r="C901" s="9" t="s">
        <v>1752</v>
      </c>
      <c r="D901" s="9" t="s">
        <v>1827</v>
      </c>
      <c r="E901" s="15">
        <f t="shared" si="14"/>
        <v>1</v>
      </c>
    </row>
    <row r="902" spans="1:5" x14ac:dyDescent="0.35">
      <c r="A902" s="10" t="s">
        <v>1089</v>
      </c>
      <c r="B902" s="9" t="s">
        <v>1752</v>
      </c>
      <c r="C902" s="9" t="s">
        <v>1752</v>
      </c>
      <c r="D902" s="9" t="s">
        <v>1752</v>
      </c>
      <c r="E902" s="15">
        <f t="shared" si="14"/>
        <v>1</v>
      </c>
    </row>
    <row r="903" spans="1:5" x14ac:dyDescent="0.35">
      <c r="A903" s="11" t="s">
        <v>1090</v>
      </c>
      <c r="B903" s="9" t="s">
        <v>1752</v>
      </c>
      <c r="C903" s="9" t="s">
        <v>1752</v>
      </c>
      <c r="D903" s="9" t="s">
        <v>1752</v>
      </c>
      <c r="E903" s="15">
        <f t="shared" si="14"/>
        <v>1</v>
      </c>
    </row>
    <row r="904" spans="1:5" x14ac:dyDescent="0.35">
      <c r="A904" s="11" t="s">
        <v>1091</v>
      </c>
      <c r="B904" s="9" t="s">
        <v>1752</v>
      </c>
      <c r="C904" s="9" t="s">
        <v>1752</v>
      </c>
      <c r="D904" s="9" t="s">
        <v>1752</v>
      </c>
      <c r="E904" s="15">
        <f t="shared" si="14"/>
        <v>1</v>
      </c>
    </row>
    <row r="905" spans="1:5" x14ac:dyDescent="0.35">
      <c r="A905" s="11" t="s">
        <v>1092</v>
      </c>
      <c r="B905" s="9" t="s">
        <v>1752</v>
      </c>
      <c r="C905" s="9" t="s">
        <v>1752</v>
      </c>
      <c r="D905" s="9" t="s">
        <v>1752</v>
      </c>
      <c r="E905" s="15">
        <f t="shared" si="14"/>
        <v>1</v>
      </c>
    </row>
    <row r="906" spans="1:5" x14ac:dyDescent="0.35">
      <c r="A906" s="11" t="s">
        <v>1093</v>
      </c>
      <c r="B906" s="9" t="s">
        <v>1752</v>
      </c>
      <c r="C906" s="9" t="s">
        <v>1752</v>
      </c>
      <c r="D906" s="9" t="s">
        <v>1752</v>
      </c>
      <c r="E906" s="15">
        <f t="shared" si="14"/>
        <v>1</v>
      </c>
    </row>
    <row r="907" spans="1:5" x14ac:dyDescent="0.35">
      <c r="A907" s="11" t="s">
        <v>1094</v>
      </c>
      <c r="B907" s="9" t="s">
        <v>1752</v>
      </c>
      <c r="C907" s="9" t="s">
        <v>1752</v>
      </c>
      <c r="D907" s="9" t="s">
        <v>1827</v>
      </c>
      <c r="E907" s="15">
        <f t="shared" si="14"/>
        <v>1</v>
      </c>
    </row>
    <row r="908" spans="1:5" x14ac:dyDescent="0.35">
      <c r="A908" s="11" t="s">
        <v>1095</v>
      </c>
      <c r="B908" s="9" t="s">
        <v>1752</v>
      </c>
      <c r="C908" s="9" t="s">
        <v>1752</v>
      </c>
      <c r="D908" s="9" t="s">
        <v>1752</v>
      </c>
      <c r="E908" s="15">
        <f t="shared" si="14"/>
        <v>1</v>
      </c>
    </row>
    <row r="909" spans="1:5" x14ac:dyDescent="0.35">
      <c r="A909" s="10" t="s">
        <v>1096</v>
      </c>
      <c r="B909" s="9" t="s">
        <v>1752</v>
      </c>
      <c r="C909" s="9" t="s">
        <v>1752</v>
      </c>
      <c r="D909" s="9" t="s">
        <v>1752</v>
      </c>
      <c r="E909" s="15">
        <f t="shared" si="14"/>
        <v>1</v>
      </c>
    </row>
    <row r="910" spans="1:5" x14ac:dyDescent="0.35">
      <c r="A910" s="11" t="s">
        <v>1097</v>
      </c>
      <c r="B910" s="9" t="s">
        <v>1752</v>
      </c>
      <c r="C910" s="9" t="s">
        <v>1752</v>
      </c>
      <c r="D910" s="9" t="s">
        <v>1752</v>
      </c>
      <c r="E910" s="15">
        <f t="shared" si="14"/>
        <v>1</v>
      </c>
    </row>
    <row r="911" spans="1:5" x14ac:dyDescent="0.35">
      <c r="A911" s="10" t="s">
        <v>1098</v>
      </c>
      <c r="B911" s="9" t="s">
        <v>1752</v>
      </c>
      <c r="C911" s="9" t="s">
        <v>1752</v>
      </c>
      <c r="D911" s="9" t="s">
        <v>1752</v>
      </c>
      <c r="E911" s="15">
        <f t="shared" si="14"/>
        <v>1</v>
      </c>
    </row>
    <row r="912" spans="1:5" x14ac:dyDescent="0.35">
      <c r="A912" s="11" t="s">
        <v>1099</v>
      </c>
      <c r="B912" s="9" t="s">
        <v>1752</v>
      </c>
      <c r="C912" s="9" t="s">
        <v>1752</v>
      </c>
      <c r="D912" s="9" t="s">
        <v>1752</v>
      </c>
      <c r="E912" s="15">
        <f t="shared" si="14"/>
        <v>1</v>
      </c>
    </row>
    <row r="913" spans="1:5" x14ac:dyDescent="0.35">
      <c r="A913" s="11" t="s">
        <v>1100</v>
      </c>
      <c r="B913" s="9" t="s">
        <v>1752</v>
      </c>
      <c r="C913" s="9" t="s">
        <v>1752</v>
      </c>
      <c r="D913" s="9" t="s">
        <v>1752</v>
      </c>
      <c r="E913" s="15">
        <f t="shared" si="14"/>
        <v>1</v>
      </c>
    </row>
    <row r="914" spans="1:5" x14ac:dyDescent="0.35">
      <c r="A914" s="10" t="s">
        <v>1101</v>
      </c>
      <c r="B914" s="9" t="s">
        <v>1752</v>
      </c>
      <c r="C914" s="9" t="s">
        <v>1752</v>
      </c>
      <c r="D914" s="9" t="s">
        <v>1752</v>
      </c>
      <c r="E914" s="15">
        <f t="shared" si="14"/>
        <v>1</v>
      </c>
    </row>
    <row r="915" spans="1:5" x14ac:dyDescent="0.35">
      <c r="A915" s="11" t="s">
        <v>1102</v>
      </c>
      <c r="B915" s="9" t="s">
        <v>1752</v>
      </c>
      <c r="C915" s="9" t="s">
        <v>1752</v>
      </c>
      <c r="D915" s="9" t="s">
        <v>1752</v>
      </c>
      <c r="E915" s="15">
        <f t="shared" si="14"/>
        <v>1</v>
      </c>
    </row>
    <row r="916" spans="1:5" x14ac:dyDescent="0.35">
      <c r="A916" s="11" t="s">
        <v>1103</v>
      </c>
      <c r="B916" s="9" t="s">
        <v>1752</v>
      </c>
      <c r="C916" s="9" t="s">
        <v>1752</v>
      </c>
      <c r="D916" s="9" t="s">
        <v>1752</v>
      </c>
      <c r="E916" s="15">
        <f t="shared" si="14"/>
        <v>1</v>
      </c>
    </row>
    <row r="917" spans="1:5" x14ac:dyDescent="0.35">
      <c r="A917" s="11" t="s">
        <v>1104</v>
      </c>
      <c r="B917" s="9" t="s">
        <v>1827</v>
      </c>
      <c r="C917" s="9" t="s">
        <v>1752</v>
      </c>
      <c r="D917" s="9" t="s">
        <v>1752</v>
      </c>
      <c r="E917" s="15">
        <f t="shared" si="14"/>
        <v>1</v>
      </c>
    </row>
    <row r="918" spans="1:5" x14ac:dyDescent="0.35">
      <c r="A918" s="10" t="s">
        <v>1105</v>
      </c>
      <c r="B918" s="9" t="s">
        <v>1752</v>
      </c>
      <c r="C918" s="9" t="s">
        <v>1752</v>
      </c>
      <c r="D918" s="9" t="s">
        <v>1752</v>
      </c>
      <c r="E918" s="15">
        <f t="shared" si="14"/>
        <v>1</v>
      </c>
    </row>
    <row r="919" spans="1:5" x14ac:dyDescent="0.35">
      <c r="A919" s="11" t="s">
        <v>1106</v>
      </c>
      <c r="B919" s="9" t="s">
        <v>1752</v>
      </c>
      <c r="C919" s="9" t="s">
        <v>1752</v>
      </c>
      <c r="D919" s="9" t="s">
        <v>1752</v>
      </c>
      <c r="E919" s="15">
        <f t="shared" si="14"/>
        <v>1</v>
      </c>
    </row>
    <row r="920" spans="1:5" x14ac:dyDescent="0.35">
      <c r="A920" s="10" t="s">
        <v>1107</v>
      </c>
      <c r="B920" s="9" t="s">
        <v>1827</v>
      </c>
      <c r="C920" s="9" t="s">
        <v>1752</v>
      </c>
      <c r="D920" s="9" t="s">
        <v>1752</v>
      </c>
      <c r="E920" s="15">
        <f t="shared" si="14"/>
        <v>1</v>
      </c>
    </row>
    <row r="921" spans="1:5" x14ac:dyDescent="0.35">
      <c r="A921" s="10" t="s">
        <v>1108</v>
      </c>
      <c r="B921" s="9" t="s">
        <v>1752</v>
      </c>
      <c r="C921" s="9" t="s">
        <v>1752</v>
      </c>
      <c r="D921" s="9" t="s">
        <v>1827</v>
      </c>
      <c r="E921" s="15">
        <f t="shared" si="14"/>
        <v>1</v>
      </c>
    </row>
    <row r="922" spans="1:5" x14ac:dyDescent="0.35">
      <c r="A922" s="10" t="s">
        <v>1109</v>
      </c>
      <c r="B922" s="9" t="s">
        <v>1752</v>
      </c>
      <c r="C922" s="9" t="s">
        <v>1752</v>
      </c>
      <c r="D922" s="9" t="s">
        <v>1752</v>
      </c>
      <c r="E922" s="15">
        <f t="shared" si="14"/>
        <v>1</v>
      </c>
    </row>
    <row r="923" spans="1:5" x14ac:dyDescent="0.35">
      <c r="A923" s="11" t="s">
        <v>1110</v>
      </c>
      <c r="B923" s="9" t="s">
        <v>1752</v>
      </c>
      <c r="C923" s="9" t="s">
        <v>1752</v>
      </c>
      <c r="D923" s="9" t="s">
        <v>1752</v>
      </c>
      <c r="E923" s="15">
        <f t="shared" si="14"/>
        <v>1</v>
      </c>
    </row>
    <row r="924" spans="1:5" x14ac:dyDescent="0.35">
      <c r="A924" s="10" t="s">
        <v>1111</v>
      </c>
      <c r="B924" s="9" t="s">
        <v>1752</v>
      </c>
      <c r="C924" s="9" t="s">
        <v>1752</v>
      </c>
      <c r="D924" s="9" t="s">
        <v>1752</v>
      </c>
      <c r="E924" s="15">
        <f t="shared" si="14"/>
        <v>1</v>
      </c>
    </row>
    <row r="925" spans="1:5" x14ac:dyDescent="0.35">
      <c r="A925" s="11" t="s">
        <v>1112</v>
      </c>
      <c r="B925" s="9" t="s">
        <v>1752</v>
      </c>
      <c r="C925" s="9" t="s">
        <v>1752</v>
      </c>
      <c r="D925" s="9" t="s">
        <v>1752</v>
      </c>
      <c r="E925" s="15">
        <f t="shared" si="14"/>
        <v>1</v>
      </c>
    </row>
    <row r="926" spans="1:5" x14ac:dyDescent="0.35">
      <c r="A926" s="10" t="s">
        <v>1113</v>
      </c>
      <c r="B926" s="9" t="s">
        <v>1752</v>
      </c>
      <c r="C926" s="9" t="s">
        <v>1752</v>
      </c>
      <c r="D926" s="9" t="s">
        <v>1752</v>
      </c>
      <c r="E926" s="15">
        <f t="shared" si="14"/>
        <v>1</v>
      </c>
    </row>
    <row r="927" spans="1:5" x14ac:dyDescent="0.35">
      <c r="A927" s="11" t="s">
        <v>1114</v>
      </c>
      <c r="B927" s="9" t="s">
        <v>1752</v>
      </c>
      <c r="C927" s="9" t="s">
        <v>1752</v>
      </c>
      <c r="D927" s="9" t="s">
        <v>1752</v>
      </c>
      <c r="E927" s="15">
        <f t="shared" si="14"/>
        <v>1</v>
      </c>
    </row>
    <row r="928" spans="1:5" x14ac:dyDescent="0.35">
      <c r="A928" s="10" t="s">
        <v>1115</v>
      </c>
      <c r="B928" s="9" t="s">
        <v>1752</v>
      </c>
      <c r="C928" s="9" t="s">
        <v>1752</v>
      </c>
      <c r="D928" s="9" t="s">
        <v>1752</v>
      </c>
      <c r="E928" s="15">
        <f t="shared" si="14"/>
        <v>1</v>
      </c>
    </row>
    <row r="929" spans="1:5" x14ac:dyDescent="0.35">
      <c r="A929" s="11" t="s">
        <v>1116</v>
      </c>
      <c r="B929" s="9" t="s">
        <v>1752</v>
      </c>
      <c r="C929" s="9" t="s">
        <v>1752</v>
      </c>
      <c r="D929" s="9" t="s">
        <v>1752</v>
      </c>
      <c r="E929" s="15">
        <f t="shared" si="14"/>
        <v>1</v>
      </c>
    </row>
    <row r="930" spans="1:5" x14ac:dyDescent="0.35">
      <c r="A930" s="10" t="s">
        <v>1117</v>
      </c>
      <c r="B930" s="9" t="s">
        <v>1752</v>
      </c>
      <c r="C930" s="9" t="s">
        <v>1752</v>
      </c>
      <c r="D930" s="9" t="s">
        <v>1752</v>
      </c>
      <c r="E930" s="15">
        <f t="shared" si="14"/>
        <v>1</v>
      </c>
    </row>
    <row r="931" spans="1:5" x14ac:dyDescent="0.35">
      <c r="A931" s="11" t="s">
        <v>1118</v>
      </c>
      <c r="B931" s="9" t="s">
        <v>1752</v>
      </c>
      <c r="C931" s="9" t="s">
        <v>1752</v>
      </c>
      <c r="D931" s="9" t="s">
        <v>1752</v>
      </c>
      <c r="E931" s="15">
        <f t="shared" si="14"/>
        <v>1</v>
      </c>
    </row>
    <row r="932" spans="1:5" x14ac:dyDescent="0.35">
      <c r="A932" s="10" t="s">
        <v>1119</v>
      </c>
      <c r="B932" s="9" t="s">
        <v>1752</v>
      </c>
      <c r="C932" s="9" t="s">
        <v>1752</v>
      </c>
      <c r="D932" s="9" t="s">
        <v>1752</v>
      </c>
      <c r="E932" s="15">
        <f t="shared" si="14"/>
        <v>1</v>
      </c>
    </row>
    <row r="933" spans="1:5" x14ac:dyDescent="0.35">
      <c r="A933" s="11" t="s">
        <v>1120</v>
      </c>
      <c r="B933" s="9" t="s">
        <v>1827</v>
      </c>
      <c r="C933" s="9" t="s">
        <v>1752</v>
      </c>
      <c r="D933" s="9" t="s">
        <v>1752</v>
      </c>
      <c r="E933" s="15">
        <f t="shared" si="14"/>
        <v>1</v>
      </c>
    </row>
    <row r="934" spans="1:5" x14ac:dyDescent="0.35">
      <c r="A934" s="10" t="s">
        <v>1121</v>
      </c>
      <c r="B934" s="9" t="s">
        <v>1752</v>
      </c>
      <c r="C934" s="9" t="s">
        <v>1752</v>
      </c>
      <c r="D934" s="9" t="s">
        <v>1752</v>
      </c>
      <c r="E934" s="15">
        <f t="shared" si="14"/>
        <v>1</v>
      </c>
    </row>
    <row r="935" spans="1:5" x14ac:dyDescent="0.35">
      <c r="A935" s="11" t="s">
        <v>1122</v>
      </c>
      <c r="B935" s="9" t="s">
        <v>1752</v>
      </c>
      <c r="C935" s="9" t="s">
        <v>1752</v>
      </c>
      <c r="D935" s="9" t="s">
        <v>1752</v>
      </c>
      <c r="E935" s="15">
        <f t="shared" si="14"/>
        <v>1</v>
      </c>
    </row>
    <row r="936" spans="1:5" x14ac:dyDescent="0.35">
      <c r="A936" s="10" t="s">
        <v>1123</v>
      </c>
      <c r="B936" s="9" t="s">
        <v>1752</v>
      </c>
      <c r="C936" s="9" t="s">
        <v>1752</v>
      </c>
      <c r="D936" s="9" t="s">
        <v>1752</v>
      </c>
      <c r="E936" s="15">
        <f t="shared" si="14"/>
        <v>1</v>
      </c>
    </row>
    <row r="937" spans="1:5" x14ac:dyDescent="0.35">
      <c r="A937" s="11" t="s">
        <v>1124</v>
      </c>
      <c r="B937" s="9" t="s">
        <v>1752</v>
      </c>
      <c r="C937" s="9" t="s">
        <v>1752</v>
      </c>
      <c r="D937" s="9" t="s">
        <v>1752</v>
      </c>
      <c r="E937" s="15">
        <f t="shared" si="14"/>
        <v>1</v>
      </c>
    </row>
    <row r="938" spans="1:5" x14ac:dyDescent="0.35">
      <c r="A938" s="10" t="s">
        <v>1125</v>
      </c>
      <c r="B938" s="9" t="s">
        <v>1752</v>
      </c>
      <c r="C938" s="9" t="s">
        <v>1752</v>
      </c>
      <c r="D938" s="9" t="s">
        <v>1752</v>
      </c>
      <c r="E938" s="15">
        <f t="shared" si="14"/>
        <v>1</v>
      </c>
    </row>
    <row r="939" spans="1:5" x14ac:dyDescent="0.35">
      <c r="A939" s="11" t="s">
        <v>1126</v>
      </c>
      <c r="B939" s="9" t="s">
        <v>1752</v>
      </c>
      <c r="C939" s="9" t="s">
        <v>1752</v>
      </c>
      <c r="D939" s="9" t="s">
        <v>1752</v>
      </c>
      <c r="E939" s="15">
        <f t="shared" si="14"/>
        <v>1</v>
      </c>
    </row>
    <row r="940" spans="1:5" x14ac:dyDescent="0.35">
      <c r="A940" s="11" t="s">
        <v>1127</v>
      </c>
      <c r="B940" s="9" t="s">
        <v>1752</v>
      </c>
      <c r="C940" s="9" t="s">
        <v>1752</v>
      </c>
      <c r="D940" s="9" t="s">
        <v>1752</v>
      </c>
      <c r="E940" s="15">
        <f t="shared" si="14"/>
        <v>1</v>
      </c>
    </row>
    <row r="941" spans="1:5" x14ac:dyDescent="0.35">
      <c r="A941" s="10" t="s">
        <v>1128</v>
      </c>
      <c r="B941" s="9" t="s">
        <v>1752</v>
      </c>
      <c r="C941" s="9" t="s">
        <v>1752</v>
      </c>
      <c r="D941" s="9" t="s">
        <v>1752</v>
      </c>
      <c r="E941" s="15">
        <f t="shared" si="14"/>
        <v>1</v>
      </c>
    </row>
    <row r="942" spans="1:5" x14ac:dyDescent="0.35">
      <c r="A942" s="11" t="s">
        <v>1129</v>
      </c>
      <c r="B942" s="9" t="s">
        <v>1752</v>
      </c>
      <c r="C942" s="9" t="s">
        <v>1752</v>
      </c>
      <c r="D942" s="9" t="s">
        <v>1752</v>
      </c>
      <c r="E942" s="15">
        <f t="shared" si="14"/>
        <v>1</v>
      </c>
    </row>
    <row r="943" spans="1:5" x14ac:dyDescent="0.35">
      <c r="A943" s="10" t="s">
        <v>1130</v>
      </c>
      <c r="B943" s="9" t="s">
        <v>1752</v>
      </c>
      <c r="C943" s="9" t="s">
        <v>1752</v>
      </c>
      <c r="D943" s="9" t="s">
        <v>1827</v>
      </c>
      <c r="E943" s="15">
        <f t="shared" si="14"/>
        <v>1</v>
      </c>
    </row>
    <row r="944" spans="1:5" x14ac:dyDescent="0.35">
      <c r="A944" s="11" t="s">
        <v>1131</v>
      </c>
      <c r="B944" s="9" t="s">
        <v>1752</v>
      </c>
      <c r="C944" s="9" t="s">
        <v>1752</v>
      </c>
      <c r="D944" s="9" t="s">
        <v>1752</v>
      </c>
      <c r="E944" s="15">
        <f t="shared" si="14"/>
        <v>1</v>
      </c>
    </row>
    <row r="945" spans="1:5" x14ac:dyDescent="0.35">
      <c r="A945" s="10" t="s">
        <v>1132</v>
      </c>
      <c r="B945" s="9" t="s">
        <v>1752</v>
      </c>
      <c r="C945" s="9" t="s">
        <v>1752</v>
      </c>
      <c r="D945" s="9" t="s">
        <v>1752</v>
      </c>
      <c r="E945" s="15">
        <f t="shared" si="14"/>
        <v>1</v>
      </c>
    </row>
    <row r="946" spans="1:5" x14ac:dyDescent="0.35">
      <c r="A946" s="11" t="s">
        <v>1133</v>
      </c>
      <c r="B946" s="9" t="s">
        <v>1752</v>
      </c>
      <c r="C946" s="9" t="s">
        <v>1752</v>
      </c>
      <c r="D946" s="9" t="s">
        <v>1752</v>
      </c>
      <c r="E946" s="15">
        <f t="shared" si="14"/>
        <v>1</v>
      </c>
    </row>
    <row r="947" spans="1:5" x14ac:dyDescent="0.35">
      <c r="A947" s="10" t="s">
        <v>1134</v>
      </c>
      <c r="B947" s="9" t="s">
        <v>1752</v>
      </c>
      <c r="C947" s="9" t="s">
        <v>1752</v>
      </c>
      <c r="D947" s="9" t="s">
        <v>1752</v>
      </c>
      <c r="E947" s="15">
        <f t="shared" si="14"/>
        <v>1</v>
      </c>
    </row>
    <row r="948" spans="1:5" x14ac:dyDescent="0.35">
      <c r="A948" s="11" t="s">
        <v>1135</v>
      </c>
      <c r="B948" s="9" t="s">
        <v>1752</v>
      </c>
      <c r="C948" s="9" t="s">
        <v>1752</v>
      </c>
      <c r="D948" s="9" t="s">
        <v>1752</v>
      </c>
      <c r="E948" s="15">
        <f t="shared" si="14"/>
        <v>1</v>
      </c>
    </row>
    <row r="949" spans="1:5" x14ac:dyDescent="0.35">
      <c r="A949" s="10" t="s">
        <v>1136</v>
      </c>
      <c r="B949" s="9" t="s">
        <v>1752</v>
      </c>
      <c r="C949" s="9" t="s">
        <v>1752</v>
      </c>
      <c r="D949" s="9" t="s">
        <v>1752</v>
      </c>
      <c r="E949" s="15">
        <f t="shared" si="14"/>
        <v>1</v>
      </c>
    </row>
    <row r="950" spans="1:5" x14ac:dyDescent="0.35">
      <c r="A950" s="11" t="s">
        <v>1137</v>
      </c>
      <c r="B950" s="9" t="s">
        <v>1752</v>
      </c>
      <c r="C950" s="9" t="s">
        <v>1752</v>
      </c>
      <c r="D950" s="9" t="s">
        <v>1752</v>
      </c>
      <c r="E950" s="15">
        <f t="shared" si="14"/>
        <v>1</v>
      </c>
    </row>
    <row r="951" spans="1:5" x14ac:dyDescent="0.35">
      <c r="A951" s="10" t="s">
        <v>1138</v>
      </c>
      <c r="B951" s="9" t="s">
        <v>1752</v>
      </c>
      <c r="C951" s="9" t="s">
        <v>1752</v>
      </c>
      <c r="D951" s="9" t="s">
        <v>1752</v>
      </c>
      <c r="E951" s="15">
        <f t="shared" si="14"/>
        <v>1</v>
      </c>
    </row>
    <row r="952" spans="1:5" x14ac:dyDescent="0.35">
      <c r="A952" s="11" t="s">
        <v>1139</v>
      </c>
      <c r="B952" s="9" t="s">
        <v>1752</v>
      </c>
      <c r="C952" s="9" t="s">
        <v>1752</v>
      </c>
      <c r="D952" s="9" t="s">
        <v>1752</v>
      </c>
      <c r="E952" s="15">
        <f t="shared" si="14"/>
        <v>1</v>
      </c>
    </row>
    <row r="953" spans="1:5" x14ac:dyDescent="0.35">
      <c r="A953" s="10" t="s">
        <v>1140</v>
      </c>
      <c r="B953" s="9" t="s">
        <v>1752</v>
      </c>
      <c r="C953" s="9" t="s">
        <v>1752</v>
      </c>
      <c r="D953" s="9" t="s">
        <v>1752</v>
      </c>
      <c r="E953" s="15">
        <f t="shared" si="14"/>
        <v>1</v>
      </c>
    </row>
    <row r="954" spans="1:5" x14ac:dyDescent="0.35">
      <c r="A954" s="11" t="s">
        <v>1141</v>
      </c>
      <c r="B954" s="9" t="s">
        <v>1827</v>
      </c>
      <c r="C954" s="9" t="s">
        <v>1752</v>
      </c>
      <c r="D954" s="9" t="s">
        <v>1752</v>
      </c>
      <c r="E954" s="15">
        <f t="shared" si="14"/>
        <v>1</v>
      </c>
    </row>
    <row r="955" spans="1:5" x14ac:dyDescent="0.35">
      <c r="A955" s="10" t="s">
        <v>1142</v>
      </c>
      <c r="B955" s="9" t="s">
        <v>1827</v>
      </c>
      <c r="C955" s="9" t="s">
        <v>1752</v>
      </c>
      <c r="D955" s="9" t="s">
        <v>1752</v>
      </c>
      <c r="E955" s="15">
        <f t="shared" si="14"/>
        <v>1</v>
      </c>
    </row>
    <row r="956" spans="1:5" x14ac:dyDescent="0.35">
      <c r="A956" s="10" t="s">
        <v>1143</v>
      </c>
      <c r="B956" s="9" t="s">
        <v>1752</v>
      </c>
      <c r="C956" s="9" t="s">
        <v>1752</v>
      </c>
      <c r="D956" s="9" t="s">
        <v>1827</v>
      </c>
      <c r="E956" s="15">
        <f t="shared" si="14"/>
        <v>1</v>
      </c>
    </row>
    <row r="957" spans="1:5" x14ac:dyDescent="0.35">
      <c r="A957" s="11" t="s">
        <v>1144</v>
      </c>
      <c r="B957" s="9" t="s">
        <v>1752</v>
      </c>
      <c r="C957" s="9" t="s">
        <v>1752</v>
      </c>
      <c r="D957" s="9" t="s">
        <v>1827</v>
      </c>
      <c r="E957" s="15">
        <f t="shared" si="14"/>
        <v>1</v>
      </c>
    </row>
    <row r="958" spans="1:5" x14ac:dyDescent="0.35">
      <c r="A958" s="10" t="s">
        <v>1145</v>
      </c>
      <c r="B958" s="9" t="s">
        <v>1752</v>
      </c>
      <c r="C958" s="9" t="s">
        <v>1752</v>
      </c>
      <c r="D958" s="9" t="s">
        <v>1752</v>
      </c>
      <c r="E958" s="15">
        <f t="shared" si="14"/>
        <v>1</v>
      </c>
    </row>
    <row r="959" spans="1:5" x14ac:dyDescent="0.35">
      <c r="A959" s="11" t="s">
        <v>1146</v>
      </c>
      <c r="B959" s="9" t="s">
        <v>1752</v>
      </c>
      <c r="C959" s="9" t="s">
        <v>1752</v>
      </c>
      <c r="D959" s="9" t="s">
        <v>1752</v>
      </c>
      <c r="E959" s="15">
        <f t="shared" si="14"/>
        <v>1</v>
      </c>
    </row>
    <row r="960" spans="1:5" x14ac:dyDescent="0.35">
      <c r="A960" s="10" t="s">
        <v>1147</v>
      </c>
      <c r="B960" s="9" t="s">
        <v>1752</v>
      </c>
      <c r="C960" s="9" t="s">
        <v>1752</v>
      </c>
      <c r="D960" s="9" t="s">
        <v>1752</v>
      </c>
      <c r="E960" s="15">
        <f t="shared" si="14"/>
        <v>1</v>
      </c>
    </row>
    <row r="961" spans="1:5" x14ac:dyDescent="0.35">
      <c r="A961" s="11" t="s">
        <v>1148</v>
      </c>
      <c r="B961" s="9" t="s">
        <v>1752</v>
      </c>
      <c r="C961" s="9" t="s">
        <v>1752</v>
      </c>
      <c r="D961" s="9" t="s">
        <v>1752</v>
      </c>
      <c r="E961" s="15">
        <f t="shared" si="14"/>
        <v>1</v>
      </c>
    </row>
    <row r="962" spans="1:5" x14ac:dyDescent="0.35">
      <c r="A962" s="10" t="s">
        <v>1149</v>
      </c>
      <c r="B962" s="9" t="s">
        <v>1752</v>
      </c>
      <c r="C962" s="9" t="s">
        <v>1752</v>
      </c>
      <c r="D962" s="9" t="s">
        <v>1752</v>
      </c>
      <c r="E962" s="15">
        <f t="shared" si="14"/>
        <v>1</v>
      </c>
    </row>
    <row r="963" spans="1:5" x14ac:dyDescent="0.35">
      <c r="A963" s="11" t="s">
        <v>1150</v>
      </c>
      <c r="B963" s="9" t="s">
        <v>1827</v>
      </c>
      <c r="C963" s="9" t="s">
        <v>1752</v>
      </c>
      <c r="D963" s="9" t="s">
        <v>1752</v>
      </c>
      <c r="E963" s="15">
        <f t="shared" ref="E963:E1026" si="15">IF(COUNTIF(B963:D963,"Y")&gt;0,1,0)</f>
        <v>1</v>
      </c>
    </row>
    <row r="964" spans="1:5" x14ac:dyDescent="0.35">
      <c r="A964" s="10" t="s">
        <v>1151</v>
      </c>
      <c r="B964" s="9" t="s">
        <v>1752</v>
      </c>
      <c r="C964" s="9" t="s">
        <v>1752</v>
      </c>
      <c r="D964" s="9" t="s">
        <v>1752</v>
      </c>
      <c r="E964" s="15">
        <f t="shared" si="15"/>
        <v>1</v>
      </c>
    </row>
    <row r="965" spans="1:5" x14ac:dyDescent="0.35">
      <c r="A965" s="11" t="s">
        <v>1152</v>
      </c>
      <c r="B965" s="9" t="s">
        <v>1752</v>
      </c>
      <c r="C965" s="9" t="s">
        <v>1752</v>
      </c>
      <c r="D965" s="9" t="s">
        <v>1752</v>
      </c>
      <c r="E965" s="15">
        <f t="shared" si="15"/>
        <v>1</v>
      </c>
    </row>
    <row r="966" spans="1:5" x14ac:dyDescent="0.35">
      <c r="A966" s="10" t="s">
        <v>1153</v>
      </c>
      <c r="B966" s="9" t="s">
        <v>1752</v>
      </c>
      <c r="C966" s="9" t="s">
        <v>1752</v>
      </c>
      <c r="D966" s="9" t="s">
        <v>1752</v>
      </c>
      <c r="E966" s="15">
        <f t="shared" si="15"/>
        <v>1</v>
      </c>
    </row>
    <row r="967" spans="1:5" x14ac:dyDescent="0.35">
      <c r="A967" s="11" t="s">
        <v>1154</v>
      </c>
      <c r="B967" s="9" t="s">
        <v>1752</v>
      </c>
      <c r="C967" s="9" t="s">
        <v>1752</v>
      </c>
      <c r="D967" s="9" t="s">
        <v>1752</v>
      </c>
      <c r="E967" s="15">
        <f t="shared" si="15"/>
        <v>1</v>
      </c>
    </row>
    <row r="968" spans="1:5" x14ac:dyDescent="0.35">
      <c r="A968" s="11" t="s">
        <v>1155</v>
      </c>
      <c r="B968" s="9" t="s">
        <v>1752</v>
      </c>
      <c r="C968" s="9" t="s">
        <v>1752</v>
      </c>
      <c r="D968" s="9" t="s">
        <v>1752</v>
      </c>
      <c r="E968" s="15">
        <f t="shared" si="15"/>
        <v>1</v>
      </c>
    </row>
    <row r="969" spans="1:5" x14ac:dyDescent="0.35">
      <c r="A969" s="10" t="s">
        <v>1156</v>
      </c>
      <c r="B969" s="9" t="s">
        <v>1752</v>
      </c>
      <c r="C969" s="9" t="s">
        <v>1752</v>
      </c>
      <c r="D969" s="9" t="s">
        <v>1752</v>
      </c>
      <c r="E969" s="15">
        <f t="shared" si="15"/>
        <v>1</v>
      </c>
    </row>
    <row r="970" spans="1:5" x14ac:dyDescent="0.35">
      <c r="A970" s="10" t="s">
        <v>1157</v>
      </c>
      <c r="B970" s="9" t="s">
        <v>1752</v>
      </c>
      <c r="C970" s="9" t="s">
        <v>1752</v>
      </c>
      <c r="D970" s="9" t="s">
        <v>1752</v>
      </c>
      <c r="E970" s="15">
        <f t="shared" si="15"/>
        <v>1</v>
      </c>
    </row>
    <row r="971" spans="1:5" x14ac:dyDescent="0.35">
      <c r="A971" s="10" t="s">
        <v>1158</v>
      </c>
      <c r="B971" s="9" t="s">
        <v>1752</v>
      </c>
      <c r="C971" s="9" t="s">
        <v>1752</v>
      </c>
      <c r="D971" s="9" t="s">
        <v>1752</v>
      </c>
      <c r="E971" s="15">
        <f t="shared" si="15"/>
        <v>1</v>
      </c>
    </row>
    <row r="972" spans="1:5" x14ac:dyDescent="0.35">
      <c r="A972" s="11" t="s">
        <v>1159</v>
      </c>
      <c r="B972" s="9" t="s">
        <v>1752</v>
      </c>
      <c r="C972" s="9" t="s">
        <v>1752</v>
      </c>
      <c r="D972" s="9" t="s">
        <v>1752</v>
      </c>
      <c r="E972" s="15">
        <f t="shared" si="15"/>
        <v>1</v>
      </c>
    </row>
    <row r="973" spans="1:5" x14ac:dyDescent="0.35">
      <c r="A973" s="10" t="s">
        <v>1160</v>
      </c>
      <c r="B973" s="9" t="s">
        <v>1752</v>
      </c>
      <c r="C973" s="9" t="s">
        <v>1752</v>
      </c>
      <c r="D973" s="9" t="s">
        <v>1752</v>
      </c>
      <c r="E973" s="15">
        <f t="shared" si="15"/>
        <v>1</v>
      </c>
    </row>
    <row r="974" spans="1:5" x14ac:dyDescent="0.35">
      <c r="A974" s="11" t="s">
        <v>1161</v>
      </c>
      <c r="B974" s="9" t="s">
        <v>1752</v>
      </c>
      <c r="C974" s="9" t="s">
        <v>1752</v>
      </c>
      <c r="D974" s="9" t="s">
        <v>1827</v>
      </c>
      <c r="E974" s="15">
        <f t="shared" si="15"/>
        <v>1</v>
      </c>
    </row>
    <row r="975" spans="1:5" x14ac:dyDescent="0.35">
      <c r="A975" s="11" t="s">
        <v>1162</v>
      </c>
      <c r="B975" s="9" t="s">
        <v>1752</v>
      </c>
      <c r="C975" s="9" t="s">
        <v>1752</v>
      </c>
      <c r="D975" s="9" t="s">
        <v>1827</v>
      </c>
      <c r="E975" s="15">
        <f t="shared" si="15"/>
        <v>1</v>
      </c>
    </row>
    <row r="976" spans="1:5" x14ac:dyDescent="0.35">
      <c r="A976" s="10" t="s">
        <v>1163</v>
      </c>
      <c r="B976" s="9" t="s">
        <v>1752</v>
      </c>
      <c r="C976" s="9" t="s">
        <v>1752</v>
      </c>
      <c r="D976" s="9" t="s">
        <v>1752</v>
      </c>
      <c r="E976" s="15">
        <f t="shared" si="15"/>
        <v>1</v>
      </c>
    </row>
    <row r="977" spans="1:5" x14ac:dyDescent="0.35">
      <c r="A977" s="11" t="s">
        <v>1164</v>
      </c>
      <c r="B977" s="9" t="s">
        <v>1752</v>
      </c>
      <c r="C977" s="9" t="s">
        <v>1752</v>
      </c>
      <c r="D977" s="9" t="s">
        <v>1752</v>
      </c>
      <c r="E977" s="15">
        <f t="shared" si="15"/>
        <v>1</v>
      </c>
    </row>
    <row r="978" spans="1:5" x14ac:dyDescent="0.35">
      <c r="A978" s="10" t="s">
        <v>1165</v>
      </c>
      <c r="B978" s="9" t="s">
        <v>1752</v>
      </c>
      <c r="C978" s="9" t="s">
        <v>1752</v>
      </c>
      <c r="D978" s="9" t="s">
        <v>1752</v>
      </c>
      <c r="E978" s="15">
        <f t="shared" si="15"/>
        <v>1</v>
      </c>
    </row>
    <row r="979" spans="1:5" x14ac:dyDescent="0.35">
      <c r="A979" s="11" t="s">
        <v>1166</v>
      </c>
      <c r="B979" s="9" t="s">
        <v>1752</v>
      </c>
      <c r="C979" s="9" t="s">
        <v>1752</v>
      </c>
      <c r="D979" s="9" t="s">
        <v>1752</v>
      </c>
      <c r="E979" s="15">
        <f t="shared" si="15"/>
        <v>1</v>
      </c>
    </row>
    <row r="980" spans="1:5" x14ac:dyDescent="0.35">
      <c r="A980" s="10" t="s">
        <v>1167</v>
      </c>
      <c r="B980" s="9" t="s">
        <v>1752</v>
      </c>
      <c r="C980" s="9" t="s">
        <v>1752</v>
      </c>
      <c r="D980" s="9" t="s">
        <v>1752</v>
      </c>
      <c r="E980" s="15">
        <f t="shared" si="15"/>
        <v>1</v>
      </c>
    </row>
    <row r="981" spans="1:5" x14ac:dyDescent="0.35">
      <c r="A981" s="11" t="s">
        <v>1168</v>
      </c>
      <c r="B981" s="9" t="s">
        <v>1752</v>
      </c>
      <c r="C981" s="9" t="s">
        <v>1752</v>
      </c>
      <c r="D981" s="9" t="s">
        <v>1752</v>
      </c>
      <c r="E981" s="15">
        <f t="shared" si="15"/>
        <v>1</v>
      </c>
    </row>
    <row r="982" spans="1:5" x14ac:dyDescent="0.35">
      <c r="A982" s="10" t="s">
        <v>1169</v>
      </c>
      <c r="B982" s="9" t="s">
        <v>1752</v>
      </c>
      <c r="C982" s="9" t="s">
        <v>1752</v>
      </c>
      <c r="D982" s="9" t="s">
        <v>1752</v>
      </c>
      <c r="E982" s="15">
        <f t="shared" si="15"/>
        <v>1</v>
      </c>
    </row>
    <row r="983" spans="1:5" x14ac:dyDescent="0.35">
      <c r="A983" s="11" t="s">
        <v>1170</v>
      </c>
      <c r="B983" s="9" t="s">
        <v>1752</v>
      </c>
      <c r="C983" s="9" t="s">
        <v>1752</v>
      </c>
      <c r="D983" s="9" t="s">
        <v>1752</v>
      </c>
      <c r="E983" s="15">
        <f t="shared" si="15"/>
        <v>1</v>
      </c>
    </row>
    <row r="984" spans="1:5" x14ac:dyDescent="0.35">
      <c r="A984" s="10" t="s">
        <v>1171</v>
      </c>
      <c r="B984" s="9" t="s">
        <v>1752</v>
      </c>
      <c r="C984" s="9" t="s">
        <v>1752</v>
      </c>
      <c r="D984" s="9" t="s">
        <v>1752</v>
      </c>
      <c r="E984" s="15">
        <f t="shared" si="15"/>
        <v>1</v>
      </c>
    </row>
    <row r="985" spans="1:5" x14ac:dyDescent="0.35">
      <c r="A985" s="11" t="s">
        <v>1172</v>
      </c>
      <c r="B985" s="9" t="s">
        <v>1752</v>
      </c>
      <c r="C985" s="9" t="s">
        <v>1752</v>
      </c>
      <c r="D985" s="9" t="s">
        <v>1827</v>
      </c>
      <c r="E985" s="15">
        <f t="shared" si="15"/>
        <v>1</v>
      </c>
    </row>
    <row r="986" spans="1:5" x14ac:dyDescent="0.35">
      <c r="A986" s="11" t="s">
        <v>1173</v>
      </c>
      <c r="B986" s="9" t="s">
        <v>1752</v>
      </c>
      <c r="C986" s="9" t="s">
        <v>1752</v>
      </c>
      <c r="D986" s="9" t="s">
        <v>1752</v>
      </c>
      <c r="E986" s="15">
        <f t="shared" si="15"/>
        <v>1</v>
      </c>
    </row>
    <row r="987" spans="1:5" x14ac:dyDescent="0.35">
      <c r="A987" s="10" t="s">
        <v>1174</v>
      </c>
      <c r="B987" s="9" t="s">
        <v>1827</v>
      </c>
      <c r="C987" s="9" t="s">
        <v>1752</v>
      </c>
      <c r="D987" s="9" t="s">
        <v>1752</v>
      </c>
      <c r="E987" s="15">
        <f t="shared" si="15"/>
        <v>1</v>
      </c>
    </row>
    <row r="988" spans="1:5" x14ac:dyDescent="0.35">
      <c r="A988" s="11" t="s">
        <v>1175</v>
      </c>
      <c r="B988" s="9" t="s">
        <v>1827</v>
      </c>
      <c r="C988" s="9" t="s">
        <v>1752</v>
      </c>
      <c r="D988" s="9" t="s">
        <v>1752</v>
      </c>
      <c r="E988" s="15">
        <f t="shared" si="15"/>
        <v>1</v>
      </c>
    </row>
    <row r="989" spans="1:5" x14ac:dyDescent="0.35">
      <c r="A989" s="10" t="s">
        <v>1176</v>
      </c>
      <c r="B989" s="9" t="s">
        <v>1827</v>
      </c>
      <c r="C989" s="9" t="s">
        <v>1752</v>
      </c>
      <c r="D989" s="9" t="s">
        <v>1752</v>
      </c>
      <c r="E989" s="15">
        <f t="shared" si="15"/>
        <v>1</v>
      </c>
    </row>
    <row r="990" spans="1:5" x14ac:dyDescent="0.35">
      <c r="A990" s="11" t="s">
        <v>1177</v>
      </c>
      <c r="B990" s="9" t="s">
        <v>1827</v>
      </c>
      <c r="C990" s="9" t="s">
        <v>1752</v>
      </c>
      <c r="D990" s="9" t="s">
        <v>1752</v>
      </c>
      <c r="E990" s="15">
        <f t="shared" si="15"/>
        <v>1</v>
      </c>
    </row>
    <row r="991" spans="1:5" x14ac:dyDescent="0.35">
      <c r="A991" s="10" t="s">
        <v>1178</v>
      </c>
      <c r="B991" s="9" t="s">
        <v>1827</v>
      </c>
      <c r="C991" s="9" t="s">
        <v>1752</v>
      </c>
      <c r="D991" s="9" t="s">
        <v>1752</v>
      </c>
      <c r="E991" s="15">
        <f t="shared" si="15"/>
        <v>1</v>
      </c>
    </row>
    <row r="992" spans="1:5" x14ac:dyDescent="0.35">
      <c r="A992" s="10" t="s">
        <v>1179</v>
      </c>
      <c r="B992" s="9" t="s">
        <v>1752</v>
      </c>
      <c r="C992" s="9" t="s">
        <v>1752</v>
      </c>
      <c r="D992" s="9" t="s">
        <v>1752</v>
      </c>
      <c r="E992" s="15">
        <f t="shared" si="15"/>
        <v>1</v>
      </c>
    </row>
    <row r="993" spans="1:5" x14ac:dyDescent="0.35">
      <c r="A993" s="11" t="s">
        <v>1180</v>
      </c>
      <c r="B993" s="9" t="s">
        <v>1752</v>
      </c>
      <c r="C993" s="9" t="s">
        <v>1752</v>
      </c>
      <c r="D993" s="9" t="s">
        <v>1752</v>
      </c>
      <c r="E993" s="15">
        <f t="shared" si="15"/>
        <v>1</v>
      </c>
    </row>
    <row r="994" spans="1:5" x14ac:dyDescent="0.35">
      <c r="A994" s="11" t="s">
        <v>1181</v>
      </c>
      <c r="B994" s="9" t="s">
        <v>1752</v>
      </c>
      <c r="C994" s="9" t="s">
        <v>1752</v>
      </c>
      <c r="D994" s="9" t="s">
        <v>1752</v>
      </c>
      <c r="E994" s="15">
        <f t="shared" si="15"/>
        <v>1</v>
      </c>
    </row>
    <row r="995" spans="1:5" x14ac:dyDescent="0.35">
      <c r="A995" s="10" t="s">
        <v>1182</v>
      </c>
      <c r="B995" s="9" t="s">
        <v>1752</v>
      </c>
      <c r="C995" s="9" t="s">
        <v>1752</v>
      </c>
      <c r="D995" s="9" t="s">
        <v>1752</v>
      </c>
      <c r="E995" s="15">
        <f t="shared" si="15"/>
        <v>1</v>
      </c>
    </row>
    <row r="996" spans="1:5" x14ac:dyDescent="0.35">
      <c r="A996" s="11" t="s">
        <v>1183</v>
      </c>
      <c r="B996" s="9" t="s">
        <v>1752</v>
      </c>
      <c r="C996" s="9" t="s">
        <v>1752</v>
      </c>
      <c r="D996" s="9" t="s">
        <v>1752</v>
      </c>
      <c r="E996" s="15">
        <f t="shared" si="15"/>
        <v>1</v>
      </c>
    </row>
    <row r="997" spans="1:5" x14ac:dyDescent="0.35">
      <c r="A997" s="10" t="s">
        <v>1184</v>
      </c>
      <c r="B997" s="9" t="s">
        <v>1752</v>
      </c>
      <c r="C997" s="9" t="s">
        <v>1752</v>
      </c>
      <c r="D997" s="9" t="s">
        <v>1752</v>
      </c>
      <c r="E997" s="15">
        <f t="shared" si="15"/>
        <v>1</v>
      </c>
    </row>
    <row r="998" spans="1:5" x14ac:dyDescent="0.35">
      <c r="A998" s="11" t="s">
        <v>1185</v>
      </c>
      <c r="B998" s="9" t="s">
        <v>1752</v>
      </c>
      <c r="C998" s="9" t="s">
        <v>1752</v>
      </c>
      <c r="D998" s="9" t="s">
        <v>1752</v>
      </c>
      <c r="E998" s="15">
        <f t="shared" si="15"/>
        <v>1</v>
      </c>
    </row>
    <row r="999" spans="1:5" x14ac:dyDescent="0.35">
      <c r="A999" s="10" t="s">
        <v>1186</v>
      </c>
      <c r="B999" s="9" t="s">
        <v>1752</v>
      </c>
      <c r="C999" s="9" t="s">
        <v>1752</v>
      </c>
      <c r="D999" s="9" t="s">
        <v>1752</v>
      </c>
      <c r="E999" s="15">
        <f t="shared" si="15"/>
        <v>1</v>
      </c>
    </row>
    <row r="1000" spans="1:5" x14ac:dyDescent="0.35">
      <c r="A1000" s="10" t="s">
        <v>1187</v>
      </c>
      <c r="B1000" s="9" t="s">
        <v>1752</v>
      </c>
      <c r="C1000" s="9" t="s">
        <v>1752</v>
      </c>
      <c r="D1000" s="9" t="s">
        <v>1752</v>
      </c>
      <c r="E1000" s="15">
        <f t="shared" si="15"/>
        <v>1</v>
      </c>
    </row>
    <row r="1001" spans="1:5" x14ac:dyDescent="0.35">
      <c r="A1001" s="10" t="s">
        <v>1188</v>
      </c>
      <c r="B1001" s="9" t="s">
        <v>1827</v>
      </c>
      <c r="C1001" s="9" t="s">
        <v>1752</v>
      </c>
      <c r="D1001" s="9" t="s">
        <v>1752</v>
      </c>
      <c r="E1001" s="15">
        <f t="shared" si="15"/>
        <v>1</v>
      </c>
    </row>
    <row r="1002" spans="1:5" x14ac:dyDescent="0.35">
      <c r="A1002" s="11" t="s">
        <v>1189</v>
      </c>
      <c r="B1002" s="9" t="s">
        <v>1752</v>
      </c>
      <c r="C1002" s="9" t="s">
        <v>1752</v>
      </c>
      <c r="D1002" s="9" t="s">
        <v>1752</v>
      </c>
      <c r="E1002" s="15">
        <f t="shared" si="15"/>
        <v>1</v>
      </c>
    </row>
    <row r="1003" spans="1:5" x14ac:dyDescent="0.35">
      <c r="A1003" s="10" t="s">
        <v>1190</v>
      </c>
      <c r="B1003" s="9" t="s">
        <v>1827</v>
      </c>
      <c r="C1003" s="9" t="s">
        <v>1752</v>
      </c>
      <c r="D1003" s="9" t="s">
        <v>1752</v>
      </c>
      <c r="E1003" s="15">
        <f t="shared" si="15"/>
        <v>1</v>
      </c>
    </row>
    <row r="1004" spans="1:5" x14ac:dyDescent="0.35">
      <c r="A1004" s="11" t="s">
        <v>1191</v>
      </c>
      <c r="B1004" s="9" t="s">
        <v>1827</v>
      </c>
      <c r="C1004" s="9" t="s">
        <v>1752</v>
      </c>
      <c r="D1004" s="9" t="s">
        <v>1752</v>
      </c>
      <c r="E1004" s="15">
        <f t="shared" si="15"/>
        <v>1</v>
      </c>
    </row>
    <row r="1005" spans="1:5" x14ac:dyDescent="0.35">
      <c r="A1005" s="10" t="s">
        <v>1192</v>
      </c>
      <c r="B1005" s="9" t="s">
        <v>1827</v>
      </c>
      <c r="C1005" s="9" t="s">
        <v>1752</v>
      </c>
      <c r="D1005" s="9" t="s">
        <v>1752</v>
      </c>
      <c r="E1005" s="15">
        <f t="shared" si="15"/>
        <v>1</v>
      </c>
    </row>
    <row r="1006" spans="1:5" x14ac:dyDescent="0.35">
      <c r="A1006" s="10" t="s">
        <v>1193</v>
      </c>
      <c r="B1006" s="9" t="s">
        <v>1752</v>
      </c>
      <c r="C1006" s="9" t="s">
        <v>1752</v>
      </c>
      <c r="D1006" s="9" t="s">
        <v>1752</v>
      </c>
      <c r="E1006" s="15">
        <f t="shared" si="15"/>
        <v>1</v>
      </c>
    </row>
    <row r="1007" spans="1:5" x14ac:dyDescent="0.35">
      <c r="A1007" s="11" t="s">
        <v>1194</v>
      </c>
      <c r="B1007" s="9" t="s">
        <v>1752</v>
      </c>
      <c r="C1007" s="9" t="s">
        <v>1752</v>
      </c>
      <c r="D1007" s="9" t="s">
        <v>1752</v>
      </c>
      <c r="E1007" s="15">
        <f t="shared" si="15"/>
        <v>1</v>
      </c>
    </row>
    <row r="1008" spans="1:5" x14ac:dyDescent="0.35">
      <c r="A1008" s="10" t="s">
        <v>1195</v>
      </c>
      <c r="B1008" s="9" t="s">
        <v>1752</v>
      </c>
      <c r="C1008" s="9" t="s">
        <v>1752</v>
      </c>
      <c r="D1008" s="9" t="s">
        <v>1752</v>
      </c>
      <c r="E1008" s="15">
        <f t="shared" si="15"/>
        <v>1</v>
      </c>
    </row>
    <row r="1009" spans="1:5" x14ac:dyDescent="0.35">
      <c r="A1009" s="10" t="s">
        <v>1196</v>
      </c>
      <c r="B1009" s="9" t="s">
        <v>1752</v>
      </c>
      <c r="C1009" s="9" t="s">
        <v>1752</v>
      </c>
      <c r="D1009" s="9" t="s">
        <v>1752</v>
      </c>
      <c r="E1009" s="15">
        <f t="shared" si="15"/>
        <v>1</v>
      </c>
    </row>
    <row r="1010" spans="1:5" x14ac:dyDescent="0.35">
      <c r="A1010" s="10" t="s">
        <v>1197</v>
      </c>
      <c r="B1010" s="9" t="s">
        <v>1752</v>
      </c>
      <c r="C1010" s="9" t="s">
        <v>1752</v>
      </c>
      <c r="D1010" s="9" t="s">
        <v>1752</v>
      </c>
      <c r="E1010" s="15">
        <f t="shared" si="15"/>
        <v>1</v>
      </c>
    </row>
    <row r="1011" spans="1:5" x14ac:dyDescent="0.35">
      <c r="A1011" s="11" t="s">
        <v>1198</v>
      </c>
      <c r="B1011" s="9" t="s">
        <v>1752</v>
      </c>
      <c r="C1011" s="9" t="s">
        <v>1752</v>
      </c>
      <c r="D1011" s="9" t="s">
        <v>1827</v>
      </c>
      <c r="E1011" s="15">
        <f t="shared" si="15"/>
        <v>1</v>
      </c>
    </row>
    <row r="1012" spans="1:5" x14ac:dyDescent="0.35">
      <c r="A1012" s="11" t="s">
        <v>1199</v>
      </c>
      <c r="B1012" s="9" t="s">
        <v>1752</v>
      </c>
      <c r="C1012" s="9" t="s">
        <v>1752</v>
      </c>
      <c r="D1012" s="9" t="s">
        <v>1752</v>
      </c>
      <c r="E1012" s="15">
        <f t="shared" si="15"/>
        <v>1</v>
      </c>
    </row>
    <row r="1013" spans="1:5" x14ac:dyDescent="0.35">
      <c r="A1013" s="11" t="s">
        <v>1200</v>
      </c>
      <c r="B1013" s="9" t="s">
        <v>1752</v>
      </c>
      <c r="C1013" s="9" t="s">
        <v>1752</v>
      </c>
      <c r="D1013" s="9" t="s">
        <v>1752</v>
      </c>
      <c r="E1013" s="15">
        <f t="shared" si="15"/>
        <v>1</v>
      </c>
    </row>
    <row r="1014" spans="1:5" x14ac:dyDescent="0.35">
      <c r="A1014" s="10" t="s">
        <v>1201</v>
      </c>
      <c r="B1014" s="9" t="s">
        <v>1752</v>
      </c>
      <c r="C1014" s="9" t="s">
        <v>1752</v>
      </c>
      <c r="D1014" s="9" t="s">
        <v>1752</v>
      </c>
      <c r="E1014" s="15">
        <f t="shared" si="15"/>
        <v>1</v>
      </c>
    </row>
    <row r="1015" spans="1:5" x14ac:dyDescent="0.35">
      <c r="A1015" s="11" t="s">
        <v>1202</v>
      </c>
      <c r="B1015" s="9" t="s">
        <v>1752</v>
      </c>
      <c r="C1015" s="9" t="s">
        <v>1752</v>
      </c>
      <c r="D1015" s="9" t="s">
        <v>1752</v>
      </c>
      <c r="E1015" s="15">
        <f t="shared" si="15"/>
        <v>1</v>
      </c>
    </row>
    <row r="1016" spans="1:5" x14ac:dyDescent="0.35">
      <c r="A1016" s="11" t="s">
        <v>1203</v>
      </c>
      <c r="B1016" s="9" t="s">
        <v>1752</v>
      </c>
      <c r="C1016" s="9" t="s">
        <v>1752</v>
      </c>
      <c r="D1016" s="9" t="s">
        <v>1752</v>
      </c>
      <c r="E1016" s="15">
        <f t="shared" si="15"/>
        <v>1</v>
      </c>
    </row>
    <row r="1017" spans="1:5" x14ac:dyDescent="0.35">
      <c r="A1017" s="10" t="s">
        <v>1204</v>
      </c>
      <c r="B1017" s="9" t="s">
        <v>1752</v>
      </c>
      <c r="C1017" s="9" t="s">
        <v>1752</v>
      </c>
      <c r="D1017" s="9" t="s">
        <v>1752</v>
      </c>
      <c r="E1017" s="15">
        <f t="shared" si="15"/>
        <v>1</v>
      </c>
    </row>
    <row r="1018" spans="1:5" x14ac:dyDescent="0.35">
      <c r="A1018" s="11" t="s">
        <v>1205</v>
      </c>
      <c r="B1018" s="9" t="s">
        <v>1752</v>
      </c>
      <c r="C1018" s="9" t="s">
        <v>1752</v>
      </c>
      <c r="D1018" s="9" t="s">
        <v>1752</v>
      </c>
      <c r="E1018" s="15">
        <f t="shared" si="15"/>
        <v>1</v>
      </c>
    </row>
    <row r="1019" spans="1:5" x14ac:dyDescent="0.35">
      <c r="A1019" s="11" t="s">
        <v>1206</v>
      </c>
      <c r="B1019" s="9" t="s">
        <v>1752</v>
      </c>
      <c r="C1019" s="9" t="s">
        <v>1752</v>
      </c>
      <c r="D1019" s="9" t="s">
        <v>1752</v>
      </c>
      <c r="E1019" s="15">
        <f t="shared" si="15"/>
        <v>1</v>
      </c>
    </row>
    <row r="1020" spans="1:5" x14ac:dyDescent="0.35">
      <c r="A1020" s="10" t="s">
        <v>1207</v>
      </c>
      <c r="B1020" s="9" t="s">
        <v>1752</v>
      </c>
      <c r="C1020" s="9" t="s">
        <v>1752</v>
      </c>
      <c r="D1020" s="9" t="s">
        <v>1752</v>
      </c>
      <c r="E1020" s="15">
        <f t="shared" si="15"/>
        <v>1</v>
      </c>
    </row>
    <row r="1021" spans="1:5" x14ac:dyDescent="0.35">
      <c r="A1021" s="10" t="s">
        <v>1208</v>
      </c>
      <c r="B1021" s="9" t="s">
        <v>1752</v>
      </c>
      <c r="C1021" s="9" t="s">
        <v>1752</v>
      </c>
      <c r="D1021" s="9" t="s">
        <v>1752</v>
      </c>
      <c r="E1021" s="15">
        <f t="shared" si="15"/>
        <v>1</v>
      </c>
    </row>
    <row r="1022" spans="1:5" x14ac:dyDescent="0.35">
      <c r="A1022" s="11" t="s">
        <v>1209</v>
      </c>
      <c r="B1022" s="9" t="s">
        <v>1752</v>
      </c>
      <c r="C1022" s="9" t="s">
        <v>1752</v>
      </c>
      <c r="D1022" s="9" t="s">
        <v>1752</v>
      </c>
      <c r="E1022" s="15">
        <f t="shared" si="15"/>
        <v>1</v>
      </c>
    </row>
    <row r="1023" spans="1:5" x14ac:dyDescent="0.35">
      <c r="A1023" s="10" t="s">
        <v>1210</v>
      </c>
      <c r="B1023" s="9" t="s">
        <v>1752</v>
      </c>
      <c r="C1023" s="9" t="s">
        <v>1752</v>
      </c>
      <c r="D1023" s="9" t="s">
        <v>1752</v>
      </c>
      <c r="E1023" s="15">
        <f t="shared" si="15"/>
        <v>1</v>
      </c>
    </row>
    <row r="1024" spans="1:5" x14ac:dyDescent="0.35">
      <c r="A1024" s="11" t="s">
        <v>1211</v>
      </c>
      <c r="B1024" s="9" t="s">
        <v>1827</v>
      </c>
      <c r="C1024" s="9" t="s">
        <v>1752</v>
      </c>
      <c r="D1024" s="9" t="s">
        <v>1752</v>
      </c>
      <c r="E1024" s="15">
        <f t="shared" si="15"/>
        <v>1</v>
      </c>
    </row>
    <row r="1025" spans="1:5" x14ac:dyDescent="0.35">
      <c r="A1025" s="11" t="s">
        <v>1212</v>
      </c>
      <c r="B1025" s="9" t="s">
        <v>1752</v>
      </c>
      <c r="C1025" s="9" t="s">
        <v>1752</v>
      </c>
      <c r="D1025" s="9" t="s">
        <v>1752</v>
      </c>
      <c r="E1025" s="15">
        <f t="shared" si="15"/>
        <v>1</v>
      </c>
    </row>
    <row r="1026" spans="1:5" x14ac:dyDescent="0.35">
      <c r="A1026" s="10" t="s">
        <v>1213</v>
      </c>
      <c r="B1026" s="9" t="s">
        <v>1752</v>
      </c>
      <c r="C1026" s="9" t="s">
        <v>1752</v>
      </c>
      <c r="D1026" s="9" t="s">
        <v>1752</v>
      </c>
      <c r="E1026" s="15">
        <f t="shared" si="15"/>
        <v>1</v>
      </c>
    </row>
    <row r="1027" spans="1:5" x14ac:dyDescent="0.35">
      <c r="A1027" s="11" t="s">
        <v>1214</v>
      </c>
      <c r="B1027" s="9" t="s">
        <v>1752</v>
      </c>
      <c r="C1027" s="9" t="s">
        <v>1752</v>
      </c>
      <c r="D1027" s="9" t="s">
        <v>1752</v>
      </c>
      <c r="E1027" s="15">
        <f t="shared" ref="E1027:E1090" si="16">IF(COUNTIF(B1027:D1027,"Y")&gt;0,1,0)</f>
        <v>1</v>
      </c>
    </row>
    <row r="1028" spans="1:5" x14ac:dyDescent="0.35">
      <c r="A1028" s="11" t="s">
        <v>1215</v>
      </c>
      <c r="B1028" s="9" t="s">
        <v>1752</v>
      </c>
      <c r="C1028" s="9" t="s">
        <v>1752</v>
      </c>
      <c r="D1028" s="9" t="s">
        <v>1752</v>
      </c>
      <c r="E1028" s="15">
        <f t="shared" si="16"/>
        <v>1</v>
      </c>
    </row>
    <row r="1029" spans="1:5" x14ac:dyDescent="0.35">
      <c r="A1029" s="10" t="s">
        <v>1216</v>
      </c>
      <c r="B1029" s="9" t="s">
        <v>1827</v>
      </c>
      <c r="C1029" s="9" t="s">
        <v>1752</v>
      </c>
      <c r="D1029" s="9" t="s">
        <v>1752</v>
      </c>
      <c r="E1029" s="15">
        <f t="shared" si="16"/>
        <v>1</v>
      </c>
    </row>
    <row r="1030" spans="1:5" x14ac:dyDescent="0.35">
      <c r="A1030" s="11" t="s">
        <v>1217</v>
      </c>
      <c r="B1030" s="9" t="s">
        <v>1752</v>
      </c>
      <c r="C1030" s="9" t="s">
        <v>1752</v>
      </c>
      <c r="D1030" s="9" t="s">
        <v>1752</v>
      </c>
      <c r="E1030" s="15">
        <f t="shared" si="16"/>
        <v>1</v>
      </c>
    </row>
    <row r="1031" spans="1:5" x14ac:dyDescent="0.35">
      <c r="A1031" s="10" t="s">
        <v>1218</v>
      </c>
      <c r="B1031" s="9" t="s">
        <v>1752</v>
      </c>
      <c r="C1031" s="9" t="s">
        <v>1752</v>
      </c>
      <c r="D1031" s="9" t="s">
        <v>1752</v>
      </c>
      <c r="E1031" s="15">
        <f t="shared" si="16"/>
        <v>1</v>
      </c>
    </row>
    <row r="1032" spans="1:5" x14ac:dyDescent="0.35">
      <c r="A1032" s="10" t="s">
        <v>1219</v>
      </c>
      <c r="B1032" s="9" t="s">
        <v>1752</v>
      </c>
      <c r="C1032" s="9" t="s">
        <v>1752</v>
      </c>
      <c r="D1032" s="9" t="s">
        <v>1752</v>
      </c>
      <c r="E1032" s="15">
        <f t="shared" si="16"/>
        <v>1</v>
      </c>
    </row>
    <row r="1033" spans="1:5" x14ac:dyDescent="0.35">
      <c r="A1033" s="10" t="s">
        <v>1220</v>
      </c>
      <c r="B1033" s="9" t="s">
        <v>1752</v>
      </c>
      <c r="C1033" s="9" t="s">
        <v>1752</v>
      </c>
      <c r="D1033" s="9" t="s">
        <v>1752</v>
      </c>
      <c r="E1033" s="15">
        <f t="shared" si="16"/>
        <v>1</v>
      </c>
    </row>
    <row r="1034" spans="1:5" x14ac:dyDescent="0.35">
      <c r="A1034" s="10" t="s">
        <v>1221</v>
      </c>
      <c r="B1034" s="9" t="s">
        <v>1752</v>
      </c>
      <c r="C1034" s="9" t="s">
        <v>1752</v>
      </c>
      <c r="D1034" s="9" t="s">
        <v>1752</v>
      </c>
      <c r="E1034" s="15">
        <f t="shared" si="16"/>
        <v>1</v>
      </c>
    </row>
    <row r="1035" spans="1:5" x14ac:dyDescent="0.35">
      <c r="A1035" s="11" t="s">
        <v>1222</v>
      </c>
      <c r="B1035" s="9" t="s">
        <v>1752</v>
      </c>
      <c r="C1035" s="9" t="s">
        <v>1752</v>
      </c>
      <c r="D1035" s="9" t="s">
        <v>1827</v>
      </c>
      <c r="E1035" s="15">
        <f t="shared" si="16"/>
        <v>1</v>
      </c>
    </row>
    <row r="1036" spans="1:5" x14ac:dyDescent="0.35">
      <c r="A1036" s="11" t="s">
        <v>1223</v>
      </c>
      <c r="B1036" s="9" t="s">
        <v>1752</v>
      </c>
      <c r="C1036" s="9" t="s">
        <v>1752</v>
      </c>
      <c r="D1036" s="9" t="s">
        <v>1752</v>
      </c>
      <c r="E1036" s="15">
        <f t="shared" si="16"/>
        <v>1</v>
      </c>
    </row>
    <row r="1037" spans="1:5" x14ac:dyDescent="0.35">
      <c r="A1037" s="10" t="s">
        <v>1224</v>
      </c>
      <c r="B1037" s="9" t="s">
        <v>1752</v>
      </c>
      <c r="C1037" s="9" t="s">
        <v>1752</v>
      </c>
      <c r="D1037" s="9" t="s">
        <v>1752</v>
      </c>
      <c r="E1037" s="15">
        <f t="shared" si="16"/>
        <v>1</v>
      </c>
    </row>
    <row r="1038" spans="1:5" x14ac:dyDescent="0.35">
      <c r="A1038" s="11" t="s">
        <v>1225</v>
      </c>
      <c r="B1038" s="9" t="s">
        <v>1752</v>
      </c>
      <c r="C1038" s="9" t="s">
        <v>1752</v>
      </c>
      <c r="D1038" s="9" t="s">
        <v>1752</v>
      </c>
      <c r="E1038" s="15">
        <f t="shared" si="16"/>
        <v>1</v>
      </c>
    </row>
    <row r="1039" spans="1:5" x14ac:dyDescent="0.35">
      <c r="A1039" s="10" t="s">
        <v>1226</v>
      </c>
      <c r="B1039" s="9" t="s">
        <v>1752</v>
      </c>
      <c r="C1039" s="9" t="s">
        <v>1752</v>
      </c>
      <c r="D1039" s="9" t="s">
        <v>1752</v>
      </c>
      <c r="E1039" s="15">
        <f t="shared" si="16"/>
        <v>1</v>
      </c>
    </row>
    <row r="1040" spans="1:5" x14ac:dyDescent="0.35">
      <c r="A1040" s="11" t="s">
        <v>1227</v>
      </c>
      <c r="B1040" s="9" t="s">
        <v>1752</v>
      </c>
      <c r="C1040" s="9" t="s">
        <v>1752</v>
      </c>
      <c r="D1040" s="9" t="s">
        <v>1752</v>
      </c>
      <c r="E1040" s="15">
        <f t="shared" si="16"/>
        <v>1</v>
      </c>
    </row>
    <row r="1041" spans="1:5" x14ac:dyDescent="0.35">
      <c r="A1041" s="10" t="s">
        <v>1228</v>
      </c>
      <c r="B1041" s="9" t="s">
        <v>1752</v>
      </c>
      <c r="C1041" s="9" t="s">
        <v>1752</v>
      </c>
      <c r="D1041" s="9" t="s">
        <v>1752</v>
      </c>
      <c r="E1041" s="15">
        <f t="shared" si="16"/>
        <v>1</v>
      </c>
    </row>
    <row r="1042" spans="1:5" x14ac:dyDescent="0.35">
      <c r="A1042" s="11" t="s">
        <v>1229</v>
      </c>
      <c r="B1042" s="9" t="s">
        <v>1752</v>
      </c>
      <c r="C1042" s="9" t="s">
        <v>1752</v>
      </c>
      <c r="D1042" s="9" t="s">
        <v>1752</v>
      </c>
      <c r="E1042" s="15">
        <f t="shared" si="16"/>
        <v>1</v>
      </c>
    </row>
    <row r="1043" spans="1:5" x14ac:dyDescent="0.35">
      <c r="A1043" s="11" t="s">
        <v>1230</v>
      </c>
      <c r="B1043" s="9" t="s">
        <v>1752</v>
      </c>
      <c r="C1043" s="9" t="s">
        <v>1752</v>
      </c>
      <c r="D1043" s="9" t="s">
        <v>1752</v>
      </c>
      <c r="E1043" s="15">
        <f t="shared" si="16"/>
        <v>1</v>
      </c>
    </row>
    <row r="1044" spans="1:5" x14ac:dyDescent="0.35">
      <c r="A1044" s="10" t="s">
        <v>1231</v>
      </c>
      <c r="B1044" s="9" t="s">
        <v>1752</v>
      </c>
      <c r="C1044" s="9" t="s">
        <v>1752</v>
      </c>
      <c r="D1044" s="9" t="s">
        <v>1752</v>
      </c>
      <c r="E1044" s="15">
        <f t="shared" si="16"/>
        <v>1</v>
      </c>
    </row>
    <row r="1045" spans="1:5" x14ac:dyDescent="0.35">
      <c r="A1045" s="11" t="s">
        <v>1232</v>
      </c>
      <c r="B1045" s="9" t="s">
        <v>1752</v>
      </c>
      <c r="C1045" s="9" t="s">
        <v>1752</v>
      </c>
      <c r="D1045" s="9" t="s">
        <v>1752</v>
      </c>
      <c r="E1045" s="15">
        <f t="shared" si="16"/>
        <v>1</v>
      </c>
    </row>
    <row r="1046" spans="1:5" x14ac:dyDescent="0.35">
      <c r="A1046" s="10" t="s">
        <v>1233</v>
      </c>
      <c r="B1046" s="9" t="s">
        <v>1752</v>
      </c>
      <c r="C1046" s="9" t="s">
        <v>1752</v>
      </c>
      <c r="D1046" s="9" t="s">
        <v>1752</v>
      </c>
      <c r="E1046" s="15">
        <f t="shared" si="16"/>
        <v>1</v>
      </c>
    </row>
    <row r="1047" spans="1:5" x14ac:dyDescent="0.35">
      <c r="A1047" s="10" t="s">
        <v>1234</v>
      </c>
      <c r="B1047" s="9" t="s">
        <v>1752</v>
      </c>
      <c r="C1047" s="9" t="s">
        <v>1752</v>
      </c>
      <c r="D1047" s="9" t="s">
        <v>1752</v>
      </c>
      <c r="E1047" s="15">
        <f t="shared" si="16"/>
        <v>1</v>
      </c>
    </row>
    <row r="1048" spans="1:5" x14ac:dyDescent="0.35">
      <c r="A1048" s="10" t="s">
        <v>1235</v>
      </c>
      <c r="B1048" s="9" t="s">
        <v>1752</v>
      </c>
      <c r="C1048" s="9" t="s">
        <v>1752</v>
      </c>
      <c r="D1048" s="9" t="s">
        <v>1752</v>
      </c>
      <c r="E1048" s="15">
        <f t="shared" si="16"/>
        <v>1</v>
      </c>
    </row>
    <row r="1049" spans="1:5" x14ac:dyDescent="0.35">
      <c r="A1049" s="11" t="s">
        <v>1236</v>
      </c>
      <c r="B1049" s="9" t="s">
        <v>1752</v>
      </c>
      <c r="C1049" s="9" t="s">
        <v>1752</v>
      </c>
      <c r="D1049" s="9" t="s">
        <v>1752</v>
      </c>
      <c r="E1049" s="15">
        <f t="shared" si="16"/>
        <v>1</v>
      </c>
    </row>
    <row r="1050" spans="1:5" x14ac:dyDescent="0.35">
      <c r="A1050" s="10" t="s">
        <v>1237</v>
      </c>
      <c r="B1050" s="9" t="s">
        <v>1752</v>
      </c>
      <c r="C1050" s="9" t="s">
        <v>1752</v>
      </c>
      <c r="D1050" s="9" t="s">
        <v>1752</v>
      </c>
      <c r="E1050" s="15">
        <f t="shared" si="16"/>
        <v>1</v>
      </c>
    </row>
    <row r="1051" spans="1:5" x14ac:dyDescent="0.35">
      <c r="A1051" s="11" t="s">
        <v>1238</v>
      </c>
      <c r="B1051" s="9" t="s">
        <v>1752</v>
      </c>
      <c r="C1051" s="9" t="s">
        <v>1752</v>
      </c>
      <c r="D1051" s="9" t="s">
        <v>1752</v>
      </c>
      <c r="E1051" s="15">
        <f t="shared" si="16"/>
        <v>1</v>
      </c>
    </row>
    <row r="1052" spans="1:5" x14ac:dyDescent="0.35">
      <c r="A1052" s="10" t="s">
        <v>1239</v>
      </c>
      <c r="B1052" s="9" t="s">
        <v>1752</v>
      </c>
      <c r="C1052" s="9" t="s">
        <v>1752</v>
      </c>
      <c r="D1052" s="9" t="s">
        <v>1752</v>
      </c>
      <c r="E1052" s="15">
        <f t="shared" si="16"/>
        <v>1</v>
      </c>
    </row>
    <row r="1053" spans="1:5" x14ac:dyDescent="0.35">
      <c r="A1053" s="11" t="s">
        <v>1240</v>
      </c>
      <c r="B1053" s="9" t="s">
        <v>1752</v>
      </c>
      <c r="C1053" s="9" t="s">
        <v>1752</v>
      </c>
      <c r="D1053" s="9" t="s">
        <v>1752</v>
      </c>
      <c r="E1053" s="15">
        <f t="shared" si="16"/>
        <v>1</v>
      </c>
    </row>
    <row r="1054" spans="1:5" x14ac:dyDescent="0.35">
      <c r="A1054" s="10" t="s">
        <v>1241</v>
      </c>
      <c r="B1054" s="9" t="s">
        <v>1752</v>
      </c>
      <c r="C1054" s="9" t="s">
        <v>1752</v>
      </c>
      <c r="D1054" s="9" t="s">
        <v>1752</v>
      </c>
      <c r="E1054" s="15">
        <f t="shared" si="16"/>
        <v>1</v>
      </c>
    </row>
    <row r="1055" spans="1:5" x14ac:dyDescent="0.35">
      <c r="A1055" s="10" t="s">
        <v>1242</v>
      </c>
      <c r="B1055" s="9" t="s">
        <v>1752</v>
      </c>
      <c r="C1055" s="9" t="s">
        <v>1752</v>
      </c>
      <c r="D1055" s="9" t="s">
        <v>1752</v>
      </c>
      <c r="E1055" s="15">
        <f t="shared" si="16"/>
        <v>1</v>
      </c>
    </row>
    <row r="1056" spans="1:5" x14ac:dyDescent="0.35">
      <c r="A1056" s="10" t="s">
        <v>1243</v>
      </c>
      <c r="B1056" s="9" t="s">
        <v>1752</v>
      </c>
      <c r="C1056" s="9" t="s">
        <v>1752</v>
      </c>
      <c r="D1056" s="9" t="s">
        <v>1752</v>
      </c>
      <c r="E1056" s="15">
        <f t="shared" si="16"/>
        <v>1</v>
      </c>
    </row>
    <row r="1057" spans="1:5" x14ac:dyDescent="0.35">
      <c r="A1057" s="10" t="s">
        <v>1244</v>
      </c>
      <c r="B1057" s="9" t="s">
        <v>1752</v>
      </c>
      <c r="C1057" s="9" t="s">
        <v>1752</v>
      </c>
      <c r="D1057" s="9" t="s">
        <v>1752</v>
      </c>
      <c r="E1057" s="15">
        <f t="shared" si="16"/>
        <v>1</v>
      </c>
    </row>
    <row r="1058" spans="1:5" x14ac:dyDescent="0.35">
      <c r="A1058" s="11" t="s">
        <v>1245</v>
      </c>
      <c r="B1058" s="9" t="s">
        <v>1752</v>
      </c>
      <c r="C1058" s="9" t="s">
        <v>1752</v>
      </c>
      <c r="D1058" s="9" t="s">
        <v>1752</v>
      </c>
      <c r="E1058" s="15">
        <f t="shared" si="16"/>
        <v>1</v>
      </c>
    </row>
    <row r="1059" spans="1:5" x14ac:dyDescent="0.35">
      <c r="A1059" s="11" t="s">
        <v>1246</v>
      </c>
      <c r="B1059" s="9" t="s">
        <v>1827</v>
      </c>
      <c r="C1059" s="9" t="s">
        <v>1752</v>
      </c>
      <c r="D1059" s="9" t="s">
        <v>1752</v>
      </c>
      <c r="E1059" s="15">
        <f t="shared" si="16"/>
        <v>1</v>
      </c>
    </row>
    <row r="1060" spans="1:5" x14ac:dyDescent="0.35">
      <c r="A1060" s="10" t="s">
        <v>1247</v>
      </c>
      <c r="B1060" s="9" t="s">
        <v>1752</v>
      </c>
      <c r="C1060" s="9" t="s">
        <v>1752</v>
      </c>
      <c r="D1060" s="9" t="s">
        <v>1752</v>
      </c>
      <c r="E1060" s="15">
        <f t="shared" si="16"/>
        <v>1</v>
      </c>
    </row>
    <row r="1061" spans="1:5" x14ac:dyDescent="0.35">
      <c r="A1061" s="11" t="s">
        <v>1248</v>
      </c>
      <c r="B1061" s="9" t="s">
        <v>1752</v>
      </c>
      <c r="C1061" s="9" t="s">
        <v>1752</v>
      </c>
      <c r="D1061" s="9" t="s">
        <v>1752</v>
      </c>
      <c r="E1061" s="15">
        <f t="shared" si="16"/>
        <v>1</v>
      </c>
    </row>
    <row r="1062" spans="1:5" x14ac:dyDescent="0.35">
      <c r="A1062" s="10" t="s">
        <v>1249</v>
      </c>
      <c r="B1062" s="9" t="s">
        <v>1752</v>
      </c>
      <c r="C1062" s="9" t="s">
        <v>1752</v>
      </c>
      <c r="D1062" s="9" t="s">
        <v>1752</v>
      </c>
      <c r="E1062" s="15">
        <f t="shared" si="16"/>
        <v>1</v>
      </c>
    </row>
    <row r="1063" spans="1:5" x14ac:dyDescent="0.35">
      <c r="A1063" s="11" t="s">
        <v>1250</v>
      </c>
      <c r="B1063" s="9" t="s">
        <v>1752</v>
      </c>
      <c r="C1063" s="9" t="s">
        <v>1752</v>
      </c>
      <c r="D1063" s="9" t="s">
        <v>1752</v>
      </c>
      <c r="E1063" s="15">
        <f t="shared" si="16"/>
        <v>1</v>
      </c>
    </row>
    <row r="1064" spans="1:5" x14ac:dyDescent="0.35">
      <c r="A1064" s="10" t="s">
        <v>1251</v>
      </c>
      <c r="B1064" s="9" t="s">
        <v>1752</v>
      </c>
      <c r="C1064" s="9" t="s">
        <v>1752</v>
      </c>
      <c r="D1064" s="9" t="s">
        <v>1752</v>
      </c>
      <c r="E1064" s="15">
        <f t="shared" si="16"/>
        <v>1</v>
      </c>
    </row>
    <row r="1065" spans="1:5" x14ac:dyDescent="0.35">
      <c r="A1065" s="10" t="s">
        <v>1252</v>
      </c>
      <c r="B1065" s="9" t="s">
        <v>1752</v>
      </c>
      <c r="C1065" s="9" t="s">
        <v>1752</v>
      </c>
      <c r="D1065" s="9" t="s">
        <v>1752</v>
      </c>
      <c r="E1065" s="15">
        <f t="shared" si="16"/>
        <v>1</v>
      </c>
    </row>
    <row r="1066" spans="1:5" x14ac:dyDescent="0.35">
      <c r="A1066" s="11" t="s">
        <v>1253</v>
      </c>
      <c r="B1066" s="9" t="s">
        <v>1752</v>
      </c>
      <c r="C1066" s="9" t="s">
        <v>1752</v>
      </c>
      <c r="D1066" s="9" t="s">
        <v>1752</v>
      </c>
      <c r="E1066" s="15">
        <f t="shared" si="16"/>
        <v>1</v>
      </c>
    </row>
    <row r="1067" spans="1:5" x14ac:dyDescent="0.35">
      <c r="A1067" s="10" t="s">
        <v>1254</v>
      </c>
      <c r="B1067" s="9" t="s">
        <v>1752</v>
      </c>
      <c r="C1067" s="9" t="s">
        <v>1752</v>
      </c>
      <c r="D1067" s="9" t="s">
        <v>1752</v>
      </c>
      <c r="E1067" s="15">
        <f t="shared" si="16"/>
        <v>1</v>
      </c>
    </row>
    <row r="1068" spans="1:5" x14ac:dyDescent="0.35">
      <c r="A1068" s="11" t="s">
        <v>1255</v>
      </c>
      <c r="B1068" s="9" t="s">
        <v>1752</v>
      </c>
      <c r="C1068" s="9" t="s">
        <v>1752</v>
      </c>
      <c r="D1068" s="9" t="s">
        <v>1752</v>
      </c>
      <c r="E1068" s="15">
        <f t="shared" si="16"/>
        <v>1</v>
      </c>
    </row>
    <row r="1069" spans="1:5" x14ac:dyDescent="0.35">
      <c r="A1069" s="10" t="s">
        <v>1256</v>
      </c>
      <c r="B1069" s="9" t="s">
        <v>1752</v>
      </c>
      <c r="C1069" s="9" t="s">
        <v>1752</v>
      </c>
      <c r="D1069" s="9" t="s">
        <v>1752</v>
      </c>
      <c r="E1069" s="15">
        <f t="shared" si="16"/>
        <v>1</v>
      </c>
    </row>
    <row r="1070" spans="1:5" x14ac:dyDescent="0.35">
      <c r="A1070" s="10" t="s">
        <v>1257</v>
      </c>
      <c r="B1070" s="9" t="s">
        <v>1752</v>
      </c>
      <c r="C1070" s="9" t="s">
        <v>1752</v>
      </c>
      <c r="D1070" s="9" t="s">
        <v>1752</v>
      </c>
      <c r="E1070" s="15">
        <f t="shared" si="16"/>
        <v>1</v>
      </c>
    </row>
    <row r="1071" spans="1:5" x14ac:dyDescent="0.35">
      <c r="A1071" s="11" t="s">
        <v>1258</v>
      </c>
      <c r="B1071" s="9" t="s">
        <v>1752</v>
      </c>
      <c r="C1071" s="9" t="s">
        <v>1752</v>
      </c>
      <c r="D1071" s="9" t="s">
        <v>1752</v>
      </c>
      <c r="E1071" s="15">
        <f t="shared" si="16"/>
        <v>1</v>
      </c>
    </row>
    <row r="1072" spans="1:5" x14ac:dyDescent="0.35">
      <c r="A1072" s="10" t="s">
        <v>1259</v>
      </c>
      <c r="B1072" s="9" t="s">
        <v>1752</v>
      </c>
      <c r="C1072" s="9" t="s">
        <v>1752</v>
      </c>
      <c r="D1072" s="9" t="s">
        <v>1752</v>
      </c>
      <c r="E1072" s="15">
        <f t="shared" si="16"/>
        <v>1</v>
      </c>
    </row>
    <row r="1073" spans="1:5" x14ac:dyDescent="0.35">
      <c r="A1073" s="11" t="s">
        <v>1260</v>
      </c>
      <c r="B1073" s="9" t="s">
        <v>1752</v>
      </c>
      <c r="C1073" s="9" t="s">
        <v>1752</v>
      </c>
      <c r="D1073" s="9" t="s">
        <v>1752</v>
      </c>
      <c r="E1073" s="15">
        <f t="shared" si="16"/>
        <v>1</v>
      </c>
    </row>
    <row r="1074" spans="1:5" x14ac:dyDescent="0.35">
      <c r="A1074" s="11" t="s">
        <v>1261</v>
      </c>
      <c r="B1074" s="9" t="s">
        <v>1752</v>
      </c>
      <c r="C1074" s="9" t="s">
        <v>1752</v>
      </c>
      <c r="D1074" s="9" t="s">
        <v>1827</v>
      </c>
      <c r="E1074" s="15">
        <f t="shared" si="16"/>
        <v>1</v>
      </c>
    </row>
    <row r="1075" spans="1:5" x14ac:dyDescent="0.35">
      <c r="A1075" s="10" t="s">
        <v>1262</v>
      </c>
      <c r="B1075" s="9" t="s">
        <v>1752</v>
      </c>
      <c r="C1075" s="9" t="s">
        <v>1752</v>
      </c>
      <c r="D1075" s="9" t="s">
        <v>1752</v>
      </c>
      <c r="E1075" s="15">
        <f t="shared" si="16"/>
        <v>1</v>
      </c>
    </row>
    <row r="1076" spans="1:5" x14ac:dyDescent="0.35">
      <c r="A1076" s="10" t="s">
        <v>1263</v>
      </c>
      <c r="B1076" s="9" t="s">
        <v>1752</v>
      </c>
      <c r="C1076" s="9" t="s">
        <v>1752</v>
      </c>
      <c r="D1076" s="9" t="s">
        <v>1827</v>
      </c>
      <c r="E1076" s="15">
        <f t="shared" si="16"/>
        <v>1</v>
      </c>
    </row>
    <row r="1077" spans="1:5" x14ac:dyDescent="0.35">
      <c r="A1077" s="10" t="s">
        <v>1264</v>
      </c>
      <c r="B1077" s="9" t="s">
        <v>1752</v>
      </c>
      <c r="C1077" s="9" t="s">
        <v>1752</v>
      </c>
      <c r="D1077" s="9" t="s">
        <v>1827</v>
      </c>
      <c r="E1077" s="15">
        <f t="shared" si="16"/>
        <v>1</v>
      </c>
    </row>
    <row r="1078" spans="1:5" x14ac:dyDescent="0.35">
      <c r="A1078" s="11" t="s">
        <v>1265</v>
      </c>
      <c r="B1078" s="9" t="s">
        <v>1752</v>
      </c>
      <c r="C1078" s="9" t="s">
        <v>1752</v>
      </c>
      <c r="D1078" s="9" t="s">
        <v>1752</v>
      </c>
      <c r="E1078" s="15">
        <f t="shared" si="16"/>
        <v>1</v>
      </c>
    </row>
    <row r="1079" spans="1:5" x14ac:dyDescent="0.35">
      <c r="A1079" s="11" t="s">
        <v>1266</v>
      </c>
      <c r="B1079" s="9" t="s">
        <v>1752</v>
      </c>
      <c r="C1079" s="9" t="s">
        <v>1752</v>
      </c>
      <c r="D1079" s="9" t="s">
        <v>1752</v>
      </c>
      <c r="E1079" s="15">
        <f t="shared" si="16"/>
        <v>1</v>
      </c>
    </row>
    <row r="1080" spans="1:5" x14ac:dyDescent="0.35">
      <c r="A1080" s="10" t="s">
        <v>1267</v>
      </c>
      <c r="B1080" s="9" t="s">
        <v>1752</v>
      </c>
      <c r="C1080" s="9" t="s">
        <v>1752</v>
      </c>
      <c r="D1080" s="9" t="s">
        <v>1752</v>
      </c>
      <c r="E1080" s="15">
        <f t="shared" si="16"/>
        <v>1</v>
      </c>
    </row>
    <row r="1081" spans="1:5" x14ac:dyDescent="0.35">
      <c r="A1081" s="11" t="s">
        <v>1268</v>
      </c>
      <c r="B1081" s="9" t="s">
        <v>1752</v>
      </c>
      <c r="C1081" s="9" t="s">
        <v>1752</v>
      </c>
      <c r="D1081" s="9" t="s">
        <v>1752</v>
      </c>
      <c r="E1081" s="15">
        <f t="shared" si="16"/>
        <v>1</v>
      </c>
    </row>
    <row r="1082" spans="1:5" x14ac:dyDescent="0.35">
      <c r="A1082" s="11" t="s">
        <v>1269</v>
      </c>
      <c r="B1082" s="9" t="s">
        <v>1752</v>
      </c>
      <c r="C1082" s="9" t="s">
        <v>1752</v>
      </c>
      <c r="D1082" s="9" t="s">
        <v>1752</v>
      </c>
      <c r="E1082" s="15">
        <f t="shared" si="16"/>
        <v>1</v>
      </c>
    </row>
    <row r="1083" spans="1:5" x14ac:dyDescent="0.35">
      <c r="A1083" s="10" t="s">
        <v>1270</v>
      </c>
      <c r="B1083" s="9" t="s">
        <v>1752</v>
      </c>
      <c r="C1083" s="9" t="s">
        <v>1752</v>
      </c>
      <c r="D1083" s="9" t="s">
        <v>1752</v>
      </c>
      <c r="E1083" s="15">
        <f t="shared" si="16"/>
        <v>1</v>
      </c>
    </row>
    <row r="1084" spans="1:5" x14ac:dyDescent="0.35">
      <c r="A1084" s="10" t="s">
        <v>1271</v>
      </c>
      <c r="B1084" s="9" t="s">
        <v>1752</v>
      </c>
      <c r="C1084" s="9" t="s">
        <v>1752</v>
      </c>
      <c r="D1084" s="9" t="s">
        <v>1752</v>
      </c>
      <c r="E1084" s="15">
        <f t="shared" si="16"/>
        <v>1</v>
      </c>
    </row>
    <row r="1085" spans="1:5" x14ac:dyDescent="0.35">
      <c r="A1085" s="10" t="s">
        <v>1272</v>
      </c>
      <c r="B1085" s="9" t="s">
        <v>1752</v>
      </c>
      <c r="C1085" s="9" t="s">
        <v>1752</v>
      </c>
      <c r="D1085" s="9" t="s">
        <v>1752</v>
      </c>
      <c r="E1085" s="15">
        <f t="shared" si="16"/>
        <v>1</v>
      </c>
    </row>
    <row r="1086" spans="1:5" x14ac:dyDescent="0.35">
      <c r="A1086" s="10" t="s">
        <v>1273</v>
      </c>
      <c r="B1086" s="9" t="s">
        <v>1752</v>
      </c>
      <c r="C1086" s="9" t="s">
        <v>1752</v>
      </c>
      <c r="D1086" s="9" t="s">
        <v>1752</v>
      </c>
      <c r="E1086" s="15">
        <f t="shared" si="16"/>
        <v>1</v>
      </c>
    </row>
    <row r="1087" spans="1:5" x14ac:dyDescent="0.35">
      <c r="A1087" s="11" t="s">
        <v>1274</v>
      </c>
      <c r="B1087" s="9" t="s">
        <v>1752</v>
      </c>
      <c r="C1087" s="9" t="s">
        <v>1752</v>
      </c>
      <c r="D1087" s="9" t="s">
        <v>1752</v>
      </c>
      <c r="E1087" s="15">
        <f t="shared" si="16"/>
        <v>1</v>
      </c>
    </row>
    <row r="1088" spans="1:5" x14ac:dyDescent="0.35">
      <c r="A1088" s="10" t="s">
        <v>1275</v>
      </c>
      <c r="B1088" s="9" t="s">
        <v>1752</v>
      </c>
      <c r="C1088" s="9" t="s">
        <v>1752</v>
      </c>
      <c r="D1088" s="9" t="s">
        <v>1752</v>
      </c>
      <c r="E1088" s="15">
        <f t="shared" si="16"/>
        <v>1</v>
      </c>
    </row>
    <row r="1089" spans="1:5" x14ac:dyDescent="0.35">
      <c r="A1089" s="11" t="s">
        <v>1276</v>
      </c>
      <c r="B1089" s="9" t="s">
        <v>1752</v>
      </c>
      <c r="C1089" s="9" t="s">
        <v>1752</v>
      </c>
      <c r="D1089" s="9" t="s">
        <v>1752</v>
      </c>
      <c r="E1089" s="15">
        <f t="shared" si="16"/>
        <v>1</v>
      </c>
    </row>
    <row r="1090" spans="1:5" x14ac:dyDescent="0.35">
      <c r="A1090" s="10" t="s">
        <v>1277</v>
      </c>
      <c r="B1090" s="9" t="s">
        <v>1752</v>
      </c>
      <c r="C1090" s="9" t="s">
        <v>1752</v>
      </c>
      <c r="D1090" s="9" t="s">
        <v>1752</v>
      </c>
      <c r="E1090" s="15">
        <f t="shared" si="16"/>
        <v>1</v>
      </c>
    </row>
    <row r="1091" spans="1:5" x14ac:dyDescent="0.35">
      <c r="A1091" s="11" t="s">
        <v>1278</v>
      </c>
      <c r="B1091" s="9" t="s">
        <v>1752</v>
      </c>
      <c r="C1091" s="9" t="s">
        <v>1752</v>
      </c>
      <c r="D1091" s="9" t="s">
        <v>1752</v>
      </c>
      <c r="E1091" s="15">
        <f t="shared" ref="E1091:E1154" si="17">IF(COUNTIF(B1091:D1091,"Y")&gt;0,1,0)</f>
        <v>1</v>
      </c>
    </row>
    <row r="1092" spans="1:5" x14ac:dyDescent="0.35">
      <c r="A1092" s="10" t="s">
        <v>1279</v>
      </c>
      <c r="B1092" s="9" t="s">
        <v>1752</v>
      </c>
      <c r="C1092" s="9" t="s">
        <v>1752</v>
      </c>
      <c r="D1092" s="9" t="s">
        <v>1752</v>
      </c>
      <c r="E1092" s="15">
        <f t="shared" si="17"/>
        <v>1</v>
      </c>
    </row>
    <row r="1093" spans="1:5" x14ac:dyDescent="0.35">
      <c r="A1093" s="11" t="s">
        <v>1280</v>
      </c>
      <c r="B1093" s="9" t="s">
        <v>1752</v>
      </c>
      <c r="C1093" s="9" t="s">
        <v>1752</v>
      </c>
      <c r="D1093" s="9" t="s">
        <v>1752</v>
      </c>
      <c r="E1093" s="15">
        <f t="shared" si="17"/>
        <v>1</v>
      </c>
    </row>
    <row r="1094" spans="1:5" x14ac:dyDescent="0.35">
      <c r="A1094" s="11" t="s">
        <v>1281</v>
      </c>
      <c r="B1094" s="9" t="s">
        <v>1752</v>
      </c>
      <c r="C1094" s="9" t="s">
        <v>1752</v>
      </c>
      <c r="D1094" s="9" t="s">
        <v>1752</v>
      </c>
      <c r="E1094" s="15">
        <f t="shared" si="17"/>
        <v>1</v>
      </c>
    </row>
    <row r="1095" spans="1:5" x14ac:dyDescent="0.35">
      <c r="A1095" s="10" t="s">
        <v>1282</v>
      </c>
      <c r="B1095" s="9" t="s">
        <v>1752</v>
      </c>
      <c r="C1095" s="9" t="s">
        <v>1752</v>
      </c>
      <c r="D1095" s="9" t="s">
        <v>1752</v>
      </c>
      <c r="E1095" s="15">
        <f t="shared" si="17"/>
        <v>1</v>
      </c>
    </row>
    <row r="1096" spans="1:5" x14ac:dyDescent="0.35">
      <c r="A1096" s="11" t="s">
        <v>1283</v>
      </c>
      <c r="B1096" s="9" t="s">
        <v>1752</v>
      </c>
      <c r="C1096" s="9" t="s">
        <v>1752</v>
      </c>
      <c r="D1096" s="9" t="s">
        <v>1752</v>
      </c>
      <c r="E1096" s="15">
        <f t="shared" si="17"/>
        <v>1</v>
      </c>
    </row>
    <row r="1097" spans="1:5" x14ac:dyDescent="0.35">
      <c r="A1097" s="10" t="s">
        <v>1284</v>
      </c>
      <c r="B1097" s="9" t="s">
        <v>1752</v>
      </c>
      <c r="C1097" s="9" t="s">
        <v>1752</v>
      </c>
      <c r="D1097" s="9" t="s">
        <v>1752</v>
      </c>
      <c r="E1097" s="15">
        <f t="shared" si="17"/>
        <v>1</v>
      </c>
    </row>
    <row r="1098" spans="1:5" x14ac:dyDescent="0.35">
      <c r="A1098" s="11" t="s">
        <v>1285</v>
      </c>
      <c r="B1098" s="9" t="s">
        <v>1752</v>
      </c>
      <c r="C1098" s="9" t="s">
        <v>1752</v>
      </c>
      <c r="D1098" s="9" t="s">
        <v>1752</v>
      </c>
      <c r="E1098" s="15">
        <f t="shared" si="17"/>
        <v>1</v>
      </c>
    </row>
    <row r="1099" spans="1:5" x14ac:dyDescent="0.35">
      <c r="A1099" s="10" t="s">
        <v>1286</v>
      </c>
      <c r="B1099" s="9" t="s">
        <v>1752</v>
      </c>
      <c r="C1099" s="9" t="s">
        <v>1752</v>
      </c>
      <c r="D1099" s="9" t="s">
        <v>1752</v>
      </c>
      <c r="E1099" s="15">
        <f t="shared" si="17"/>
        <v>1</v>
      </c>
    </row>
    <row r="1100" spans="1:5" x14ac:dyDescent="0.35">
      <c r="A1100" s="11" t="s">
        <v>1287</v>
      </c>
      <c r="B1100" s="9" t="s">
        <v>1752</v>
      </c>
      <c r="C1100" s="9" t="s">
        <v>1752</v>
      </c>
      <c r="D1100" s="9" t="s">
        <v>1827</v>
      </c>
      <c r="E1100" s="15">
        <f t="shared" si="17"/>
        <v>1</v>
      </c>
    </row>
    <row r="1101" spans="1:5" x14ac:dyDescent="0.35">
      <c r="A1101" s="10" t="s">
        <v>1288</v>
      </c>
      <c r="B1101" s="9" t="s">
        <v>1752</v>
      </c>
      <c r="C1101" s="9" t="s">
        <v>1752</v>
      </c>
      <c r="D1101" s="9" t="s">
        <v>1752</v>
      </c>
      <c r="E1101" s="15">
        <f t="shared" si="17"/>
        <v>1</v>
      </c>
    </row>
    <row r="1102" spans="1:5" x14ac:dyDescent="0.35">
      <c r="A1102" s="11" t="s">
        <v>1289</v>
      </c>
      <c r="B1102" s="9" t="s">
        <v>1752</v>
      </c>
      <c r="C1102" s="9" t="s">
        <v>1752</v>
      </c>
      <c r="D1102" s="9" t="s">
        <v>1752</v>
      </c>
      <c r="E1102" s="15">
        <f t="shared" si="17"/>
        <v>1</v>
      </c>
    </row>
    <row r="1103" spans="1:5" x14ac:dyDescent="0.35">
      <c r="A1103" s="10" t="s">
        <v>1290</v>
      </c>
      <c r="B1103" s="9" t="s">
        <v>1752</v>
      </c>
      <c r="C1103" s="9" t="s">
        <v>1752</v>
      </c>
      <c r="D1103" s="9" t="s">
        <v>1752</v>
      </c>
      <c r="E1103" s="15">
        <f t="shared" si="17"/>
        <v>1</v>
      </c>
    </row>
    <row r="1104" spans="1:5" x14ac:dyDescent="0.35">
      <c r="A1104" s="11" t="s">
        <v>1291</v>
      </c>
      <c r="B1104" s="9" t="s">
        <v>1752</v>
      </c>
      <c r="C1104" s="9" t="s">
        <v>1752</v>
      </c>
      <c r="D1104" s="9" t="s">
        <v>1752</v>
      </c>
      <c r="E1104" s="15">
        <f t="shared" si="17"/>
        <v>1</v>
      </c>
    </row>
    <row r="1105" spans="1:5" x14ac:dyDescent="0.35">
      <c r="A1105" s="10" t="s">
        <v>1292</v>
      </c>
      <c r="B1105" s="9" t="s">
        <v>1752</v>
      </c>
      <c r="C1105" s="9" t="s">
        <v>1752</v>
      </c>
      <c r="D1105" s="9" t="s">
        <v>1827</v>
      </c>
      <c r="E1105" s="15">
        <f t="shared" si="17"/>
        <v>1</v>
      </c>
    </row>
    <row r="1106" spans="1:5" x14ac:dyDescent="0.35">
      <c r="A1106" s="11" t="s">
        <v>1293</v>
      </c>
      <c r="B1106" s="9" t="s">
        <v>1752</v>
      </c>
      <c r="C1106" s="9" t="s">
        <v>1752</v>
      </c>
      <c r="D1106" s="9" t="s">
        <v>1827</v>
      </c>
      <c r="E1106" s="15">
        <f t="shared" si="17"/>
        <v>1</v>
      </c>
    </row>
    <row r="1107" spans="1:5" x14ac:dyDescent="0.35">
      <c r="A1107" s="10" t="s">
        <v>1294</v>
      </c>
      <c r="B1107" s="9" t="s">
        <v>1752</v>
      </c>
      <c r="C1107" s="9" t="s">
        <v>1752</v>
      </c>
      <c r="D1107" s="9" t="s">
        <v>1827</v>
      </c>
      <c r="E1107" s="15">
        <f t="shared" si="17"/>
        <v>1</v>
      </c>
    </row>
    <row r="1108" spans="1:5" x14ac:dyDescent="0.35">
      <c r="A1108" s="11" t="s">
        <v>1295</v>
      </c>
      <c r="B1108" s="9" t="s">
        <v>1752</v>
      </c>
      <c r="C1108" s="9" t="s">
        <v>1752</v>
      </c>
      <c r="D1108" s="9" t="s">
        <v>1827</v>
      </c>
      <c r="E1108" s="15">
        <f t="shared" si="17"/>
        <v>1</v>
      </c>
    </row>
    <row r="1109" spans="1:5" x14ac:dyDescent="0.35">
      <c r="A1109" s="10" t="s">
        <v>1296</v>
      </c>
      <c r="B1109" s="9" t="s">
        <v>1752</v>
      </c>
      <c r="C1109" s="9" t="s">
        <v>1752</v>
      </c>
      <c r="D1109" s="9" t="s">
        <v>1752</v>
      </c>
      <c r="E1109" s="15">
        <f t="shared" si="17"/>
        <v>1</v>
      </c>
    </row>
    <row r="1110" spans="1:5" x14ac:dyDescent="0.35">
      <c r="A1110" s="11" t="s">
        <v>1297</v>
      </c>
      <c r="B1110" s="9" t="s">
        <v>1752</v>
      </c>
      <c r="C1110" s="9" t="s">
        <v>1752</v>
      </c>
      <c r="D1110" s="9" t="s">
        <v>1752</v>
      </c>
      <c r="E1110" s="15">
        <f t="shared" si="17"/>
        <v>1</v>
      </c>
    </row>
    <row r="1111" spans="1:5" x14ac:dyDescent="0.35">
      <c r="A1111" s="10" t="s">
        <v>1298</v>
      </c>
      <c r="B1111" s="9" t="s">
        <v>1827</v>
      </c>
      <c r="C1111" s="9" t="s">
        <v>1752</v>
      </c>
      <c r="D1111" s="9" t="s">
        <v>1752</v>
      </c>
      <c r="E1111" s="15">
        <f t="shared" si="17"/>
        <v>1</v>
      </c>
    </row>
    <row r="1112" spans="1:5" x14ac:dyDescent="0.35">
      <c r="A1112" s="11" t="s">
        <v>1299</v>
      </c>
      <c r="B1112" s="9" t="s">
        <v>1752</v>
      </c>
      <c r="C1112" s="9" t="s">
        <v>1752</v>
      </c>
      <c r="D1112" s="9" t="s">
        <v>1752</v>
      </c>
      <c r="E1112" s="15">
        <f t="shared" si="17"/>
        <v>1</v>
      </c>
    </row>
    <row r="1113" spans="1:5" x14ac:dyDescent="0.35">
      <c r="A1113" s="10" t="s">
        <v>1300</v>
      </c>
      <c r="B1113" s="9" t="s">
        <v>1752</v>
      </c>
      <c r="C1113" s="9" t="s">
        <v>1752</v>
      </c>
      <c r="D1113" s="9" t="s">
        <v>1752</v>
      </c>
      <c r="E1113" s="15">
        <f t="shared" si="17"/>
        <v>1</v>
      </c>
    </row>
    <row r="1114" spans="1:5" x14ac:dyDescent="0.35">
      <c r="A1114" s="11" t="s">
        <v>1301</v>
      </c>
      <c r="B1114" s="9" t="s">
        <v>1827</v>
      </c>
      <c r="C1114" s="9" t="s">
        <v>1752</v>
      </c>
      <c r="D1114" s="9" t="s">
        <v>1752</v>
      </c>
      <c r="E1114" s="15">
        <f t="shared" si="17"/>
        <v>1</v>
      </c>
    </row>
    <row r="1115" spans="1:5" x14ac:dyDescent="0.35">
      <c r="A1115" s="11" t="s">
        <v>1302</v>
      </c>
      <c r="B1115" s="9" t="s">
        <v>1752</v>
      </c>
      <c r="C1115" s="9" t="s">
        <v>1752</v>
      </c>
      <c r="D1115" s="9" t="s">
        <v>1752</v>
      </c>
      <c r="E1115" s="15">
        <f t="shared" si="17"/>
        <v>1</v>
      </c>
    </row>
    <row r="1116" spans="1:5" x14ac:dyDescent="0.35">
      <c r="A1116" s="11" t="s">
        <v>1303</v>
      </c>
      <c r="B1116" s="9" t="s">
        <v>1752</v>
      </c>
      <c r="C1116" s="9" t="s">
        <v>1752</v>
      </c>
      <c r="D1116" s="9" t="s">
        <v>1752</v>
      </c>
      <c r="E1116" s="15">
        <f t="shared" si="17"/>
        <v>1</v>
      </c>
    </row>
    <row r="1117" spans="1:5" x14ac:dyDescent="0.35">
      <c r="A1117" s="11" t="s">
        <v>1304</v>
      </c>
      <c r="B1117" s="9" t="s">
        <v>1752</v>
      </c>
      <c r="C1117" s="9" t="s">
        <v>1752</v>
      </c>
      <c r="D1117" s="9" t="s">
        <v>1752</v>
      </c>
      <c r="E1117" s="15">
        <f t="shared" si="17"/>
        <v>1</v>
      </c>
    </row>
    <row r="1118" spans="1:5" x14ac:dyDescent="0.35">
      <c r="A1118" s="10" t="s">
        <v>1305</v>
      </c>
      <c r="B1118" s="9" t="s">
        <v>1752</v>
      </c>
      <c r="C1118" s="9" t="s">
        <v>1752</v>
      </c>
      <c r="D1118" s="9" t="s">
        <v>1752</v>
      </c>
      <c r="E1118" s="15">
        <f t="shared" si="17"/>
        <v>1</v>
      </c>
    </row>
    <row r="1119" spans="1:5" x14ac:dyDescent="0.35">
      <c r="A1119" s="11" t="s">
        <v>1306</v>
      </c>
      <c r="B1119" s="9" t="s">
        <v>1752</v>
      </c>
      <c r="C1119" s="9" t="s">
        <v>1752</v>
      </c>
      <c r="D1119" s="9" t="s">
        <v>1752</v>
      </c>
      <c r="E1119" s="15">
        <f t="shared" si="17"/>
        <v>1</v>
      </c>
    </row>
    <row r="1120" spans="1:5" x14ac:dyDescent="0.35">
      <c r="A1120" s="10" t="s">
        <v>1307</v>
      </c>
      <c r="B1120" s="9" t="s">
        <v>1752</v>
      </c>
      <c r="C1120" s="9" t="s">
        <v>1752</v>
      </c>
      <c r="D1120" s="9" t="s">
        <v>1752</v>
      </c>
      <c r="E1120" s="15">
        <f t="shared" si="17"/>
        <v>1</v>
      </c>
    </row>
    <row r="1121" spans="1:5" x14ac:dyDescent="0.35">
      <c r="A1121" s="11" t="s">
        <v>1308</v>
      </c>
      <c r="B1121" s="9" t="s">
        <v>1752</v>
      </c>
      <c r="C1121" s="9" t="s">
        <v>1752</v>
      </c>
      <c r="D1121" s="9" t="s">
        <v>1752</v>
      </c>
      <c r="E1121" s="15">
        <f t="shared" si="17"/>
        <v>1</v>
      </c>
    </row>
    <row r="1122" spans="1:5" x14ac:dyDescent="0.35">
      <c r="A1122" s="11" t="s">
        <v>1309</v>
      </c>
      <c r="B1122" s="9" t="s">
        <v>1752</v>
      </c>
      <c r="C1122" s="9" t="s">
        <v>1752</v>
      </c>
      <c r="D1122" s="9" t="s">
        <v>1752</v>
      </c>
      <c r="E1122" s="15">
        <f t="shared" si="17"/>
        <v>1</v>
      </c>
    </row>
    <row r="1123" spans="1:5" x14ac:dyDescent="0.35">
      <c r="A1123" s="11" t="s">
        <v>1310</v>
      </c>
      <c r="B1123" s="9" t="s">
        <v>1752</v>
      </c>
      <c r="C1123" s="9" t="s">
        <v>1752</v>
      </c>
      <c r="D1123" s="9" t="s">
        <v>1752</v>
      </c>
      <c r="E1123" s="15">
        <f t="shared" si="17"/>
        <v>1</v>
      </c>
    </row>
    <row r="1124" spans="1:5" x14ac:dyDescent="0.35">
      <c r="A1124" s="10" t="s">
        <v>1311</v>
      </c>
      <c r="B1124" s="9" t="s">
        <v>1752</v>
      </c>
      <c r="C1124" s="9" t="s">
        <v>1752</v>
      </c>
      <c r="D1124" s="9" t="s">
        <v>1752</v>
      </c>
      <c r="E1124" s="15">
        <f t="shared" si="17"/>
        <v>1</v>
      </c>
    </row>
    <row r="1125" spans="1:5" x14ac:dyDescent="0.35">
      <c r="A1125" s="11" t="s">
        <v>1312</v>
      </c>
      <c r="B1125" s="9" t="s">
        <v>1752</v>
      </c>
      <c r="C1125" s="9" t="s">
        <v>1752</v>
      </c>
      <c r="D1125" s="9" t="s">
        <v>1752</v>
      </c>
      <c r="E1125" s="15">
        <f t="shared" si="17"/>
        <v>1</v>
      </c>
    </row>
    <row r="1126" spans="1:5" x14ac:dyDescent="0.35">
      <c r="A1126" s="10" t="s">
        <v>1313</v>
      </c>
      <c r="B1126" s="9" t="s">
        <v>1752</v>
      </c>
      <c r="C1126" s="9" t="s">
        <v>1752</v>
      </c>
      <c r="D1126" s="9" t="s">
        <v>1752</v>
      </c>
      <c r="E1126" s="15">
        <f t="shared" si="17"/>
        <v>1</v>
      </c>
    </row>
    <row r="1127" spans="1:5" x14ac:dyDescent="0.35">
      <c r="A1127" s="11" t="s">
        <v>1314</v>
      </c>
      <c r="B1127" s="9" t="s">
        <v>1752</v>
      </c>
      <c r="C1127" s="9" t="s">
        <v>1752</v>
      </c>
      <c r="D1127" s="9" t="s">
        <v>1827</v>
      </c>
      <c r="E1127" s="15">
        <f t="shared" si="17"/>
        <v>1</v>
      </c>
    </row>
    <row r="1128" spans="1:5" x14ac:dyDescent="0.35">
      <c r="A1128" s="10" t="s">
        <v>1315</v>
      </c>
      <c r="B1128" s="9" t="s">
        <v>1752</v>
      </c>
      <c r="C1128" s="9" t="s">
        <v>1752</v>
      </c>
      <c r="D1128" s="9" t="s">
        <v>1752</v>
      </c>
      <c r="E1128" s="15">
        <f t="shared" si="17"/>
        <v>1</v>
      </c>
    </row>
    <row r="1129" spans="1:5" x14ac:dyDescent="0.35">
      <c r="A1129" s="11" t="s">
        <v>1316</v>
      </c>
      <c r="B1129" s="9" t="s">
        <v>1752</v>
      </c>
      <c r="C1129" s="9" t="s">
        <v>1752</v>
      </c>
      <c r="D1129" s="9" t="s">
        <v>1752</v>
      </c>
      <c r="E1129" s="15">
        <f t="shared" si="17"/>
        <v>1</v>
      </c>
    </row>
    <row r="1130" spans="1:5" x14ac:dyDescent="0.35">
      <c r="A1130" s="10" t="s">
        <v>1317</v>
      </c>
      <c r="B1130" s="9" t="s">
        <v>1752</v>
      </c>
      <c r="C1130" s="9" t="s">
        <v>1752</v>
      </c>
      <c r="D1130" s="9" t="s">
        <v>1752</v>
      </c>
      <c r="E1130" s="15">
        <f t="shared" si="17"/>
        <v>1</v>
      </c>
    </row>
    <row r="1131" spans="1:5" x14ac:dyDescent="0.35">
      <c r="A1131" s="11" t="s">
        <v>1318</v>
      </c>
      <c r="B1131" s="9" t="s">
        <v>1752</v>
      </c>
      <c r="C1131" s="9" t="s">
        <v>1752</v>
      </c>
      <c r="D1131" s="9" t="s">
        <v>1752</v>
      </c>
      <c r="E1131" s="15">
        <f t="shared" si="17"/>
        <v>1</v>
      </c>
    </row>
    <row r="1132" spans="1:5" x14ac:dyDescent="0.35">
      <c r="A1132" s="10" t="s">
        <v>1319</v>
      </c>
      <c r="B1132" s="9" t="s">
        <v>1752</v>
      </c>
      <c r="C1132" s="9" t="s">
        <v>1752</v>
      </c>
      <c r="D1132" s="9" t="s">
        <v>1752</v>
      </c>
      <c r="E1132" s="15">
        <f t="shared" si="17"/>
        <v>1</v>
      </c>
    </row>
    <row r="1133" spans="1:5" x14ac:dyDescent="0.35">
      <c r="A1133" s="11" t="s">
        <v>1320</v>
      </c>
      <c r="B1133" s="9" t="s">
        <v>1752</v>
      </c>
      <c r="C1133" s="9" t="s">
        <v>1752</v>
      </c>
      <c r="D1133" s="9" t="s">
        <v>1752</v>
      </c>
      <c r="E1133" s="15">
        <f t="shared" si="17"/>
        <v>1</v>
      </c>
    </row>
    <row r="1134" spans="1:5" x14ac:dyDescent="0.35">
      <c r="A1134" s="10" t="s">
        <v>1321</v>
      </c>
      <c r="B1134" s="9" t="s">
        <v>1752</v>
      </c>
      <c r="C1134" s="9" t="s">
        <v>1752</v>
      </c>
      <c r="D1134" s="9" t="s">
        <v>1752</v>
      </c>
      <c r="E1134" s="15">
        <f t="shared" si="17"/>
        <v>1</v>
      </c>
    </row>
    <row r="1135" spans="1:5" x14ac:dyDescent="0.35">
      <c r="A1135" s="11" t="s">
        <v>1322</v>
      </c>
      <c r="B1135" s="9" t="s">
        <v>1752</v>
      </c>
      <c r="C1135" s="9" t="s">
        <v>1752</v>
      </c>
      <c r="D1135" s="9" t="s">
        <v>1752</v>
      </c>
      <c r="E1135" s="15">
        <f t="shared" si="17"/>
        <v>1</v>
      </c>
    </row>
    <row r="1136" spans="1:5" x14ac:dyDescent="0.35">
      <c r="A1136" s="10" t="s">
        <v>1323</v>
      </c>
      <c r="B1136" s="9" t="s">
        <v>1752</v>
      </c>
      <c r="C1136" s="9" t="s">
        <v>1752</v>
      </c>
      <c r="D1136" s="9" t="s">
        <v>1827</v>
      </c>
      <c r="E1136" s="15">
        <f t="shared" si="17"/>
        <v>1</v>
      </c>
    </row>
    <row r="1137" spans="1:5" x14ac:dyDescent="0.35">
      <c r="A1137" s="11" t="s">
        <v>1324</v>
      </c>
      <c r="B1137" s="9" t="s">
        <v>1752</v>
      </c>
      <c r="C1137" s="9" t="s">
        <v>1752</v>
      </c>
      <c r="D1137" s="9" t="s">
        <v>1752</v>
      </c>
      <c r="E1137" s="15">
        <f t="shared" si="17"/>
        <v>1</v>
      </c>
    </row>
    <row r="1138" spans="1:5" x14ac:dyDescent="0.35">
      <c r="A1138" s="10" t="s">
        <v>1325</v>
      </c>
      <c r="B1138" s="9" t="s">
        <v>1752</v>
      </c>
      <c r="C1138" s="9" t="s">
        <v>1752</v>
      </c>
      <c r="D1138" s="9" t="s">
        <v>1752</v>
      </c>
      <c r="E1138" s="15">
        <f t="shared" si="17"/>
        <v>1</v>
      </c>
    </row>
    <row r="1139" spans="1:5" x14ac:dyDescent="0.35">
      <c r="A1139" s="11" t="s">
        <v>1326</v>
      </c>
      <c r="B1139" s="9" t="s">
        <v>1752</v>
      </c>
      <c r="C1139" s="9" t="s">
        <v>1752</v>
      </c>
      <c r="D1139" s="9" t="s">
        <v>1752</v>
      </c>
      <c r="E1139" s="15">
        <f t="shared" si="17"/>
        <v>1</v>
      </c>
    </row>
    <row r="1140" spans="1:5" x14ac:dyDescent="0.35">
      <c r="A1140" s="10" t="s">
        <v>1327</v>
      </c>
      <c r="B1140" s="9" t="s">
        <v>1752</v>
      </c>
      <c r="C1140" s="9" t="s">
        <v>1752</v>
      </c>
      <c r="D1140" s="9" t="s">
        <v>1752</v>
      </c>
      <c r="E1140" s="15">
        <f t="shared" si="17"/>
        <v>1</v>
      </c>
    </row>
    <row r="1141" spans="1:5" x14ac:dyDescent="0.35">
      <c r="A1141" s="11" t="s">
        <v>1328</v>
      </c>
      <c r="B1141" s="9" t="s">
        <v>1752</v>
      </c>
      <c r="C1141" s="9" t="s">
        <v>1752</v>
      </c>
      <c r="D1141" s="9" t="s">
        <v>1752</v>
      </c>
      <c r="E1141" s="15">
        <f t="shared" si="17"/>
        <v>1</v>
      </c>
    </row>
    <row r="1142" spans="1:5" x14ac:dyDescent="0.35">
      <c r="A1142" s="10" t="s">
        <v>1329</v>
      </c>
      <c r="B1142" s="9" t="s">
        <v>1752</v>
      </c>
      <c r="C1142" s="9" t="s">
        <v>1752</v>
      </c>
      <c r="D1142" s="9" t="s">
        <v>1752</v>
      </c>
      <c r="E1142" s="15">
        <f t="shared" si="17"/>
        <v>1</v>
      </c>
    </row>
    <row r="1143" spans="1:5" x14ac:dyDescent="0.35">
      <c r="A1143" s="11" t="s">
        <v>1330</v>
      </c>
      <c r="B1143" s="9" t="s">
        <v>1752</v>
      </c>
      <c r="C1143" s="9" t="s">
        <v>1752</v>
      </c>
      <c r="D1143" s="9" t="s">
        <v>1752</v>
      </c>
      <c r="E1143" s="15">
        <f t="shared" si="17"/>
        <v>1</v>
      </c>
    </row>
    <row r="1144" spans="1:5" x14ac:dyDescent="0.35">
      <c r="A1144" s="10" t="s">
        <v>1331</v>
      </c>
      <c r="B1144" s="9" t="s">
        <v>1752</v>
      </c>
      <c r="C1144" s="9" t="s">
        <v>1752</v>
      </c>
      <c r="D1144" s="9" t="s">
        <v>1752</v>
      </c>
      <c r="E1144" s="15">
        <f t="shared" si="17"/>
        <v>1</v>
      </c>
    </row>
    <row r="1145" spans="1:5" x14ac:dyDescent="0.35">
      <c r="A1145" s="11" t="s">
        <v>1332</v>
      </c>
      <c r="B1145" s="9" t="s">
        <v>1752</v>
      </c>
      <c r="C1145" s="9" t="s">
        <v>1752</v>
      </c>
      <c r="D1145" s="9" t="s">
        <v>1752</v>
      </c>
      <c r="E1145" s="15">
        <f t="shared" si="17"/>
        <v>1</v>
      </c>
    </row>
    <row r="1146" spans="1:5" x14ac:dyDescent="0.35">
      <c r="A1146" s="10" t="s">
        <v>1333</v>
      </c>
      <c r="B1146" s="9" t="s">
        <v>1752</v>
      </c>
      <c r="C1146" s="9" t="s">
        <v>1752</v>
      </c>
      <c r="D1146" s="9" t="s">
        <v>1752</v>
      </c>
      <c r="E1146" s="15">
        <f t="shared" si="17"/>
        <v>1</v>
      </c>
    </row>
    <row r="1147" spans="1:5" x14ac:dyDescent="0.35">
      <c r="A1147" s="11" t="s">
        <v>1334</v>
      </c>
      <c r="B1147" s="9" t="s">
        <v>1752</v>
      </c>
      <c r="C1147" s="9" t="s">
        <v>1752</v>
      </c>
      <c r="D1147" s="9" t="s">
        <v>1752</v>
      </c>
      <c r="E1147" s="15">
        <f t="shared" si="17"/>
        <v>1</v>
      </c>
    </row>
    <row r="1148" spans="1:5" x14ac:dyDescent="0.35">
      <c r="A1148" s="10" t="s">
        <v>1335</v>
      </c>
      <c r="B1148" s="9" t="s">
        <v>1827</v>
      </c>
      <c r="C1148" s="9" t="s">
        <v>1752</v>
      </c>
      <c r="D1148" s="9" t="s">
        <v>1752</v>
      </c>
      <c r="E1148" s="15">
        <f t="shared" si="17"/>
        <v>1</v>
      </c>
    </row>
    <row r="1149" spans="1:5" x14ac:dyDescent="0.35">
      <c r="A1149" s="11" t="s">
        <v>1336</v>
      </c>
      <c r="B1149" s="9" t="s">
        <v>1752</v>
      </c>
      <c r="C1149" s="9" t="s">
        <v>1752</v>
      </c>
      <c r="D1149" s="9" t="s">
        <v>1752</v>
      </c>
      <c r="E1149" s="15">
        <f t="shared" si="17"/>
        <v>1</v>
      </c>
    </row>
    <row r="1150" spans="1:5" x14ac:dyDescent="0.35">
      <c r="A1150" s="10" t="s">
        <v>1337</v>
      </c>
      <c r="B1150" s="9" t="s">
        <v>1752</v>
      </c>
      <c r="C1150" s="9" t="s">
        <v>1752</v>
      </c>
      <c r="D1150" s="9" t="s">
        <v>1752</v>
      </c>
      <c r="E1150" s="15">
        <f t="shared" si="17"/>
        <v>1</v>
      </c>
    </row>
    <row r="1151" spans="1:5" x14ac:dyDescent="0.35">
      <c r="A1151" s="10" t="s">
        <v>1338</v>
      </c>
      <c r="B1151" s="9" t="s">
        <v>1752</v>
      </c>
      <c r="C1151" s="9" t="s">
        <v>1752</v>
      </c>
      <c r="D1151" s="9" t="s">
        <v>1752</v>
      </c>
      <c r="E1151" s="15">
        <f t="shared" si="17"/>
        <v>1</v>
      </c>
    </row>
    <row r="1152" spans="1:5" x14ac:dyDescent="0.35">
      <c r="A1152" s="10" t="s">
        <v>1339</v>
      </c>
      <c r="B1152" s="9" t="s">
        <v>1752</v>
      </c>
      <c r="C1152" s="9" t="s">
        <v>1752</v>
      </c>
      <c r="D1152" s="9" t="s">
        <v>1752</v>
      </c>
      <c r="E1152" s="15">
        <f t="shared" si="17"/>
        <v>1</v>
      </c>
    </row>
    <row r="1153" spans="1:5" x14ac:dyDescent="0.35">
      <c r="A1153" s="10" t="s">
        <v>1340</v>
      </c>
      <c r="B1153" s="9" t="s">
        <v>1752</v>
      </c>
      <c r="C1153" s="9" t="s">
        <v>1752</v>
      </c>
      <c r="D1153" s="9" t="s">
        <v>1752</v>
      </c>
      <c r="E1153" s="15">
        <f t="shared" si="17"/>
        <v>1</v>
      </c>
    </row>
    <row r="1154" spans="1:5" x14ac:dyDescent="0.35">
      <c r="A1154" s="11" t="s">
        <v>1341</v>
      </c>
      <c r="B1154" s="9" t="s">
        <v>1827</v>
      </c>
      <c r="C1154" s="9" t="s">
        <v>1752</v>
      </c>
      <c r="D1154" s="9" t="s">
        <v>1752</v>
      </c>
      <c r="E1154" s="15">
        <f t="shared" si="17"/>
        <v>1</v>
      </c>
    </row>
    <row r="1155" spans="1:5" x14ac:dyDescent="0.35">
      <c r="A1155" s="10" t="s">
        <v>1342</v>
      </c>
      <c r="B1155" s="9" t="s">
        <v>1752</v>
      </c>
      <c r="C1155" s="9" t="s">
        <v>1752</v>
      </c>
      <c r="D1155" s="9" t="s">
        <v>1752</v>
      </c>
      <c r="E1155" s="15">
        <f t="shared" ref="E1155:E1218" si="18">IF(COUNTIF(B1155:D1155,"Y")&gt;0,1,0)</f>
        <v>1</v>
      </c>
    </row>
    <row r="1156" spans="1:5" x14ac:dyDescent="0.35">
      <c r="A1156" s="11" t="s">
        <v>1343</v>
      </c>
      <c r="B1156" s="9" t="s">
        <v>1752</v>
      </c>
      <c r="C1156" s="9" t="s">
        <v>1752</v>
      </c>
      <c r="D1156" s="9" t="s">
        <v>1752</v>
      </c>
      <c r="E1156" s="15">
        <f t="shared" si="18"/>
        <v>1</v>
      </c>
    </row>
    <row r="1157" spans="1:5" x14ac:dyDescent="0.35">
      <c r="A1157" s="11" t="s">
        <v>1344</v>
      </c>
      <c r="B1157" s="9" t="s">
        <v>1827</v>
      </c>
      <c r="C1157" s="9" t="s">
        <v>1752</v>
      </c>
      <c r="D1157" s="9" t="s">
        <v>1752</v>
      </c>
      <c r="E1157" s="15">
        <f t="shared" si="18"/>
        <v>1</v>
      </c>
    </row>
    <row r="1158" spans="1:5" x14ac:dyDescent="0.35">
      <c r="A1158" s="10" t="s">
        <v>1345</v>
      </c>
      <c r="B1158" s="9" t="s">
        <v>1752</v>
      </c>
      <c r="C1158" s="9" t="s">
        <v>1752</v>
      </c>
      <c r="D1158" s="9" t="s">
        <v>1752</v>
      </c>
      <c r="E1158" s="15">
        <f t="shared" si="18"/>
        <v>1</v>
      </c>
    </row>
    <row r="1159" spans="1:5" x14ac:dyDescent="0.35">
      <c r="A1159" s="11" t="s">
        <v>1346</v>
      </c>
      <c r="B1159" s="9" t="s">
        <v>1752</v>
      </c>
      <c r="C1159" s="9" t="s">
        <v>1752</v>
      </c>
      <c r="D1159" s="9" t="s">
        <v>1752</v>
      </c>
      <c r="E1159" s="15">
        <f t="shared" si="18"/>
        <v>1</v>
      </c>
    </row>
    <row r="1160" spans="1:5" x14ac:dyDescent="0.35">
      <c r="A1160" s="11" t="s">
        <v>1347</v>
      </c>
      <c r="B1160" s="9" t="s">
        <v>1752</v>
      </c>
      <c r="C1160" s="9" t="s">
        <v>1752</v>
      </c>
      <c r="D1160" s="9" t="s">
        <v>1752</v>
      </c>
      <c r="E1160" s="15">
        <f t="shared" si="18"/>
        <v>1</v>
      </c>
    </row>
    <row r="1161" spans="1:5" x14ac:dyDescent="0.35">
      <c r="A1161" s="10" t="s">
        <v>1348</v>
      </c>
      <c r="B1161" s="9" t="s">
        <v>1752</v>
      </c>
      <c r="C1161" s="9" t="s">
        <v>1752</v>
      </c>
      <c r="D1161" s="9" t="s">
        <v>1752</v>
      </c>
      <c r="E1161" s="15">
        <f t="shared" si="18"/>
        <v>1</v>
      </c>
    </row>
    <row r="1162" spans="1:5" x14ac:dyDescent="0.35">
      <c r="A1162" s="11" t="s">
        <v>1349</v>
      </c>
      <c r="B1162" s="9" t="s">
        <v>1752</v>
      </c>
      <c r="C1162" s="9" t="s">
        <v>1752</v>
      </c>
      <c r="D1162" s="9" t="s">
        <v>1752</v>
      </c>
      <c r="E1162" s="15">
        <f t="shared" si="18"/>
        <v>1</v>
      </c>
    </row>
    <row r="1163" spans="1:5" x14ac:dyDescent="0.35">
      <c r="A1163" s="10" t="s">
        <v>1350</v>
      </c>
      <c r="B1163" s="9" t="s">
        <v>1827</v>
      </c>
      <c r="C1163" s="9" t="s">
        <v>1752</v>
      </c>
      <c r="D1163" s="9" t="s">
        <v>1752</v>
      </c>
      <c r="E1163" s="15">
        <f t="shared" si="18"/>
        <v>1</v>
      </c>
    </row>
    <row r="1164" spans="1:5" x14ac:dyDescent="0.35">
      <c r="A1164" s="11" t="s">
        <v>1351</v>
      </c>
      <c r="B1164" s="9" t="s">
        <v>1752</v>
      </c>
      <c r="C1164" s="9" t="s">
        <v>1752</v>
      </c>
      <c r="D1164" s="9" t="s">
        <v>1752</v>
      </c>
      <c r="E1164" s="15">
        <f t="shared" si="18"/>
        <v>1</v>
      </c>
    </row>
    <row r="1165" spans="1:5" x14ac:dyDescent="0.35">
      <c r="A1165" s="11" t="s">
        <v>1352</v>
      </c>
      <c r="B1165" s="9" t="s">
        <v>1752</v>
      </c>
      <c r="C1165" s="9" t="s">
        <v>1752</v>
      </c>
      <c r="D1165" s="9" t="s">
        <v>1752</v>
      </c>
      <c r="E1165" s="15">
        <f t="shared" si="18"/>
        <v>1</v>
      </c>
    </row>
    <row r="1166" spans="1:5" x14ac:dyDescent="0.35">
      <c r="A1166" s="10" t="s">
        <v>1353</v>
      </c>
      <c r="B1166" s="9" t="s">
        <v>1752</v>
      </c>
      <c r="C1166" s="9" t="s">
        <v>1752</v>
      </c>
      <c r="D1166" s="9" t="s">
        <v>1752</v>
      </c>
      <c r="E1166" s="15">
        <f t="shared" si="18"/>
        <v>1</v>
      </c>
    </row>
    <row r="1167" spans="1:5" x14ac:dyDescent="0.35">
      <c r="A1167" s="11" t="s">
        <v>1354</v>
      </c>
      <c r="B1167" s="9" t="s">
        <v>1752</v>
      </c>
      <c r="C1167" s="9" t="s">
        <v>1752</v>
      </c>
      <c r="D1167" s="9" t="s">
        <v>1752</v>
      </c>
      <c r="E1167" s="15">
        <f t="shared" si="18"/>
        <v>1</v>
      </c>
    </row>
    <row r="1168" spans="1:5" x14ac:dyDescent="0.35">
      <c r="A1168" s="11" t="s">
        <v>1355</v>
      </c>
      <c r="B1168" s="9" t="s">
        <v>1752</v>
      </c>
      <c r="C1168" s="9" t="s">
        <v>1752</v>
      </c>
      <c r="D1168" s="9" t="s">
        <v>1752</v>
      </c>
      <c r="E1168" s="15">
        <f t="shared" si="18"/>
        <v>1</v>
      </c>
    </row>
    <row r="1169" spans="1:5" x14ac:dyDescent="0.35">
      <c r="A1169" s="10" t="s">
        <v>1356</v>
      </c>
      <c r="B1169" s="9" t="s">
        <v>1827</v>
      </c>
      <c r="C1169" s="9" t="s">
        <v>1752</v>
      </c>
      <c r="D1169" s="9" t="s">
        <v>1752</v>
      </c>
      <c r="E1169" s="15">
        <f t="shared" si="18"/>
        <v>1</v>
      </c>
    </row>
    <row r="1170" spans="1:5" x14ac:dyDescent="0.35">
      <c r="A1170" s="11" t="s">
        <v>1357</v>
      </c>
      <c r="B1170" s="9" t="s">
        <v>1827</v>
      </c>
      <c r="C1170" s="9" t="s">
        <v>1752</v>
      </c>
      <c r="D1170" s="9" t="s">
        <v>1752</v>
      </c>
      <c r="E1170" s="15">
        <f t="shared" si="18"/>
        <v>1</v>
      </c>
    </row>
    <row r="1171" spans="1:5" x14ac:dyDescent="0.35">
      <c r="A1171" s="11" t="s">
        <v>1358</v>
      </c>
      <c r="B1171" s="9" t="s">
        <v>1752</v>
      </c>
      <c r="C1171" s="9" t="s">
        <v>1752</v>
      </c>
      <c r="D1171" s="9" t="s">
        <v>1752</v>
      </c>
      <c r="E1171" s="15">
        <f t="shared" si="18"/>
        <v>1</v>
      </c>
    </row>
    <row r="1172" spans="1:5" x14ac:dyDescent="0.35">
      <c r="A1172" s="10" t="s">
        <v>1359</v>
      </c>
      <c r="B1172" s="9" t="s">
        <v>1752</v>
      </c>
      <c r="C1172" s="9" t="s">
        <v>1752</v>
      </c>
      <c r="D1172" s="9" t="s">
        <v>1752</v>
      </c>
      <c r="E1172" s="15">
        <f t="shared" si="18"/>
        <v>1</v>
      </c>
    </row>
    <row r="1173" spans="1:5" x14ac:dyDescent="0.35">
      <c r="A1173" s="11" t="s">
        <v>1360</v>
      </c>
      <c r="B1173" s="9" t="s">
        <v>1752</v>
      </c>
      <c r="C1173" s="9" t="s">
        <v>1752</v>
      </c>
      <c r="D1173" s="9" t="s">
        <v>1752</v>
      </c>
      <c r="E1173" s="15">
        <f t="shared" si="18"/>
        <v>1</v>
      </c>
    </row>
    <row r="1174" spans="1:5" x14ac:dyDescent="0.35">
      <c r="A1174" s="10" t="s">
        <v>1361</v>
      </c>
      <c r="B1174" s="9" t="s">
        <v>1752</v>
      </c>
      <c r="C1174" s="9" t="s">
        <v>1752</v>
      </c>
      <c r="D1174" s="9" t="s">
        <v>1752</v>
      </c>
      <c r="E1174" s="15">
        <f t="shared" si="18"/>
        <v>1</v>
      </c>
    </row>
    <row r="1175" spans="1:5" x14ac:dyDescent="0.35">
      <c r="A1175" s="11" t="s">
        <v>1362</v>
      </c>
      <c r="B1175" s="9" t="s">
        <v>1752</v>
      </c>
      <c r="C1175" s="9" t="s">
        <v>1752</v>
      </c>
      <c r="D1175" s="9" t="s">
        <v>1752</v>
      </c>
      <c r="E1175" s="15">
        <f t="shared" si="18"/>
        <v>1</v>
      </c>
    </row>
    <row r="1176" spans="1:5" x14ac:dyDescent="0.35">
      <c r="A1176" s="10" t="s">
        <v>1363</v>
      </c>
      <c r="B1176" s="9" t="s">
        <v>1752</v>
      </c>
      <c r="C1176" s="9" t="s">
        <v>1752</v>
      </c>
      <c r="D1176" s="9" t="s">
        <v>1752</v>
      </c>
      <c r="E1176" s="15">
        <f t="shared" si="18"/>
        <v>1</v>
      </c>
    </row>
    <row r="1177" spans="1:5" x14ac:dyDescent="0.35">
      <c r="A1177" s="10" t="s">
        <v>1364</v>
      </c>
      <c r="B1177" s="9" t="s">
        <v>1752</v>
      </c>
      <c r="C1177" s="9" t="s">
        <v>1752</v>
      </c>
      <c r="D1177" s="9" t="s">
        <v>1752</v>
      </c>
      <c r="E1177" s="15">
        <f t="shared" si="18"/>
        <v>1</v>
      </c>
    </row>
    <row r="1178" spans="1:5" x14ac:dyDescent="0.35">
      <c r="A1178" s="11" t="s">
        <v>1365</v>
      </c>
      <c r="B1178" s="9" t="s">
        <v>1752</v>
      </c>
      <c r="C1178" s="9" t="s">
        <v>1752</v>
      </c>
      <c r="D1178" s="9" t="s">
        <v>1752</v>
      </c>
      <c r="E1178" s="15">
        <f t="shared" si="18"/>
        <v>1</v>
      </c>
    </row>
    <row r="1179" spans="1:5" x14ac:dyDescent="0.35">
      <c r="A1179" s="10" t="s">
        <v>1366</v>
      </c>
      <c r="B1179" s="9" t="s">
        <v>1752</v>
      </c>
      <c r="C1179" s="9" t="s">
        <v>1752</v>
      </c>
      <c r="D1179" s="9" t="s">
        <v>1752</v>
      </c>
      <c r="E1179" s="15">
        <f t="shared" si="18"/>
        <v>1</v>
      </c>
    </row>
    <row r="1180" spans="1:5" x14ac:dyDescent="0.35">
      <c r="A1180" s="11" t="s">
        <v>1367</v>
      </c>
      <c r="B1180" s="9" t="s">
        <v>1752</v>
      </c>
      <c r="C1180" s="9" t="s">
        <v>1752</v>
      </c>
      <c r="D1180" s="9" t="s">
        <v>1752</v>
      </c>
      <c r="E1180" s="15">
        <f t="shared" si="18"/>
        <v>1</v>
      </c>
    </row>
    <row r="1181" spans="1:5" x14ac:dyDescent="0.35">
      <c r="A1181" s="10" t="s">
        <v>1368</v>
      </c>
      <c r="B1181" s="9" t="s">
        <v>1752</v>
      </c>
      <c r="C1181" s="9" t="s">
        <v>1752</v>
      </c>
      <c r="D1181" s="9" t="s">
        <v>1752</v>
      </c>
      <c r="E1181" s="15">
        <f t="shared" si="18"/>
        <v>1</v>
      </c>
    </row>
    <row r="1182" spans="1:5" x14ac:dyDescent="0.35">
      <c r="A1182" s="11" t="s">
        <v>1369</v>
      </c>
      <c r="B1182" s="9" t="s">
        <v>1752</v>
      </c>
      <c r="C1182" s="9" t="s">
        <v>1752</v>
      </c>
      <c r="D1182" s="9" t="s">
        <v>1752</v>
      </c>
      <c r="E1182" s="15">
        <f t="shared" si="18"/>
        <v>1</v>
      </c>
    </row>
    <row r="1183" spans="1:5" x14ac:dyDescent="0.35">
      <c r="A1183" s="11" t="s">
        <v>1370</v>
      </c>
      <c r="B1183" s="9" t="s">
        <v>1752</v>
      </c>
      <c r="C1183" s="9" t="s">
        <v>1752</v>
      </c>
      <c r="D1183" s="9" t="s">
        <v>1752</v>
      </c>
      <c r="E1183" s="15">
        <f t="shared" si="18"/>
        <v>1</v>
      </c>
    </row>
    <row r="1184" spans="1:5" x14ac:dyDescent="0.35">
      <c r="A1184" s="10" t="s">
        <v>1371</v>
      </c>
      <c r="B1184" s="9" t="s">
        <v>1752</v>
      </c>
      <c r="C1184" s="9" t="s">
        <v>1752</v>
      </c>
      <c r="D1184" s="9" t="s">
        <v>1827</v>
      </c>
      <c r="E1184" s="15">
        <f t="shared" si="18"/>
        <v>1</v>
      </c>
    </row>
    <row r="1185" spans="1:5" x14ac:dyDescent="0.35">
      <c r="A1185" s="11" t="s">
        <v>1372</v>
      </c>
      <c r="B1185" s="9" t="s">
        <v>1752</v>
      </c>
      <c r="C1185" s="9" t="s">
        <v>1752</v>
      </c>
      <c r="D1185" s="9" t="s">
        <v>1752</v>
      </c>
      <c r="E1185" s="15">
        <f t="shared" si="18"/>
        <v>1</v>
      </c>
    </row>
    <row r="1186" spans="1:5" x14ac:dyDescent="0.35">
      <c r="A1186" s="10" t="s">
        <v>1373</v>
      </c>
      <c r="B1186" s="9" t="s">
        <v>1752</v>
      </c>
      <c r="C1186" s="9" t="s">
        <v>1752</v>
      </c>
      <c r="D1186" s="9" t="s">
        <v>1752</v>
      </c>
      <c r="E1186" s="15">
        <f t="shared" si="18"/>
        <v>1</v>
      </c>
    </row>
    <row r="1187" spans="1:5" x14ac:dyDescent="0.35">
      <c r="A1187" s="11" t="s">
        <v>1374</v>
      </c>
      <c r="B1187" s="9" t="s">
        <v>1752</v>
      </c>
      <c r="C1187" s="9" t="s">
        <v>1752</v>
      </c>
      <c r="D1187" s="9" t="s">
        <v>1752</v>
      </c>
      <c r="E1187" s="15">
        <f t="shared" si="18"/>
        <v>1</v>
      </c>
    </row>
    <row r="1188" spans="1:5" x14ac:dyDescent="0.35">
      <c r="A1188" s="10" t="s">
        <v>1375</v>
      </c>
      <c r="B1188" s="9" t="s">
        <v>1752</v>
      </c>
      <c r="C1188" s="9" t="s">
        <v>1752</v>
      </c>
      <c r="D1188" s="9" t="s">
        <v>1752</v>
      </c>
      <c r="E1188" s="15">
        <f t="shared" si="18"/>
        <v>1</v>
      </c>
    </row>
    <row r="1189" spans="1:5" x14ac:dyDescent="0.35">
      <c r="A1189" s="11" t="s">
        <v>1376</v>
      </c>
      <c r="B1189" s="9" t="s">
        <v>1752</v>
      </c>
      <c r="C1189" s="9" t="s">
        <v>1752</v>
      </c>
      <c r="D1189" s="9" t="s">
        <v>1752</v>
      </c>
      <c r="E1189" s="15">
        <f t="shared" si="18"/>
        <v>1</v>
      </c>
    </row>
    <row r="1190" spans="1:5" x14ac:dyDescent="0.35">
      <c r="A1190" s="11" t="s">
        <v>1377</v>
      </c>
      <c r="B1190" s="9" t="s">
        <v>1827</v>
      </c>
      <c r="C1190" s="9" t="s">
        <v>1752</v>
      </c>
      <c r="D1190" s="9" t="s">
        <v>1752</v>
      </c>
      <c r="E1190" s="15">
        <f t="shared" si="18"/>
        <v>1</v>
      </c>
    </row>
    <row r="1191" spans="1:5" x14ac:dyDescent="0.35">
      <c r="A1191" s="10" t="s">
        <v>1378</v>
      </c>
      <c r="B1191" s="9" t="s">
        <v>1752</v>
      </c>
      <c r="C1191" s="9" t="s">
        <v>1752</v>
      </c>
      <c r="D1191" s="9" t="s">
        <v>1752</v>
      </c>
      <c r="E1191" s="15">
        <f t="shared" si="18"/>
        <v>1</v>
      </c>
    </row>
    <row r="1192" spans="1:5" x14ac:dyDescent="0.35">
      <c r="A1192" s="10" t="s">
        <v>1379</v>
      </c>
      <c r="B1192" s="9" t="s">
        <v>1752</v>
      </c>
      <c r="C1192" s="9" t="s">
        <v>1752</v>
      </c>
      <c r="D1192" s="9" t="s">
        <v>1752</v>
      </c>
      <c r="E1192" s="15">
        <f t="shared" si="18"/>
        <v>1</v>
      </c>
    </row>
    <row r="1193" spans="1:5" x14ac:dyDescent="0.35">
      <c r="A1193" s="10" t="s">
        <v>1380</v>
      </c>
      <c r="B1193" s="9" t="s">
        <v>1752</v>
      </c>
      <c r="C1193" s="9" t="s">
        <v>1752</v>
      </c>
      <c r="D1193" s="9" t="s">
        <v>1752</v>
      </c>
      <c r="E1193" s="15">
        <f t="shared" si="18"/>
        <v>1</v>
      </c>
    </row>
    <row r="1194" spans="1:5" x14ac:dyDescent="0.35">
      <c r="A1194" s="10" t="s">
        <v>1381</v>
      </c>
      <c r="B1194" s="9" t="s">
        <v>1752</v>
      </c>
      <c r="C1194" s="9" t="s">
        <v>1752</v>
      </c>
      <c r="D1194" s="9" t="s">
        <v>1752</v>
      </c>
      <c r="E1194" s="15">
        <f t="shared" si="18"/>
        <v>1</v>
      </c>
    </row>
    <row r="1195" spans="1:5" x14ac:dyDescent="0.35">
      <c r="A1195" s="11" t="s">
        <v>1382</v>
      </c>
      <c r="B1195" s="9" t="s">
        <v>1752</v>
      </c>
      <c r="C1195" s="9" t="s">
        <v>1752</v>
      </c>
      <c r="D1195" s="9" t="s">
        <v>1752</v>
      </c>
      <c r="E1195" s="15">
        <f t="shared" si="18"/>
        <v>1</v>
      </c>
    </row>
    <row r="1196" spans="1:5" x14ac:dyDescent="0.35">
      <c r="A1196" s="11" t="s">
        <v>1383</v>
      </c>
      <c r="B1196" s="9" t="s">
        <v>1752</v>
      </c>
      <c r="C1196" s="9" t="s">
        <v>1752</v>
      </c>
      <c r="D1196" s="9" t="s">
        <v>1752</v>
      </c>
      <c r="E1196" s="15">
        <f t="shared" si="18"/>
        <v>1</v>
      </c>
    </row>
    <row r="1197" spans="1:5" x14ac:dyDescent="0.35">
      <c r="A1197" s="10" t="s">
        <v>1384</v>
      </c>
      <c r="B1197" s="9" t="s">
        <v>1752</v>
      </c>
      <c r="C1197" s="9" t="s">
        <v>1752</v>
      </c>
      <c r="D1197" s="9" t="s">
        <v>1752</v>
      </c>
      <c r="E1197" s="15">
        <f t="shared" si="18"/>
        <v>1</v>
      </c>
    </row>
    <row r="1198" spans="1:5" x14ac:dyDescent="0.35">
      <c r="A1198" s="11" t="s">
        <v>1385</v>
      </c>
      <c r="B1198" s="9" t="s">
        <v>1752</v>
      </c>
      <c r="C1198" s="9" t="s">
        <v>1752</v>
      </c>
      <c r="D1198" s="9" t="s">
        <v>1752</v>
      </c>
      <c r="E1198" s="15">
        <f t="shared" si="18"/>
        <v>1</v>
      </c>
    </row>
    <row r="1199" spans="1:5" x14ac:dyDescent="0.35">
      <c r="A1199" s="10" t="s">
        <v>1386</v>
      </c>
      <c r="B1199" s="9" t="s">
        <v>1752</v>
      </c>
      <c r="C1199" s="9" t="s">
        <v>1752</v>
      </c>
      <c r="D1199" s="9" t="s">
        <v>1752</v>
      </c>
      <c r="E1199" s="15">
        <f t="shared" si="18"/>
        <v>1</v>
      </c>
    </row>
    <row r="1200" spans="1:5" x14ac:dyDescent="0.35">
      <c r="A1200" s="11" t="s">
        <v>1387</v>
      </c>
      <c r="B1200" s="9" t="s">
        <v>1752</v>
      </c>
      <c r="C1200" s="9" t="s">
        <v>1752</v>
      </c>
      <c r="D1200" s="9" t="s">
        <v>1752</v>
      </c>
      <c r="E1200" s="15">
        <f t="shared" si="18"/>
        <v>1</v>
      </c>
    </row>
    <row r="1201" spans="1:5" x14ac:dyDescent="0.35">
      <c r="A1201" s="10" t="s">
        <v>1388</v>
      </c>
      <c r="B1201" s="9" t="s">
        <v>1752</v>
      </c>
      <c r="C1201" s="9" t="s">
        <v>1752</v>
      </c>
      <c r="D1201" s="9" t="s">
        <v>1752</v>
      </c>
      <c r="E1201" s="15">
        <f t="shared" si="18"/>
        <v>1</v>
      </c>
    </row>
    <row r="1202" spans="1:5" x14ac:dyDescent="0.35">
      <c r="A1202" s="11" t="s">
        <v>1389</v>
      </c>
      <c r="B1202" s="9" t="s">
        <v>1752</v>
      </c>
      <c r="C1202" s="9" t="s">
        <v>1752</v>
      </c>
      <c r="D1202" s="9" t="s">
        <v>1752</v>
      </c>
      <c r="E1202" s="15">
        <f t="shared" si="18"/>
        <v>1</v>
      </c>
    </row>
    <row r="1203" spans="1:5" x14ac:dyDescent="0.35">
      <c r="A1203" s="11" t="s">
        <v>1390</v>
      </c>
      <c r="B1203" s="9" t="s">
        <v>1752</v>
      </c>
      <c r="C1203" s="9" t="s">
        <v>1752</v>
      </c>
      <c r="D1203" s="9" t="s">
        <v>1752</v>
      </c>
      <c r="E1203" s="15">
        <f t="shared" si="18"/>
        <v>1</v>
      </c>
    </row>
    <row r="1204" spans="1:5" x14ac:dyDescent="0.35">
      <c r="A1204" s="10" t="s">
        <v>1391</v>
      </c>
      <c r="B1204" s="9" t="s">
        <v>1752</v>
      </c>
      <c r="C1204" s="9" t="s">
        <v>1752</v>
      </c>
      <c r="D1204" s="9" t="s">
        <v>1752</v>
      </c>
      <c r="E1204" s="15">
        <f t="shared" si="18"/>
        <v>1</v>
      </c>
    </row>
    <row r="1205" spans="1:5" x14ac:dyDescent="0.35">
      <c r="A1205" s="11" t="s">
        <v>1392</v>
      </c>
      <c r="B1205" s="9" t="s">
        <v>1752</v>
      </c>
      <c r="C1205" s="9" t="s">
        <v>1752</v>
      </c>
      <c r="D1205" s="9" t="s">
        <v>1752</v>
      </c>
      <c r="E1205" s="15">
        <f t="shared" si="18"/>
        <v>1</v>
      </c>
    </row>
    <row r="1206" spans="1:5" x14ac:dyDescent="0.35">
      <c r="A1206" s="10" t="s">
        <v>1393</v>
      </c>
      <c r="B1206" s="9" t="s">
        <v>1752</v>
      </c>
      <c r="C1206" s="9" t="s">
        <v>1752</v>
      </c>
      <c r="D1206" s="9" t="s">
        <v>1752</v>
      </c>
      <c r="E1206" s="15">
        <f t="shared" si="18"/>
        <v>1</v>
      </c>
    </row>
    <row r="1207" spans="1:5" x14ac:dyDescent="0.35">
      <c r="A1207" s="11" t="s">
        <v>1394</v>
      </c>
      <c r="B1207" s="9" t="s">
        <v>1752</v>
      </c>
      <c r="C1207" s="9" t="s">
        <v>1752</v>
      </c>
      <c r="D1207" s="9" t="s">
        <v>1752</v>
      </c>
      <c r="E1207" s="15">
        <f t="shared" si="18"/>
        <v>1</v>
      </c>
    </row>
    <row r="1208" spans="1:5" x14ac:dyDescent="0.35">
      <c r="A1208" s="10" t="s">
        <v>1395</v>
      </c>
      <c r="B1208" s="9" t="s">
        <v>1752</v>
      </c>
      <c r="C1208" s="9" t="s">
        <v>1752</v>
      </c>
      <c r="D1208" s="9" t="s">
        <v>1752</v>
      </c>
      <c r="E1208" s="15">
        <f t="shared" si="18"/>
        <v>1</v>
      </c>
    </row>
    <row r="1209" spans="1:5" x14ac:dyDescent="0.35">
      <c r="A1209" s="11" t="s">
        <v>1396</v>
      </c>
      <c r="B1209" s="9" t="s">
        <v>1752</v>
      </c>
      <c r="C1209" s="9" t="s">
        <v>1752</v>
      </c>
      <c r="D1209" s="9" t="s">
        <v>1752</v>
      </c>
      <c r="E1209" s="15">
        <f t="shared" si="18"/>
        <v>1</v>
      </c>
    </row>
    <row r="1210" spans="1:5" x14ac:dyDescent="0.35">
      <c r="A1210" s="10" t="s">
        <v>1397</v>
      </c>
      <c r="B1210" s="9" t="s">
        <v>1752</v>
      </c>
      <c r="C1210" s="9" t="s">
        <v>1752</v>
      </c>
      <c r="D1210" s="9" t="s">
        <v>1752</v>
      </c>
      <c r="E1210" s="15">
        <f t="shared" si="18"/>
        <v>1</v>
      </c>
    </row>
    <row r="1211" spans="1:5" x14ac:dyDescent="0.35">
      <c r="A1211" s="11" t="s">
        <v>1398</v>
      </c>
      <c r="B1211" s="9" t="s">
        <v>1752</v>
      </c>
      <c r="C1211" s="9" t="s">
        <v>1752</v>
      </c>
      <c r="D1211" s="9" t="s">
        <v>1752</v>
      </c>
      <c r="E1211" s="15">
        <f t="shared" si="18"/>
        <v>1</v>
      </c>
    </row>
    <row r="1212" spans="1:5" x14ac:dyDescent="0.35">
      <c r="A1212" s="10" t="s">
        <v>1399</v>
      </c>
      <c r="B1212" s="9" t="s">
        <v>1752</v>
      </c>
      <c r="C1212" s="9" t="s">
        <v>1752</v>
      </c>
      <c r="D1212" s="9" t="s">
        <v>1752</v>
      </c>
      <c r="E1212" s="15">
        <f t="shared" si="18"/>
        <v>1</v>
      </c>
    </row>
    <row r="1213" spans="1:5" x14ac:dyDescent="0.35">
      <c r="A1213" s="11" t="s">
        <v>1400</v>
      </c>
      <c r="B1213" s="9" t="s">
        <v>1752</v>
      </c>
      <c r="C1213" s="9" t="s">
        <v>1752</v>
      </c>
      <c r="D1213" s="9" t="s">
        <v>1752</v>
      </c>
      <c r="E1213" s="15">
        <f t="shared" si="18"/>
        <v>1</v>
      </c>
    </row>
    <row r="1214" spans="1:5" x14ac:dyDescent="0.35">
      <c r="A1214" s="10" t="s">
        <v>1401</v>
      </c>
      <c r="B1214" s="9" t="s">
        <v>1752</v>
      </c>
      <c r="C1214" s="9" t="s">
        <v>1752</v>
      </c>
      <c r="D1214" s="9" t="s">
        <v>1752</v>
      </c>
      <c r="E1214" s="15">
        <f t="shared" si="18"/>
        <v>1</v>
      </c>
    </row>
    <row r="1215" spans="1:5" x14ac:dyDescent="0.35">
      <c r="A1215" s="11" t="s">
        <v>1402</v>
      </c>
      <c r="B1215" s="9" t="s">
        <v>1752</v>
      </c>
      <c r="C1215" s="9" t="s">
        <v>1752</v>
      </c>
      <c r="D1215" s="9" t="s">
        <v>1752</v>
      </c>
      <c r="E1215" s="15">
        <f t="shared" si="18"/>
        <v>1</v>
      </c>
    </row>
    <row r="1216" spans="1:5" x14ac:dyDescent="0.35">
      <c r="A1216" s="10" t="s">
        <v>1403</v>
      </c>
      <c r="B1216" s="9" t="s">
        <v>1752</v>
      </c>
      <c r="C1216" s="9" t="s">
        <v>1752</v>
      </c>
      <c r="D1216" s="9" t="s">
        <v>1752</v>
      </c>
      <c r="E1216" s="15">
        <f t="shared" si="18"/>
        <v>1</v>
      </c>
    </row>
    <row r="1217" spans="1:5" x14ac:dyDescent="0.35">
      <c r="A1217" s="11" t="s">
        <v>1404</v>
      </c>
      <c r="B1217" s="9" t="s">
        <v>1827</v>
      </c>
      <c r="C1217" s="9" t="s">
        <v>1752</v>
      </c>
      <c r="D1217" s="9" t="s">
        <v>1752</v>
      </c>
      <c r="E1217" s="15">
        <f t="shared" si="18"/>
        <v>1</v>
      </c>
    </row>
    <row r="1218" spans="1:5" x14ac:dyDescent="0.35">
      <c r="A1218" s="10" t="s">
        <v>1405</v>
      </c>
      <c r="B1218" s="9" t="s">
        <v>1827</v>
      </c>
      <c r="C1218" s="9" t="s">
        <v>1752</v>
      </c>
      <c r="D1218" s="9" t="s">
        <v>1752</v>
      </c>
      <c r="E1218" s="15">
        <f t="shared" si="18"/>
        <v>1</v>
      </c>
    </row>
    <row r="1219" spans="1:5" x14ac:dyDescent="0.35">
      <c r="A1219" s="11" t="s">
        <v>1406</v>
      </c>
      <c r="B1219" s="9" t="s">
        <v>1827</v>
      </c>
      <c r="C1219" s="9" t="s">
        <v>1752</v>
      </c>
      <c r="D1219" s="9" t="s">
        <v>1752</v>
      </c>
      <c r="E1219" s="15">
        <f t="shared" ref="E1219:E1282" si="19">IF(COUNTIF(B1219:D1219,"Y")&gt;0,1,0)</f>
        <v>1</v>
      </c>
    </row>
    <row r="1220" spans="1:5" x14ac:dyDescent="0.35">
      <c r="A1220" s="10" t="s">
        <v>1407</v>
      </c>
      <c r="B1220" s="9" t="s">
        <v>1827</v>
      </c>
      <c r="C1220" s="9" t="s">
        <v>1752</v>
      </c>
      <c r="D1220" s="9" t="s">
        <v>1752</v>
      </c>
      <c r="E1220" s="15">
        <f t="shared" si="19"/>
        <v>1</v>
      </c>
    </row>
    <row r="1221" spans="1:5" x14ac:dyDescent="0.35">
      <c r="A1221" s="11" t="s">
        <v>1408</v>
      </c>
      <c r="B1221" s="9" t="s">
        <v>1827</v>
      </c>
      <c r="C1221" s="9" t="s">
        <v>1752</v>
      </c>
      <c r="D1221" s="9" t="s">
        <v>1752</v>
      </c>
      <c r="E1221" s="15">
        <f t="shared" si="19"/>
        <v>1</v>
      </c>
    </row>
    <row r="1222" spans="1:5" x14ac:dyDescent="0.35">
      <c r="A1222" s="10" t="s">
        <v>1409</v>
      </c>
      <c r="B1222" s="9" t="s">
        <v>1827</v>
      </c>
      <c r="C1222" s="9" t="s">
        <v>1752</v>
      </c>
      <c r="D1222" s="9" t="s">
        <v>1752</v>
      </c>
      <c r="E1222" s="15">
        <f t="shared" si="19"/>
        <v>1</v>
      </c>
    </row>
    <row r="1223" spans="1:5" x14ac:dyDescent="0.35">
      <c r="A1223" s="11" t="s">
        <v>1410</v>
      </c>
      <c r="B1223" s="9" t="s">
        <v>1827</v>
      </c>
      <c r="C1223" s="9" t="s">
        <v>1752</v>
      </c>
      <c r="D1223" s="9" t="s">
        <v>1752</v>
      </c>
      <c r="E1223" s="15">
        <f t="shared" si="19"/>
        <v>1</v>
      </c>
    </row>
    <row r="1224" spans="1:5" x14ac:dyDescent="0.35">
      <c r="A1224" s="10" t="s">
        <v>1411</v>
      </c>
      <c r="B1224" s="9" t="s">
        <v>1827</v>
      </c>
      <c r="C1224" s="9" t="s">
        <v>1752</v>
      </c>
      <c r="D1224" s="9" t="s">
        <v>1752</v>
      </c>
      <c r="E1224" s="15">
        <f t="shared" si="19"/>
        <v>1</v>
      </c>
    </row>
    <row r="1225" spans="1:5" x14ac:dyDescent="0.35">
      <c r="A1225" s="11" t="s">
        <v>1412</v>
      </c>
      <c r="B1225" s="9" t="s">
        <v>1827</v>
      </c>
      <c r="C1225" s="9" t="s">
        <v>1752</v>
      </c>
      <c r="D1225" s="9" t="s">
        <v>1752</v>
      </c>
      <c r="E1225" s="15">
        <f t="shared" si="19"/>
        <v>1</v>
      </c>
    </row>
    <row r="1226" spans="1:5" x14ac:dyDescent="0.35">
      <c r="A1226" s="10" t="s">
        <v>1413</v>
      </c>
      <c r="B1226" s="9" t="s">
        <v>1752</v>
      </c>
      <c r="C1226" s="9" t="s">
        <v>1752</v>
      </c>
      <c r="D1226" s="9" t="s">
        <v>1752</v>
      </c>
      <c r="E1226" s="15">
        <f t="shared" si="19"/>
        <v>1</v>
      </c>
    </row>
    <row r="1227" spans="1:5" x14ac:dyDescent="0.35">
      <c r="A1227" s="11" t="s">
        <v>1414</v>
      </c>
      <c r="B1227" s="9" t="s">
        <v>1752</v>
      </c>
      <c r="C1227" s="9" t="s">
        <v>1752</v>
      </c>
      <c r="D1227" s="9" t="s">
        <v>1752</v>
      </c>
      <c r="E1227" s="15">
        <f t="shared" si="19"/>
        <v>1</v>
      </c>
    </row>
    <row r="1228" spans="1:5" x14ac:dyDescent="0.35">
      <c r="A1228" s="11" t="s">
        <v>1415</v>
      </c>
      <c r="B1228" s="9" t="s">
        <v>1827</v>
      </c>
      <c r="C1228" s="9" t="s">
        <v>1752</v>
      </c>
      <c r="D1228" s="9" t="s">
        <v>1752</v>
      </c>
      <c r="E1228" s="15">
        <f t="shared" si="19"/>
        <v>1</v>
      </c>
    </row>
    <row r="1229" spans="1:5" x14ac:dyDescent="0.35">
      <c r="A1229" s="10" t="s">
        <v>1416</v>
      </c>
      <c r="B1229" s="9" t="s">
        <v>1827</v>
      </c>
      <c r="C1229" s="9" t="s">
        <v>1752</v>
      </c>
      <c r="D1229" s="9" t="s">
        <v>1752</v>
      </c>
      <c r="E1229" s="15">
        <f t="shared" si="19"/>
        <v>1</v>
      </c>
    </row>
    <row r="1230" spans="1:5" x14ac:dyDescent="0.35">
      <c r="A1230" s="11" t="s">
        <v>1417</v>
      </c>
      <c r="B1230" s="9" t="s">
        <v>1752</v>
      </c>
      <c r="C1230" s="9" t="s">
        <v>1752</v>
      </c>
      <c r="D1230" s="9" t="s">
        <v>1752</v>
      </c>
      <c r="E1230" s="15">
        <f t="shared" si="19"/>
        <v>1</v>
      </c>
    </row>
    <row r="1231" spans="1:5" x14ac:dyDescent="0.35">
      <c r="A1231" s="10" t="s">
        <v>1418</v>
      </c>
      <c r="B1231" s="9" t="s">
        <v>1827</v>
      </c>
      <c r="C1231" s="9" t="s">
        <v>1752</v>
      </c>
      <c r="D1231" s="9" t="s">
        <v>1752</v>
      </c>
      <c r="E1231" s="15">
        <f t="shared" si="19"/>
        <v>1</v>
      </c>
    </row>
    <row r="1232" spans="1:5" x14ac:dyDescent="0.35">
      <c r="A1232" s="11" t="s">
        <v>1419</v>
      </c>
      <c r="B1232" s="9" t="s">
        <v>1827</v>
      </c>
      <c r="C1232" s="9" t="s">
        <v>1752</v>
      </c>
      <c r="D1232" s="9" t="s">
        <v>1752</v>
      </c>
      <c r="E1232" s="15">
        <f t="shared" si="19"/>
        <v>1</v>
      </c>
    </row>
    <row r="1233" spans="1:5" x14ac:dyDescent="0.35">
      <c r="A1233" s="11" t="s">
        <v>1420</v>
      </c>
      <c r="B1233" s="9" t="s">
        <v>1752</v>
      </c>
      <c r="C1233" s="9" t="s">
        <v>1752</v>
      </c>
      <c r="D1233" s="9" t="s">
        <v>1752</v>
      </c>
      <c r="E1233" s="15">
        <f t="shared" si="19"/>
        <v>1</v>
      </c>
    </row>
    <row r="1234" spans="1:5" x14ac:dyDescent="0.35">
      <c r="A1234" s="11" t="s">
        <v>1421</v>
      </c>
      <c r="B1234" s="9" t="s">
        <v>1752</v>
      </c>
      <c r="C1234" s="9" t="s">
        <v>1752</v>
      </c>
      <c r="D1234" s="9" t="s">
        <v>1752</v>
      </c>
      <c r="E1234" s="15">
        <f t="shared" si="19"/>
        <v>1</v>
      </c>
    </row>
    <row r="1235" spans="1:5" x14ac:dyDescent="0.35">
      <c r="A1235" s="10" t="s">
        <v>1422</v>
      </c>
      <c r="B1235" s="9" t="s">
        <v>1827</v>
      </c>
      <c r="C1235" s="9" t="s">
        <v>1752</v>
      </c>
      <c r="D1235" s="9" t="s">
        <v>1752</v>
      </c>
      <c r="E1235" s="15">
        <f t="shared" si="19"/>
        <v>1</v>
      </c>
    </row>
    <row r="1236" spans="1:5" x14ac:dyDescent="0.35">
      <c r="A1236" s="10" t="s">
        <v>1423</v>
      </c>
      <c r="B1236" s="9" t="s">
        <v>1752</v>
      </c>
      <c r="C1236" s="9" t="s">
        <v>1752</v>
      </c>
      <c r="D1236" s="9" t="s">
        <v>1752</v>
      </c>
      <c r="E1236" s="15">
        <f t="shared" si="19"/>
        <v>1</v>
      </c>
    </row>
    <row r="1237" spans="1:5" x14ac:dyDescent="0.35">
      <c r="A1237" s="10" t="s">
        <v>1424</v>
      </c>
      <c r="B1237" s="9" t="s">
        <v>1752</v>
      </c>
      <c r="C1237" s="9" t="s">
        <v>1752</v>
      </c>
      <c r="D1237" s="9" t="s">
        <v>1752</v>
      </c>
      <c r="E1237" s="15">
        <f t="shared" si="19"/>
        <v>1</v>
      </c>
    </row>
    <row r="1238" spans="1:5" x14ac:dyDescent="0.35">
      <c r="A1238" s="10" t="s">
        <v>1425</v>
      </c>
      <c r="B1238" s="9" t="s">
        <v>1752</v>
      </c>
      <c r="C1238" s="9" t="s">
        <v>1752</v>
      </c>
      <c r="D1238" s="9" t="s">
        <v>1752</v>
      </c>
      <c r="E1238" s="15">
        <f t="shared" si="19"/>
        <v>1</v>
      </c>
    </row>
    <row r="1239" spans="1:5" x14ac:dyDescent="0.35">
      <c r="A1239" s="11" t="s">
        <v>1426</v>
      </c>
      <c r="B1239" s="9" t="s">
        <v>1752</v>
      </c>
      <c r="C1239" s="9" t="s">
        <v>1752</v>
      </c>
      <c r="D1239" s="9" t="s">
        <v>1752</v>
      </c>
      <c r="E1239" s="15">
        <f t="shared" si="19"/>
        <v>1</v>
      </c>
    </row>
    <row r="1240" spans="1:5" x14ac:dyDescent="0.35">
      <c r="A1240" s="10" t="s">
        <v>1427</v>
      </c>
      <c r="B1240" s="9" t="s">
        <v>1752</v>
      </c>
      <c r="C1240" s="9" t="s">
        <v>1752</v>
      </c>
      <c r="D1240" s="9" t="s">
        <v>1752</v>
      </c>
      <c r="E1240" s="15">
        <f t="shared" si="19"/>
        <v>1</v>
      </c>
    </row>
    <row r="1241" spans="1:5" x14ac:dyDescent="0.35">
      <c r="A1241" s="10" t="s">
        <v>1428</v>
      </c>
      <c r="B1241" s="9" t="s">
        <v>1752</v>
      </c>
      <c r="C1241" s="9" t="s">
        <v>1752</v>
      </c>
      <c r="D1241" s="9" t="s">
        <v>1752</v>
      </c>
      <c r="E1241" s="15">
        <f t="shared" si="19"/>
        <v>1</v>
      </c>
    </row>
    <row r="1242" spans="1:5" x14ac:dyDescent="0.35">
      <c r="A1242" s="11" t="s">
        <v>1429</v>
      </c>
      <c r="B1242" s="9" t="s">
        <v>1752</v>
      </c>
      <c r="C1242" s="9" t="s">
        <v>1752</v>
      </c>
      <c r="D1242" s="9" t="s">
        <v>1752</v>
      </c>
      <c r="E1242" s="15">
        <f t="shared" si="19"/>
        <v>1</v>
      </c>
    </row>
    <row r="1243" spans="1:5" x14ac:dyDescent="0.35">
      <c r="A1243" s="10" t="s">
        <v>1430</v>
      </c>
      <c r="B1243" s="9" t="s">
        <v>1752</v>
      </c>
      <c r="C1243" s="9" t="s">
        <v>1752</v>
      </c>
      <c r="D1243" s="9" t="s">
        <v>1752</v>
      </c>
      <c r="E1243" s="15">
        <f t="shared" si="19"/>
        <v>1</v>
      </c>
    </row>
    <row r="1244" spans="1:5" x14ac:dyDescent="0.35">
      <c r="A1244" s="10" t="s">
        <v>1431</v>
      </c>
      <c r="B1244" s="9" t="s">
        <v>1752</v>
      </c>
      <c r="C1244" s="9" t="s">
        <v>1752</v>
      </c>
      <c r="D1244" s="9" t="s">
        <v>1752</v>
      </c>
      <c r="E1244" s="15">
        <f t="shared" si="19"/>
        <v>1</v>
      </c>
    </row>
    <row r="1245" spans="1:5" x14ac:dyDescent="0.35">
      <c r="A1245" s="10" t="s">
        <v>1432</v>
      </c>
      <c r="B1245" s="9" t="s">
        <v>1752</v>
      </c>
      <c r="C1245" s="9" t="s">
        <v>1752</v>
      </c>
      <c r="D1245" s="9" t="s">
        <v>1827</v>
      </c>
      <c r="E1245" s="15">
        <f t="shared" si="19"/>
        <v>1</v>
      </c>
    </row>
    <row r="1246" spans="1:5" x14ac:dyDescent="0.35">
      <c r="A1246" s="11" t="s">
        <v>1433</v>
      </c>
      <c r="B1246" s="9" t="s">
        <v>1752</v>
      </c>
      <c r="C1246" s="9" t="s">
        <v>1752</v>
      </c>
      <c r="D1246" s="9" t="s">
        <v>1752</v>
      </c>
      <c r="E1246" s="15">
        <f t="shared" si="19"/>
        <v>1</v>
      </c>
    </row>
    <row r="1247" spans="1:5" x14ac:dyDescent="0.35">
      <c r="A1247" s="11" t="s">
        <v>1434</v>
      </c>
      <c r="B1247" s="9" t="s">
        <v>1752</v>
      </c>
      <c r="C1247" s="9" t="s">
        <v>1752</v>
      </c>
      <c r="D1247" s="9" t="s">
        <v>1752</v>
      </c>
      <c r="E1247" s="15">
        <f t="shared" si="19"/>
        <v>1</v>
      </c>
    </row>
    <row r="1248" spans="1:5" x14ac:dyDescent="0.35">
      <c r="A1248" s="10" t="s">
        <v>1435</v>
      </c>
      <c r="B1248" s="9" t="s">
        <v>1752</v>
      </c>
      <c r="C1248" s="9" t="s">
        <v>1752</v>
      </c>
      <c r="D1248" s="9" t="s">
        <v>1752</v>
      </c>
      <c r="E1248" s="15">
        <f t="shared" si="19"/>
        <v>1</v>
      </c>
    </row>
    <row r="1249" spans="1:5" x14ac:dyDescent="0.35">
      <c r="A1249" s="11" t="s">
        <v>1436</v>
      </c>
      <c r="B1249" s="9" t="s">
        <v>1752</v>
      </c>
      <c r="C1249" s="9" t="s">
        <v>1752</v>
      </c>
      <c r="D1249" s="9" t="s">
        <v>1752</v>
      </c>
      <c r="E1249" s="15">
        <f t="shared" si="19"/>
        <v>1</v>
      </c>
    </row>
    <row r="1250" spans="1:5" x14ac:dyDescent="0.35">
      <c r="A1250" s="10" t="s">
        <v>1437</v>
      </c>
      <c r="B1250" s="9" t="s">
        <v>1752</v>
      </c>
      <c r="C1250" s="9" t="s">
        <v>1752</v>
      </c>
      <c r="D1250" s="9" t="s">
        <v>1752</v>
      </c>
      <c r="E1250" s="15">
        <f t="shared" si="19"/>
        <v>1</v>
      </c>
    </row>
    <row r="1251" spans="1:5" x14ac:dyDescent="0.35">
      <c r="A1251" s="10" t="s">
        <v>1438</v>
      </c>
      <c r="B1251" s="9" t="s">
        <v>1752</v>
      </c>
      <c r="C1251" s="9" t="s">
        <v>1752</v>
      </c>
      <c r="D1251" s="9" t="s">
        <v>1752</v>
      </c>
      <c r="E1251" s="15">
        <f t="shared" si="19"/>
        <v>1</v>
      </c>
    </row>
    <row r="1252" spans="1:5" x14ac:dyDescent="0.35">
      <c r="A1252" s="11" t="s">
        <v>1439</v>
      </c>
      <c r="B1252" s="9" t="s">
        <v>1752</v>
      </c>
      <c r="C1252" s="9" t="s">
        <v>1752</v>
      </c>
      <c r="D1252" s="9" t="s">
        <v>1752</v>
      </c>
      <c r="E1252" s="15">
        <f t="shared" si="19"/>
        <v>1</v>
      </c>
    </row>
    <row r="1253" spans="1:5" x14ac:dyDescent="0.35">
      <c r="A1253" s="11" t="s">
        <v>1440</v>
      </c>
      <c r="B1253" s="9" t="s">
        <v>1752</v>
      </c>
      <c r="C1253" s="9" t="s">
        <v>1752</v>
      </c>
      <c r="D1253" s="9" t="s">
        <v>1752</v>
      </c>
      <c r="E1253" s="15">
        <f t="shared" si="19"/>
        <v>1</v>
      </c>
    </row>
    <row r="1254" spans="1:5" x14ac:dyDescent="0.35">
      <c r="A1254" s="11" t="s">
        <v>1441</v>
      </c>
      <c r="B1254" s="9" t="s">
        <v>1752</v>
      </c>
      <c r="C1254" s="9" t="s">
        <v>1752</v>
      </c>
      <c r="D1254" s="9" t="s">
        <v>1752</v>
      </c>
      <c r="E1254" s="15">
        <f t="shared" si="19"/>
        <v>1</v>
      </c>
    </row>
    <row r="1255" spans="1:5" x14ac:dyDescent="0.35">
      <c r="A1255" s="11" t="s">
        <v>1442</v>
      </c>
      <c r="B1255" s="9" t="s">
        <v>1752</v>
      </c>
      <c r="C1255" s="9" t="s">
        <v>1752</v>
      </c>
      <c r="D1255" s="9" t="s">
        <v>1752</v>
      </c>
      <c r="E1255" s="15">
        <f t="shared" si="19"/>
        <v>1</v>
      </c>
    </row>
    <row r="1256" spans="1:5" x14ac:dyDescent="0.35">
      <c r="A1256" s="11" t="s">
        <v>1443</v>
      </c>
      <c r="B1256" s="9" t="s">
        <v>1752</v>
      </c>
      <c r="C1256" s="9" t="s">
        <v>1752</v>
      </c>
      <c r="D1256" s="9" t="s">
        <v>1752</v>
      </c>
      <c r="E1256" s="15">
        <f t="shared" si="19"/>
        <v>1</v>
      </c>
    </row>
    <row r="1257" spans="1:5" x14ac:dyDescent="0.35">
      <c r="A1257" s="10" t="s">
        <v>1444</v>
      </c>
      <c r="B1257" s="9" t="s">
        <v>1752</v>
      </c>
      <c r="C1257" s="9" t="s">
        <v>1752</v>
      </c>
      <c r="D1257" s="9" t="s">
        <v>1752</v>
      </c>
      <c r="E1257" s="15">
        <f t="shared" si="19"/>
        <v>1</v>
      </c>
    </row>
    <row r="1258" spans="1:5" x14ac:dyDescent="0.35">
      <c r="A1258" s="11" t="s">
        <v>1445</v>
      </c>
      <c r="B1258" s="9" t="s">
        <v>1752</v>
      </c>
      <c r="C1258" s="9" t="s">
        <v>1752</v>
      </c>
      <c r="D1258" s="9" t="s">
        <v>1752</v>
      </c>
      <c r="E1258" s="15">
        <f t="shared" si="19"/>
        <v>1</v>
      </c>
    </row>
    <row r="1259" spans="1:5" x14ac:dyDescent="0.35">
      <c r="A1259" s="10" t="s">
        <v>1446</v>
      </c>
      <c r="B1259" s="9" t="s">
        <v>1752</v>
      </c>
      <c r="C1259" s="9" t="s">
        <v>1752</v>
      </c>
      <c r="D1259" s="9" t="s">
        <v>1752</v>
      </c>
      <c r="E1259" s="15">
        <f t="shared" si="19"/>
        <v>1</v>
      </c>
    </row>
    <row r="1260" spans="1:5" x14ac:dyDescent="0.35">
      <c r="A1260" s="11" t="s">
        <v>1447</v>
      </c>
      <c r="B1260" s="9" t="s">
        <v>1752</v>
      </c>
      <c r="C1260" s="9" t="s">
        <v>1752</v>
      </c>
      <c r="D1260" s="9" t="s">
        <v>1752</v>
      </c>
      <c r="E1260" s="15">
        <f t="shared" si="19"/>
        <v>1</v>
      </c>
    </row>
    <row r="1261" spans="1:5" x14ac:dyDescent="0.35">
      <c r="A1261" s="10" t="s">
        <v>1448</v>
      </c>
      <c r="B1261" s="9" t="s">
        <v>1752</v>
      </c>
      <c r="C1261" s="9" t="s">
        <v>1752</v>
      </c>
      <c r="D1261" s="9" t="s">
        <v>1752</v>
      </c>
      <c r="E1261" s="15">
        <f t="shared" si="19"/>
        <v>1</v>
      </c>
    </row>
    <row r="1262" spans="1:5" x14ac:dyDescent="0.35">
      <c r="A1262" s="11" t="s">
        <v>1449</v>
      </c>
      <c r="B1262" s="9" t="s">
        <v>1752</v>
      </c>
      <c r="C1262" s="9" t="s">
        <v>1752</v>
      </c>
      <c r="D1262" s="9" t="s">
        <v>1752</v>
      </c>
      <c r="E1262" s="15">
        <f t="shared" si="19"/>
        <v>1</v>
      </c>
    </row>
    <row r="1263" spans="1:5" x14ac:dyDescent="0.35">
      <c r="A1263" s="10" t="s">
        <v>1450</v>
      </c>
      <c r="B1263" s="9" t="s">
        <v>1752</v>
      </c>
      <c r="C1263" s="9" t="s">
        <v>1752</v>
      </c>
      <c r="D1263" s="9" t="s">
        <v>1752</v>
      </c>
      <c r="E1263" s="15">
        <f t="shared" si="19"/>
        <v>1</v>
      </c>
    </row>
    <row r="1264" spans="1:5" x14ac:dyDescent="0.35">
      <c r="A1264" s="11" t="s">
        <v>1451</v>
      </c>
      <c r="B1264" s="9" t="s">
        <v>1752</v>
      </c>
      <c r="C1264" s="9" t="s">
        <v>1752</v>
      </c>
      <c r="D1264" s="9" t="s">
        <v>1752</v>
      </c>
      <c r="E1264" s="15">
        <f t="shared" si="19"/>
        <v>1</v>
      </c>
    </row>
    <row r="1265" spans="1:5" x14ac:dyDescent="0.35">
      <c r="A1265" s="10" t="s">
        <v>1452</v>
      </c>
      <c r="B1265" s="9" t="s">
        <v>1752</v>
      </c>
      <c r="C1265" s="9" t="s">
        <v>1752</v>
      </c>
      <c r="D1265" s="9" t="s">
        <v>1752</v>
      </c>
      <c r="E1265" s="15">
        <f t="shared" si="19"/>
        <v>1</v>
      </c>
    </row>
    <row r="1266" spans="1:5" x14ac:dyDescent="0.35">
      <c r="A1266" s="11" t="s">
        <v>1453</v>
      </c>
      <c r="B1266" s="9" t="s">
        <v>1752</v>
      </c>
      <c r="C1266" s="9" t="s">
        <v>1752</v>
      </c>
      <c r="D1266" s="9" t="s">
        <v>1752</v>
      </c>
      <c r="E1266" s="15">
        <f t="shared" si="19"/>
        <v>1</v>
      </c>
    </row>
    <row r="1267" spans="1:5" x14ac:dyDescent="0.35">
      <c r="A1267" s="11" t="s">
        <v>1454</v>
      </c>
      <c r="B1267" s="9" t="s">
        <v>1752</v>
      </c>
      <c r="C1267" s="9" t="s">
        <v>1752</v>
      </c>
      <c r="D1267" s="9" t="s">
        <v>1752</v>
      </c>
      <c r="E1267" s="15">
        <f t="shared" si="19"/>
        <v>1</v>
      </c>
    </row>
    <row r="1268" spans="1:5" x14ac:dyDescent="0.35">
      <c r="A1268" s="10" t="s">
        <v>1455</v>
      </c>
      <c r="B1268" s="9" t="s">
        <v>1752</v>
      </c>
      <c r="C1268" s="9" t="s">
        <v>1752</v>
      </c>
      <c r="D1268" s="9" t="s">
        <v>1827</v>
      </c>
      <c r="E1268" s="15">
        <f t="shared" si="19"/>
        <v>1</v>
      </c>
    </row>
    <row r="1269" spans="1:5" x14ac:dyDescent="0.35">
      <c r="A1269" s="11" t="s">
        <v>1456</v>
      </c>
      <c r="B1269" s="9" t="s">
        <v>1752</v>
      </c>
      <c r="C1269" s="9" t="s">
        <v>1752</v>
      </c>
      <c r="D1269" s="9" t="s">
        <v>1752</v>
      </c>
      <c r="E1269" s="15">
        <f t="shared" si="19"/>
        <v>1</v>
      </c>
    </row>
    <row r="1270" spans="1:5" x14ac:dyDescent="0.35">
      <c r="A1270" s="11" t="s">
        <v>1457</v>
      </c>
      <c r="B1270" s="9" t="s">
        <v>1752</v>
      </c>
      <c r="C1270" s="9" t="s">
        <v>1752</v>
      </c>
      <c r="D1270" s="9" t="s">
        <v>1752</v>
      </c>
      <c r="E1270" s="15">
        <f t="shared" si="19"/>
        <v>1</v>
      </c>
    </row>
    <row r="1271" spans="1:5" x14ac:dyDescent="0.35">
      <c r="A1271" s="11" t="s">
        <v>1458</v>
      </c>
      <c r="B1271" s="9" t="s">
        <v>1752</v>
      </c>
      <c r="C1271" s="9" t="s">
        <v>1752</v>
      </c>
      <c r="D1271" s="9" t="s">
        <v>1752</v>
      </c>
      <c r="E1271" s="15">
        <f t="shared" si="19"/>
        <v>1</v>
      </c>
    </row>
    <row r="1272" spans="1:5" x14ac:dyDescent="0.35">
      <c r="A1272" s="11" t="s">
        <v>1459</v>
      </c>
      <c r="B1272" s="9" t="s">
        <v>1752</v>
      </c>
      <c r="C1272" s="9" t="s">
        <v>1752</v>
      </c>
      <c r="D1272" s="9" t="s">
        <v>1752</v>
      </c>
      <c r="E1272" s="15">
        <f t="shared" si="19"/>
        <v>1</v>
      </c>
    </row>
    <row r="1273" spans="1:5" x14ac:dyDescent="0.35">
      <c r="A1273" s="10" t="s">
        <v>1460</v>
      </c>
      <c r="B1273" s="9" t="s">
        <v>1752</v>
      </c>
      <c r="C1273" s="9" t="s">
        <v>1752</v>
      </c>
      <c r="D1273" s="9" t="s">
        <v>1827</v>
      </c>
      <c r="E1273" s="15">
        <f t="shared" si="19"/>
        <v>1</v>
      </c>
    </row>
    <row r="1274" spans="1:5" x14ac:dyDescent="0.35">
      <c r="A1274" s="10" t="s">
        <v>1461</v>
      </c>
      <c r="B1274" s="9" t="s">
        <v>1752</v>
      </c>
      <c r="C1274" s="9" t="s">
        <v>1752</v>
      </c>
      <c r="D1274" s="9" t="s">
        <v>1752</v>
      </c>
      <c r="E1274" s="15">
        <f t="shared" si="19"/>
        <v>1</v>
      </c>
    </row>
    <row r="1275" spans="1:5" x14ac:dyDescent="0.35">
      <c r="A1275" s="11" t="s">
        <v>1462</v>
      </c>
      <c r="B1275" s="9" t="s">
        <v>1752</v>
      </c>
      <c r="C1275" s="9" t="s">
        <v>1752</v>
      </c>
      <c r="D1275" s="9" t="s">
        <v>1752</v>
      </c>
      <c r="E1275" s="15">
        <f t="shared" si="19"/>
        <v>1</v>
      </c>
    </row>
    <row r="1276" spans="1:5" x14ac:dyDescent="0.35">
      <c r="A1276" s="10" t="s">
        <v>1463</v>
      </c>
      <c r="B1276" s="9" t="s">
        <v>1752</v>
      </c>
      <c r="C1276" s="9" t="s">
        <v>1752</v>
      </c>
      <c r="D1276" s="9" t="s">
        <v>1752</v>
      </c>
      <c r="E1276" s="15">
        <f t="shared" si="19"/>
        <v>1</v>
      </c>
    </row>
    <row r="1277" spans="1:5" x14ac:dyDescent="0.35">
      <c r="A1277" s="10" t="s">
        <v>1464</v>
      </c>
      <c r="B1277" s="9" t="s">
        <v>1752</v>
      </c>
      <c r="C1277" s="9" t="s">
        <v>1752</v>
      </c>
      <c r="D1277" s="9" t="s">
        <v>1752</v>
      </c>
      <c r="E1277" s="15">
        <f t="shared" si="19"/>
        <v>1</v>
      </c>
    </row>
    <row r="1278" spans="1:5" x14ac:dyDescent="0.35">
      <c r="A1278" s="11" t="s">
        <v>1465</v>
      </c>
      <c r="B1278" s="9" t="s">
        <v>1752</v>
      </c>
      <c r="C1278" s="9" t="s">
        <v>1752</v>
      </c>
      <c r="D1278" s="9" t="s">
        <v>1752</v>
      </c>
      <c r="E1278" s="15">
        <f t="shared" si="19"/>
        <v>1</v>
      </c>
    </row>
    <row r="1279" spans="1:5" x14ac:dyDescent="0.35">
      <c r="A1279" s="10" t="s">
        <v>1466</v>
      </c>
      <c r="B1279" s="9" t="s">
        <v>1752</v>
      </c>
      <c r="C1279" s="9" t="s">
        <v>1752</v>
      </c>
      <c r="D1279" s="9" t="s">
        <v>1752</v>
      </c>
      <c r="E1279" s="15">
        <f t="shared" si="19"/>
        <v>1</v>
      </c>
    </row>
    <row r="1280" spans="1:5" x14ac:dyDescent="0.35">
      <c r="A1280" s="11" t="s">
        <v>1467</v>
      </c>
      <c r="B1280" s="9" t="s">
        <v>1752</v>
      </c>
      <c r="C1280" s="9" t="s">
        <v>1752</v>
      </c>
      <c r="D1280" s="9" t="s">
        <v>1752</v>
      </c>
      <c r="E1280" s="15">
        <f t="shared" si="19"/>
        <v>1</v>
      </c>
    </row>
    <row r="1281" spans="1:5" x14ac:dyDescent="0.35">
      <c r="A1281" s="10" t="s">
        <v>1468</v>
      </c>
      <c r="B1281" s="9" t="s">
        <v>1752</v>
      </c>
      <c r="C1281" s="9" t="s">
        <v>1752</v>
      </c>
      <c r="D1281" s="9" t="s">
        <v>1752</v>
      </c>
      <c r="E1281" s="15">
        <f t="shared" si="19"/>
        <v>1</v>
      </c>
    </row>
    <row r="1282" spans="1:5" x14ac:dyDescent="0.35">
      <c r="A1282" s="11" t="s">
        <v>1469</v>
      </c>
      <c r="B1282" s="9" t="s">
        <v>1752</v>
      </c>
      <c r="C1282" s="9" t="s">
        <v>1752</v>
      </c>
      <c r="D1282" s="9" t="s">
        <v>1752</v>
      </c>
      <c r="E1282" s="15">
        <f t="shared" si="19"/>
        <v>1</v>
      </c>
    </row>
    <row r="1283" spans="1:5" x14ac:dyDescent="0.35">
      <c r="A1283" s="10" t="s">
        <v>1470</v>
      </c>
      <c r="B1283" s="9" t="s">
        <v>1752</v>
      </c>
      <c r="C1283" s="9" t="s">
        <v>1752</v>
      </c>
      <c r="D1283" s="9" t="s">
        <v>1752</v>
      </c>
      <c r="E1283" s="15">
        <f t="shared" ref="E1283:E1346" si="20">IF(COUNTIF(B1283:D1283,"Y")&gt;0,1,0)</f>
        <v>1</v>
      </c>
    </row>
    <row r="1284" spans="1:5" x14ac:dyDescent="0.35">
      <c r="A1284" s="11" t="s">
        <v>1471</v>
      </c>
      <c r="B1284" s="9" t="s">
        <v>1752</v>
      </c>
      <c r="C1284" s="9" t="s">
        <v>1752</v>
      </c>
      <c r="D1284" s="9" t="s">
        <v>1752</v>
      </c>
      <c r="E1284" s="15">
        <f t="shared" si="20"/>
        <v>1</v>
      </c>
    </row>
    <row r="1285" spans="1:5" x14ac:dyDescent="0.35">
      <c r="A1285" s="10" t="s">
        <v>1472</v>
      </c>
      <c r="B1285" s="9" t="s">
        <v>1752</v>
      </c>
      <c r="C1285" s="9" t="s">
        <v>1752</v>
      </c>
      <c r="D1285" s="9" t="s">
        <v>1752</v>
      </c>
      <c r="E1285" s="15">
        <f t="shared" si="20"/>
        <v>1</v>
      </c>
    </row>
    <row r="1286" spans="1:5" x14ac:dyDescent="0.35">
      <c r="A1286" s="11" t="s">
        <v>1473</v>
      </c>
      <c r="B1286" s="9" t="s">
        <v>1752</v>
      </c>
      <c r="C1286" s="9" t="s">
        <v>1752</v>
      </c>
      <c r="D1286" s="9" t="s">
        <v>1752</v>
      </c>
      <c r="E1286" s="15">
        <f t="shared" si="20"/>
        <v>1</v>
      </c>
    </row>
    <row r="1287" spans="1:5" x14ac:dyDescent="0.35">
      <c r="A1287" s="10" t="s">
        <v>1474</v>
      </c>
      <c r="B1287" s="9" t="s">
        <v>1752</v>
      </c>
      <c r="C1287" s="9" t="s">
        <v>1752</v>
      </c>
      <c r="D1287" s="9" t="s">
        <v>1752</v>
      </c>
      <c r="E1287" s="15">
        <f t="shared" si="20"/>
        <v>1</v>
      </c>
    </row>
    <row r="1288" spans="1:5" x14ac:dyDescent="0.35">
      <c r="A1288" s="11" t="s">
        <v>1475</v>
      </c>
      <c r="B1288" s="9" t="s">
        <v>1752</v>
      </c>
      <c r="C1288" s="9" t="s">
        <v>1752</v>
      </c>
      <c r="D1288" s="9" t="s">
        <v>1752</v>
      </c>
      <c r="E1288" s="15">
        <f t="shared" si="20"/>
        <v>1</v>
      </c>
    </row>
    <row r="1289" spans="1:5" x14ac:dyDescent="0.35">
      <c r="A1289" s="10" t="s">
        <v>1476</v>
      </c>
      <c r="B1289" s="9" t="s">
        <v>1827</v>
      </c>
      <c r="C1289" s="9" t="s">
        <v>1752</v>
      </c>
      <c r="D1289" s="9" t="s">
        <v>1752</v>
      </c>
      <c r="E1289" s="15">
        <f t="shared" si="20"/>
        <v>1</v>
      </c>
    </row>
    <row r="1290" spans="1:5" x14ac:dyDescent="0.35">
      <c r="A1290" s="11" t="s">
        <v>1477</v>
      </c>
      <c r="B1290" s="9" t="s">
        <v>1752</v>
      </c>
      <c r="C1290" s="9" t="s">
        <v>1752</v>
      </c>
      <c r="D1290" s="9" t="s">
        <v>1752</v>
      </c>
      <c r="E1290" s="15">
        <f t="shared" si="20"/>
        <v>1</v>
      </c>
    </row>
    <row r="1291" spans="1:5" x14ac:dyDescent="0.35">
      <c r="A1291" s="11" t="s">
        <v>1478</v>
      </c>
      <c r="B1291" s="9" t="s">
        <v>1752</v>
      </c>
      <c r="C1291" s="9" t="s">
        <v>1752</v>
      </c>
      <c r="D1291" s="9" t="s">
        <v>1827</v>
      </c>
      <c r="E1291" s="15">
        <f t="shared" si="20"/>
        <v>1</v>
      </c>
    </row>
    <row r="1292" spans="1:5" x14ac:dyDescent="0.35">
      <c r="A1292" s="10" t="s">
        <v>1479</v>
      </c>
      <c r="B1292" s="9" t="s">
        <v>1752</v>
      </c>
      <c r="C1292" s="9" t="s">
        <v>1752</v>
      </c>
      <c r="D1292" s="9" t="s">
        <v>1752</v>
      </c>
      <c r="E1292" s="15">
        <f t="shared" si="20"/>
        <v>1</v>
      </c>
    </row>
    <row r="1293" spans="1:5" x14ac:dyDescent="0.35">
      <c r="A1293" s="11" t="s">
        <v>1480</v>
      </c>
      <c r="B1293" s="9" t="s">
        <v>1752</v>
      </c>
      <c r="C1293" s="9" t="s">
        <v>1752</v>
      </c>
      <c r="D1293" s="9" t="s">
        <v>1752</v>
      </c>
      <c r="E1293" s="15">
        <f t="shared" si="20"/>
        <v>1</v>
      </c>
    </row>
    <row r="1294" spans="1:5" x14ac:dyDescent="0.35">
      <c r="A1294" s="11" t="s">
        <v>1481</v>
      </c>
      <c r="B1294" s="9" t="s">
        <v>1752</v>
      </c>
      <c r="C1294" s="9" t="s">
        <v>1752</v>
      </c>
      <c r="D1294" s="9" t="s">
        <v>1752</v>
      </c>
      <c r="E1294" s="15">
        <f t="shared" si="20"/>
        <v>1</v>
      </c>
    </row>
    <row r="1295" spans="1:5" x14ac:dyDescent="0.35">
      <c r="A1295" s="11" t="s">
        <v>1482</v>
      </c>
      <c r="B1295" s="9" t="s">
        <v>1752</v>
      </c>
      <c r="C1295" s="9" t="s">
        <v>1752</v>
      </c>
      <c r="D1295" s="9" t="s">
        <v>1752</v>
      </c>
      <c r="E1295" s="15">
        <f t="shared" si="20"/>
        <v>1</v>
      </c>
    </row>
    <row r="1296" spans="1:5" x14ac:dyDescent="0.35">
      <c r="A1296" s="10" t="s">
        <v>1483</v>
      </c>
      <c r="B1296" s="9" t="s">
        <v>1752</v>
      </c>
      <c r="C1296" s="9" t="s">
        <v>1752</v>
      </c>
      <c r="D1296" s="9" t="s">
        <v>1752</v>
      </c>
      <c r="E1296" s="15">
        <f t="shared" si="20"/>
        <v>1</v>
      </c>
    </row>
    <row r="1297" spans="1:5" x14ac:dyDescent="0.35">
      <c r="A1297" s="11" t="s">
        <v>1484</v>
      </c>
      <c r="B1297" s="9" t="s">
        <v>1827</v>
      </c>
      <c r="C1297" s="9" t="s">
        <v>1752</v>
      </c>
      <c r="D1297" s="9" t="s">
        <v>1752</v>
      </c>
      <c r="E1297" s="15">
        <f t="shared" si="20"/>
        <v>1</v>
      </c>
    </row>
    <row r="1298" spans="1:5" x14ac:dyDescent="0.35">
      <c r="A1298" s="10" t="s">
        <v>1485</v>
      </c>
      <c r="B1298" s="9" t="s">
        <v>1827</v>
      </c>
      <c r="C1298" s="9" t="s">
        <v>1752</v>
      </c>
      <c r="D1298" s="9" t="s">
        <v>1752</v>
      </c>
      <c r="E1298" s="15">
        <f t="shared" si="20"/>
        <v>1</v>
      </c>
    </row>
    <row r="1299" spans="1:5" x14ac:dyDescent="0.35">
      <c r="A1299" s="11" t="s">
        <v>1486</v>
      </c>
      <c r="B1299" s="9" t="s">
        <v>1752</v>
      </c>
      <c r="C1299" s="9" t="s">
        <v>1752</v>
      </c>
      <c r="D1299" s="9" t="s">
        <v>1752</v>
      </c>
      <c r="E1299" s="15">
        <f t="shared" si="20"/>
        <v>1</v>
      </c>
    </row>
    <row r="1300" spans="1:5" x14ac:dyDescent="0.35">
      <c r="A1300" s="10" t="s">
        <v>1487</v>
      </c>
      <c r="B1300" s="9" t="s">
        <v>1827</v>
      </c>
      <c r="C1300" s="9" t="s">
        <v>1752</v>
      </c>
      <c r="D1300" s="9" t="s">
        <v>1752</v>
      </c>
      <c r="E1300" s="15">
        <f t="shared" si="20"/>
        <v>1</v>
      </c>
    </row>
    <row r="1301" spans="1:5" x14ac:dyDescent="0.35">
      <c r="A1301" s="11" t="s">
        <v>1488</v>
      </c>
      <c r="B1301" s="9" t="s">
        <v>1752</v>
      </c>
      <c r="C1301" s="9" t="s">
        <v>1752</v>
      </c>
      <c r="D1301" s="9" t="s">
        <v>1752</v>
      </c>
      <c r="E1301" s="15">
        <f t="shared" si="20"/>
        <v>1</v>
      </c>
    </row>
    <row r="1302" spans="1:5" x14ac:dyDescent="0.35">
      <c r="A1302" s="10" t="s">
        <v>1489</v>
      </c>
      <c r="B1302" s="9" t="s">
        <v>1752</v>
      </c>
      <c r="C1302" s="9" t="s">
        <v>1752</v>
      </c>
      <c r="D1302" s="9" t="s">
        <v>1752</v>
      </c>
      <c r="E1302" s="15">
        <f t="shared" si="20"/>
        <v>1</v>
      </c>
    </row>
    <row r="1303" spans="1:5" x14ac:dyDescent="0.35">
      <c r="A1303" s="11" t="s">
        <v>1490</v>
      </c>
      <c r="B1303" s="9" t="s">
        <v>1752</v>
      </c>
      <c r="C1303" s="9" t="s">
        <v>1752</v>
      </c>
      <c r="D1303" s="9" t="s">
        <v>1752</v>
      </c>
      <c r="E1303" s="15">
        <f t="shared" si="20"/>
        <v>1</v>
      </c>
    </row>
    <row r="1304" spans="1:5" x14ac:dyDescent="0.35">
      <c r="A1304" s="11" t="s">
        <v>1491</v>
      </c>
      <c r="B1304" s="9" t="s">
        <v>1752</v>
      </c>
      <c r="C1304" s="9" t="s">
        <v>1752</v>
      </c>
      <c r="D1304" s="9" t="s">
        <v>1752</v>
      </c>
      <c r="E1304" s="15">
        <f t="shared" si="20"/>
        <v>1</v>
      </c>
    </row>
    <row r="1305" spans="1:5" x14ac:dyDescent="0.35">
      <c r="A1305" s="10" t="s">
        <v>1492</v>
      </c>
      <c r="B1305" s="9" t="s">
        <v>1752</v>
      </c>
      <c r="C1305" s="9" t="s">
        <v>1752</v>
      </c>
      <c r="D1305" s="9" t="s">
        <v>1752</v>
      </c>
      <c r="E1305" s="15">
        <f t="shared" si="20"/>
        <v>1</v>
      </c>
    </row>
    <row r="1306" spans="1:5" x14ac:dyDescent="0.35">
      <c r="A1306" s="11" t="s">
        <v>1493</v>
      </c>
      <c r="B1306" s="9" t="s">
        <v>1752</v>
      </c>
      <c r="C1306" s="9" t="s">
        <v>1752</v>
      </c>
      <c r="D1306" s="9" t="s">
        <v>1827</v>
      </c>
      <c r="E1306" s="15">
        <f t="shared" si="20"/>
        <v>1</v>
      </c>
    </row>
    <row r="1307" spans="1:5" x14ac:dyDescent="0.35">
      <c r="A1307" s="10" t="s">
        <v>1494</v>
      </c>
      <c r="B1307" s="9" t="s">
        <v>1752</v>
      </c>
      <c r="C1307" s="9" t="s">
        <v>1752</v>
      </c>
      <c r="D1307" s="9" t="s">
        <v>1752</v>
      </c>
      <c r="E1307" s="15">
        <f t="shared" si="20"/>
        <v>1</v>
      </c>
    </row>
    <row r="1308" spans="1:5" x14ac:dyDescent="0.35">
      <c r="A1308" s="10" t="s">
        <v>1495</v>
      </c>
      <c r="B1308" s="9" t="s">
        <v>1752</v>
      </c>
      <c r="C1308" s="9" t="s">
        <v>1752</v>
      </c>
      <c r="D1308" s="9" t="s">
        <v>1752</v>
      </c>
      <c r="E1308" s="15">
        <f t="shared" si="20"/>
        <v>1</v>
      </c>
    </row>
    <row r="1309" spans="1:5" x14ac:dyDescent="0.35">
      <c r="A1309" s="11" t="s">
        <v>1496</v>
      </c>
      <c r="B1309" s="9" t="s">
        <v>1827</v>
      </c>
      <c r="C1309" s="9" t="s">
        <v>1752</v>
      </c>
      <c r="D1309" s="9" t="s">
        <v>1752</v>
      </c>
      <c r="E1309" s="15">
        <f t="shared" si="20"/>
        <v>1</v>
      </c>
    </row>
    <row r="1310" spans="1:5" x14ac:dyDescent="0.35">
      <c r="A1310" s="11" t="s">
        <v>1497</v>
      </c>
      <c r="B1310" s="9" t="s">
        <v>1752</v>
      </c>
      <c r="C1310" s="9" t="s">
        <v>1752</v>
      </c>
      <c r="D1310" s="9" t="s">
        <v>1752</v>
      </c>
      <c r="E1310" s="15">
        <f t="shared" si="20"/>
        <v>1</v>
      </c>
    </row>
    <row r="1311" spans="1:5" x14ac:dyDescent="0.35">
      <c r="A1311" s="10" t="s">
        <v>1498</v>
      </c>
      <c r="B1311" s="9" t="s">
        <v>1752</v>
      </c>
      <c r="C1311" s="9" t="s">
        <v>1752</v>
      </c>
      <c r="D1311" s="9" t="s">
        <v>1752</v>
      </c>
      <c r="E1311" s="15">
        <f t="shared" si="20"/>
        <v>1</v>
      </c>
    </row>
    <row r="1312" spans="1:5" x14ac:dyDescent="0.35">
      <c r="A1312" s="11" t="s">
        <v>1499</v>
      </c>
      <c r="B1312" s="9" t="s">
        <v>1752</v>
      </c>
      <c r="C1312" s="9" t="s">
        <v>1752</v>
      </c>
      <c r="D1312" s="9" t="s">
        <v>1752</v>
      </c>
      <c r="E1312" s="15">
        <f t="shared" si="20"/>
        <v>1</v>
      </c>
    </row>
    <row r="1313" spans="1:5" x14ac:dyDescent="0.35">
      <c r="A1313" s="11" t="s">
        <v>1500</v>
      </c>
      <c r="B1313" s="9" t="s">
        <v>1752</v>
      </c>
      <c r="C1313" s="9" t="s">
        <v>1752</v>
      </c>
      <c r="D1313" s="9" t="s">
        <v>1827</v>
      </c>
      <c r="E1313" s="15">
        <f t="shared" si="20"/>
        <v>1</v>
      </c>
    </row>
    <row r="1314" spans="1:5" x14ac:dyDescent="0.35">
      <c r="A1314" s="11" t="s">
        <v>1501</v>
      </c>
      <c r="B1314" s="9" t="s">
        <v>1752</v>
      </c>
      <c r="C1314" s="9" t="s">
        <v>1752</v>
      </c>
      <c r="D1314" s="9" t="s">
        <v>1752</v>
      </c>
      <c r="E1314" s="15">
        <f t="shared" si="20"/>
        <v>1</v>
      </c>
    </row>
    <row r="1315" spans="1:5" x14ac:dyDescent="0.35">
      <c r="A1315" s="10" t="s">
        <v>1502</v>
      </c>
      <c r="B1315" s="9" t="s">
        <v>1752</v>
      </c>
      <c r="C1315" s="9" t="s">
        <v>1752</v>
      </c>
      <c r="D1315" s="9" t="s">
        <v>1752</v>
      </c>
      <c r="E1315" s="15">
        <f t="shared" si="20"/>
        <v>1</v>
      </c>
    </row>
    <row r="1316" spans="1:5" x14ac:dyDescent="0.35">
      <c r="A1316" s="11" t="s">
        <v>1503</v>
      </c>
      <c r="B1316" s="9" t="s">
        <v>1752</v>
      </c>
      <c r="C1316" s="9" t="s">
        <v>1752</v>
      </c>
      <c r="D1316" s="9" t="s">
        <v>1752</v>
      </c>
      <c r="E1316" s="15">
        <f t="shared" si="20"/>
        <v>1</v>
      </c>
    </row>
    <row r="1317" spans="1:5" x14ac:dyDescent="0.35">
      <c r="A1317" s="11" t="s">
        <v>1504</v>
      </c>
      <c r="B1317" s="9" t="s">
        <v>1752</v>
      </c>
      <c r="C1317" s="9" t="s">
        <v>1752</v>
      </c>
      <c r="D1317" s="9" t="s">
        <v>1752</v>
      </c>
      <c r="E1317" s="15">
        <f t="shared" si="20"/>
        <v>1</v>
      </c>
    </row>
    <row r="1318" spans="1:5" x14ac:dyDescent="0.35">
      <c r="A1318" s="10" t="s">
        <v>1505</v>
      </c>
      <c r="B1318" s="9" t="s">
        <v>1752</v>
      </c>
      <c r="C1318" s="9" t="s">
        <v>1752</v>
      </c>
      <c r="D1318" s="9" t="s">
        <v>1752</v>
      </c>
      <c r="E1318" s="15">
        <f t="shared" si="20"/>
        <v>1</v>
      </c>
    </row>
    <row r="1319" spans="1:5" x14ac:dyDescent="0.35">
      <c r="A1319" s="11" t="s">
        <v>1506</v>
      </c>
      <c r="B1319" s="9" t="s">
        <v>1752</v>
      </c>
      <c r="C1319" s="9" t="s">
        <v>1752</v>
      </c>
      <c r="D1319" s="9" t="s">
        <v>1752</v>
      </c>
      <c r="E1319" s="15">
        <f t="shared" si="20"/>
        <v>1</v>
      </c>
    </row>
    <row r="1320" spans="1:5" x14ac:dyDescent="0.35">
      <c r="A1320" s="10" t="s">
        <v>1507</v>
      </c>
      <c r="B1320" s="9" t="s">
        <v>1752</v>
      </c>
      <c r="C1320" s="9" t="s">
        <v>1752</v>
      </c>
      <c r="D1320" s="9" t="s">
        <v>1752</v>
      </c>
      <c r="E1320" s="15">
        <f t="shared" si="20"/>
        <v>1</v>
      </c>
    </row>
    <row r="1321" spans="1:5" x14ac:dyDescent="0.35">
      <c r="A1321" s="10" t="s">
        <v>1508</v>
      </c>
      <c r="B1321" s="9" t="s">
        <v>1752</v>
      </c>
      <c r="C1321" s="9" t="s">
        <v>1752</v>
      </c>
      <c r="D1321" s="9" t="s">
        <v>1752</v>
      </c>
      <c r="E1321" s="15">
        <f t="shared" si="20"/>
        <v>1</v>
      </c>
    </row>
    <row r="1322" spans="1:5" x14ac:dyDescent="0.35">
      <c r="A1322" s="11" t="s">
        <v>1509</v>
      </c>
      <c r="B1322" s="9" t="s">
        <v>1752</v>
      </c>
      <c r="C1322" s="9" t="s">
        <v>1752</v>
      </c>
      <c r="D1322" s="9" t="s">
        <v>1752</v>
      </c>
      <c r="E1322" s="15">
        <f t="shared" si="20"/>
        <v>1</v>
      </c>
    </row>
    <row r="1323" spans="1:5" x14ac:dyDescent="0.35">
      <c r="A1323" s="10" t="s">
        <v>1510</v>
      </c>
      <c r="B1323" s="9" t="s">
        <v>1752</v>
      </c>
      <c r="C1323" s="9" t="s">
        <v>1752</v>
      </c>
      <c r="D1323" s="9" t="s">
        <v>1752</v>
      </c>
      <c r="E1323" s="15">
        <f t="shared" si="20"/>
        <v>1</v>
      </c>
    </row>
    <row r="1324" spans="1:5" x14ac:dyDescent="0.35">
      <c r="A1324" s="11" t="s">
        <v>1511</v>
      </c>
      <c r="B1324" s="9" t="s">
        <v>1827</v>
      </c>
      <c r="C1324" s="9" t="s">
        <v>1752</v>
      </c>
      <c r="D1324" s="9" t="s">
        <v>1752</v>
      </c>
      <c r="E1324" s="15">
        <f t="shared" si="20"/>
        <v>1</v>
      </c>
    </row>
    <row r="1325" spans="1:5" x14ac:dyDescent="0.35">
      <c r="A1325" s="10" t="s">
        <v>1512</v>
      </c>
      <c r="B1325" s="9" t="s">
        <v>1827</v>
      </c>
      <c r="C1325" s="9" t="s">
        <v>1752</v>
      </c>
      <c r="D1325" s="9" t="s">
        <v>1827</v>
      </c>
      <c r="E1325" s="15">
        <f t="shared" si="20"/>
        <v>1</v>
      </c>
    </row>
    <row r="1326" spans="1:5" x14ac:dyDescent="0.35">
      <c r="A1326" s="10" t="s">
        <v>1513</v>
      </c>
      <c r="B1326" s="9" t="s">
        <v>1752</v>
      </c>
      <c r="C1326" s="9" t="s">
        <v>1752</v>
      </c>
      <c r="D1326" s="9" t="s">
        <v>1752</v>
      </c>
      <c r="E1326" s="15">
        <f t="shared" si="20"/>
        <v>1</v>
      </c>
    </row>
    <row r="1327" spans="1:5" x14ac:dyDescent="0.35">
      <c r="A1327" s="11" t="s">
        <v>1514</v>
      </c>
      <c r="B1327" s="9" t="s">
        <v>1752</v>
      </c>
      <c r="C1327" s="9" t="s">
        <v>1752</v>
      </c>
      <c r="D1327" s="9" t="s">
        <v>1752</v>
      </c>
      <c r="E1327" s="15">
        <f t="shared" si="20"/>
        <v>1</v>
      </c>
    </row>
    <row r="1328" spans="1:5" x14ac:dyDescent="0.35">
      <c r="A1328" s="10" t="s">
        <v>1515</v>
      </c>
      <c r="B1328" s="9" t="s">
        <v>1752</v>
      </c>
      <c r="C1328" s="9" t="s">
        <v>1752</v>
      </c>
      <c r="D1328" s="9" t="s">
        <v>1752</v>
      </c>
      <c r="E1328" s="15">
        <f t="shared" si="20"/>
        <v>1</v>
      </c>
    </row>
    <row r="1329" spans="1:5" x14ac:dyDescent="0.35">
      <c r="A1329" s="11" t="s">
        <v>1516</v>
      </c>
      <c r="B1329" s="9" t="s">
        <v>1752</v>
      </c>
      <c r="C1329" s="9" t="s">
        <v>1752</v>
      </c>
      <c r="D1329" s="9" t="s">
        <v>1752</v>
      </c>
      <c r="E1329" s="15">
        <f t="shared" si="20"/>
        <v>1</v>
      </c>
    </row>
    <row r="1330" spans="1:5" x14ac:dyDescent="0.35">
      <c r="A1330" s="10" t="s">
        <v>1517</v>
      </c>
      <c r="B1330" s="9" t="s">
        <v>1752</v>
      </c>
      <c r="C1330" s="9" t="s">
        <v>1752</v>
      </c>
      <c r="D1330" s="9" t="s">
        <v>1752</v>
      </c>
      <c r="E1330" s="15">
        <f t="shared" si="20"/>
        <v>1</v>
      </c>
    </row>
    <row r="1331" spans="1:5" x14ac:dyDescent="0.35">
      <c r="A1331" s="10" t="s">
        <v>1518</v>
      </c>
      <c r="B1331" s="9" t="s">
        <v>1752</v>
      </c>
      <c r="C1331" s="9" t="s">
        <v>1752</v>
      </c>
      <c r="D1331" s="9" t="s">
        <v>1752</v>
      </c>
      <c r="E1331" s="15">
        <f t="shared" si="20"/>
        <v>1</v>
      </c>
    </row>
    <row r="1332" spans="1:5" x14ac:dyDescent="0.35">
      <c r="A1332" s="11" t="s">
        <v>1519</v>
      </c>
      <c r="B1332" s="9" t="s">
        <v>1752</v>
      </c>
      <c r="C1332" s="9" t="s">
        <v>1752</v>
      </c>
      <c r="D1332" s="9" t="s">
        <v>1752</v>
      </c>
      <c r="E1332" s="15">
        <f t="shared" si="20"/>
        <v>1</v>
      </c>
    </row>
    <row r="1333" spans="1:5" x14ac:dyDescent="0.35">
      <c r="A1333" s="10" t="s">
        <v>1520</v>
      </c>
      <c r="B1333" s="9" t="s">
        <v>1752</v>
      </c>
      <c r="C1333" s="9" t="s">
        <v>1752</v>
      </c>
      <c r="D1333" s="9" t="s">
        <v>1752</v>
      </c>
      <c r="E1333" s="15">
        <f t="shared" si="20"/>
        <v>1</v>
      </c>
    </row>
    <row r="1334" spans="1:5" x14ac:dyDescent="0.35">
      <c r="A1334" s="10" t="s">
        <v>1521</v>
      </c>
      <c r="B1334" s="9" t="s">
        <v>1752</v>
      </c>
      <c r="C1334" s="9" t="s">
        <v>1752</v>
      </c>
      <c r="D1334" s="9" t="s">
        <v>1752</v>
      </c>
      <c r="E1334" s="15">
        <f t="shared" si="20"/>
        <v>1</v>
      </c>
    </row>
    <row r="1335" spans="1:5" x14ac:dyDescent="0.35">
      <c r="A1335" s="11" t="s">
        <v>1522</v>
      </c>
      <c r="B1335" s="9" t="s">
        <v>1752</v>
      </c>
      <c r="C1335" s="9" t="s">
        <v>1752</v>
      </c>
      <c r="D1335" s="9" t="s">
        <v>1752</v>
      </c>
      <c r="E1335" s="15">
        <f t="shared" si="20"/>
        <v>1</v>
      </c>
    </row>
    <row r="1336" spans="1:5" x14ac:dyDescent="0.35">
      <c r="A1336" s="10" t="s">
        <v>1523</v>
      </c>
      <c r="B1336" s="9" t="s">
        <v>1752</v>
      </c>
      <c r="C1336" s="9" t="s">
        <v>1752</v>
      </c>
      <c r="D1336" s="9" t="s">
        <v>1752</v>
      </c>
      <c r="E1336" s="15">
        <f t="shared" si="20"/>
        <v>1</v>
      </c>
    </row>
    <row r="1337" spans="1:5" x14ac:dyDescent="0.35">
      <c r="A1337" s="11" t="s">
        <v>1524</v>
      </c>
      <c r="B1337" s="9" t="s">
        <v>1752</v>
      </c>
      <c r="C1337" s="9" t="s">
        <v>1752</v>
      </c>
      <c r="D1337" s="9" t="s">
        <v>1752</v>
      </c>
      <c r="E1337" s="15">
        <f t="shared" si="20"/>
        <v>1</v>
      </c>
    </row>
    <row r="1338" spans="1:5" x14ac:dyDescent="0.35">
      <c r="A1338" s="10" t="s">
        <v>1525</v>
      </c>
      <c r="B1338" s="9" t="s">
        <v>1752</v>
      </c>
      <c r="C1338" s="9" t="s">
        <v>1752</v>
      </c>
      <c r="D1338" s="9" t="s">
        <v>1752</v>
      </c>
      <c r="E1338" s="15">
        <f t="shared" si="20"/>
        <v>1</v>
      </c>
    </row>
    <row r="1339" spans="1:5" x14ac:dyDescent="0.35">
      <c r="A1339" s="11" t="s">
        <v>1526</v>
      </c>
      <c r="B1339" s="9" t="s">
        <v>1752</v>
      </c>
      <c r="C1339" s="9" t="s">
        <v>1752</v>
      </c>
      <c r="D1339" s="9" t="s">
        <v>1752</v>
      </c>
      <c r="E1339" s="15">
        <f t="shared" si="20"/>
        <v>1</v>
      </c>
    </row>
    <row r="1340" spans="1:5" x14ac:dyDescent="0.35">
      <c r="A1340" s="10" t="s">
        <v>1527</v>
      </c>
      <c r="B1340" s="9" t="s">
        <v>1827</v>
      </c>
      <c r="C1340" s="9" t="s">
        <v>1752</v>
      </c>
      <c r="D1340" s="9" t="s">
        <v>1752</v>
      </c>
      <c r="E1340" s="15">
        <f t="shared" si="20"/>
        <v>1</v>
      </c>
    </row>
    <row r="1341" spans="1:5" x14ac:dyDescent="0.35">
      <c r="A1341" s="11" t="s">
        <v>1528</v>
      </c>
      <c r="B1341" s="9" t="s">
        <v>1827</v>
      </c>
      <c r="C1341" s="9" t="s">
        <v>1752</v>
      </c>
      <c r="D1341" s="9" t="s">
        <v>1752</v>
      </c>
      <c r="E1341" s="15">
        <f t="shared" si="20"/>
        <v>1</v>
      </c>
    </row>
    <row r="1342" spans="1:5" x14ac:dyDescent="0.35">
      <c r="A1342" s="10" t="s">
        <v>1529</v>
      </c>
      <c r="B1342" s="9" t="s">
        <v>1827</v>
      </c>
      <c r="C1342" s="9" t="s">
        <v>1752</v>
      </c>
      <c r="D1342" s="9" t="s">
        <v>1752</v>
      </c>
      <c r="E1342" s="15">
        <f t="shared" si="20"/>
        <v>1</v>
      </c>
    </row>
    <row r="1343" spans="1:5" x14ac:dyDescent="0.35">
      <c r="A1343" s="11" t="s">
        <v>1530</v>
      </c>
      <c r="B1343" s="9" t="s">
        <v>1827</v>
      </c>
      <c r="C1343" s="9" t="s">
        <v>1752</v>
      </c>
      <c r="D1343" s="9" t="s">
        <v>1752</v>
      </c>
      <c r="E1343" s="15">
        <f t="shared" si="20"/>
        <v>1</v>
      </c>
    </row>
    <row r="1344" spans="1:5" x14ac:dyDescent="0.35">
      <c r="A1344" s="10" t="s">
        <v>1531</v>
      </c>
      <c r="B1344" s="9" t="s">
        <v>1827</v>
      </c>
      <c r="C1344" s="9" t="s">
        <v>1752</v>
      </c>
      <c r="D1344" s="9" t="s">
        <v>1752</v>
      </c>
      <c r="E1344" s="15">
        <f t="shared" si="20"/>
        <v>1</v>
      </c>
    </row>
    <row r="1345" spans="1:5" x14ac:dyDescent="0.35">
      <c r="A1345" s="11" t="s">
        <v>1532</v>
      </c>
      <c r="B1345" s="9" t="s">
        <v>1827</v>
      </c>
      <c r="C1345" s="9" t="s">
        <v>1752</v>
      </c>
      <c r="D1345" s="9" t="s">
        <v>1752</v>
      </c>
      <c r="E1345" s="15">
        <f t="shared" si="20"/>
        <v>1</v>
      </c>
    </row>
    <row r="1346" spans="1:5" x14ac:dyDescent="0.35">
      <c r="A1346" s="10" t="s">
        <v>1533</v>
      </c>
      <c r="B1346" s="9" t="s">
        <v>1752</v>
      </c>
      <c r="C1346" s="9" t="s">
        <v>1752</v>
      </c>
      <c r="D1346" s="9" t="s">
        <v>1752</v>
      </c>
      <c r="E1346" s="15">
        <f t="shared" si="20"/>
        <v>1</v>
      </c>
    </row>
    <row r="1347" spans="1:5" x14ac:dyDescent="0.35">
      <c r="A1347" s="10" t="s">
        <v>1534</v>
      </c>
      <c r="B1347" s="9" t="s">
        <v>1752</v>
      </c>
      <c r="C1347" s="9" t="s">
        <v>1752</v>
      </c>
      <c r="D1347" s="9" t="s">
        <v>1752</v>
      </c>
      <c r="E1347" s="15">
        <f t="shared" ref="E1347:E1410" si="21">IF(COUNTIF(B1347:D1347,"Y")&gt;0,1,0)</f>
        <v>1</v>
      </c>
    </row>
    <row r="1348" spans="1:5" x14ac:dyDescent="0.35">
      <c r="A1348" s="11" t="s">
        <v>1535</v>
      </c>
      <c r="B1348" s="9" t="s">
        <v>1752</v>
      </c>
      <c r="C1348" s="9" t="s">
        <v>1752</v>
      </c>
      <c r="D1348" s="9" t="s">
        <v>1752</v>
      </c>
      <c r="E1348" s="15">
        <f t="shared" si="21"/>
        <v>1</v>
      </c>
    </row>
    <row r="1349" spans="1:5" x14ac:dyDescent="0.35">
      <c r="A1349" s="10" t="s">
        <v>1536</v>
      </c>
      <c r="B1349" s="9" t="s">
        <v>1752</v>
      </c>
      <c r="C1349" s="9" t="s">
        <v>1752</v>
      </c>
      <c r="D1349" s="9" t="s">
        <v>1752</v>
      </c>
      <c r="E1349" s="15">
        <f t="shared" si="21"/>
        <v>1</v>
      </c>
    </row>
    <row r="1350" spans="1:5" x14ac:dyDescent="0.35">
      <c r="A1350" s="11" t="s">
        <v>1537</v>
      </c>
      <c r="B1350" s="9" t="s">
        <v>1752</v>
      </c>
      <c r="C1350" s="9" t="s">
        <v>1752</v>
      </c>
      <c r="D1350" s="9" t="s">
        <v>1752</v>
      </c>
      <c r="E1350" s="15">
        <f t="shared" si="21"/>
        <v>1</v>
      </c>
    </row>
    <row r="1351" spans="1:5" x14ac:dyDescent="0.35">
      <c r="A1351" s="10" t="s">
        <v>1538</v>
      </c>
      <c r="B1351" s="9" t="s">
        <v>1752</v>
      </c>
      <c r="C1351" s="9" t="s">
        <v>1752</v>
      </c>
      <c r="D1351" s="9" t="s">
        <v>1752</v>
      </c>
      <c r="E1351" s="15">
        <f t="shared" si="21"/>
        <v>1</v>
      </c>
    </row>
    <row r="1352" spans="1:5" x14ac:dyDescent="0.35">
      <c r="A1352" s="11" t="s">
        <v>1539</v>
      </c>
      <c r="B1352" s="9" t="s">
        <v>1752</v>
      </c>
      <c r="C1352" s="9" t="s">
        <v>1752</v>
      </c>
      <c r="D1352" s="9" t="s">
        <v>1752</v>
      </c>
      <c r="E1352" s="15">
        <f t="shared" si="21"/>
        <v>1</v>
      </c>
    </row>
    <row r="1353" spans="1:5" x14ac:dyDescent="0.35">
      <c r="A1353" s="11" t="s">
        <v>1540</v>
      </c>
      <c r="B1353" s="9" t="s">
        <v>1752</v>
      </c>
      <c r="C1353" s="9" t="s">
        <v>1752</v>
      </c>
      <c r="D1353" s="9" t="s">
        <v>1752</v>
      </c>
      <c r="E1353" s="15">
        <f t="shared" si="21"/>
        <v>1</v>
      </c>
    </row>
    <row r="1354" spans="1:5" x14ac:dyDescent="0.35">
      <c r="A1354" s="10" t="s">
        <v>1541</v>
      </c>
      <c r="B1354" s="9" t="s">
        <v>1752</v>
      </c>
      <c r="C1354" s="9" t="s">
        <v>1752</v>
      </c>
      <c r="D1354" s="9" t="s">
        <v>1752</v>
      </c>
      <c r="E1354" s="15">
        <f t="shared" si="21"/>
        <v>1</v>
      </c>
    </row>
    <row r="1355" spans="1:5" x14ac:dyDescent="0.35">
      <c r="A1355" s="10" t="s">
        <v>1542</v>
      </c>
      <c r="B1355" s="9" t="s">
        <v>1752</v>
      </c>
      <c r="C1355" s="9" t="s">
        <v>1752</v>
      </c>
      <c r="D1355" s="9" t="s">
        <v>1752</v>
      </c>
      <c r="E1355" s="15">
        <f t="shared" si="21"/>
        <v>1</v>
      </c>
    </row>
    <row r="1356" spans="1:5" x14ac:dyDescent="0.35">
      <c r="A1356" s="11" t="s">
        <v>1543</v>
      </c>
      <c r="B1356" s="9" t="s">
        <v>1752</v>
      </c>
      <c r="C1356" s="9" t="s">
        <v>1752</v>
      </c>
      <c r="D1356" s="9" t="s">
        <v>1752</v>
      </c>
      <c r="E1356" s="15">
        <f t="shared" si="21"/>
        <v>1</v>
      </c>
    </row>
    <row r="1357" spans="1:5" x14ac:dyDescent="0.35">
      <c r="A1357" s="10" t="s">
        <v>1544</v>
      </c>
      <c r="B1357" s="9" t="s">
        <v>1752</v>
      </c>
      <c r="C1357" s="9" t="s">
        <v>1752</v>
      </c>
      <c r="D1357" s="9" t="s">
        <v>1752</v>
      </c>
      <c r="E1357" s="15">
        <f t="shared" si="21"/>
        <v>1</v>
      </c>
    </row>
    <row r="1358" spans="1:5" x14ac:dyDescent="0.35">
      <c r="A1358" s="10" t="s">
        <v>1545</v>
      </c>
      <c r="B1358" s="9" t="s">
        <v>1752</v>
      </c>
      <c r="C1358" s="9" t="s">
        <v>1752</v>
      </c>
      <c r="D1358" s="9" t="s">
        <v>1752</v>
      </c>
      <c r="E1358" s="15">
        <f t="shared" si="21"/>
        <v>1</v>
      </c>
    </row>
    <row r="1359" spans="1:5" x14ac:dyDescent="0.35">
      <c r="A1359" s="10" t="s">
        <v>1546</v>
      </c>
      <c r="B1359" s="9" t="s">
        <v>1752</v>
      </c>
      <c r="C1359" s="9" t="s">
        <v>1752</v>
      </c>
      <c r="D1359" s="9" t="s">
        <v>1752</v>
      </c>
      <c r="E1359" s="15">
        <f t="shared" si="21"/>
        <v>1</v>
      </c>
    </row>
    <row r="1360" spans="1:5" x14ac:dyDescent="0.35">
      <c r="A1360" s="11" t="s">
        <v>1547</v>
      </c>
      <c r="B1360" s="9" t="s">
        <v>1752</v>
      </c>
      <c r="C1360" s="9" t="s">
        <v>1752</v>
      </c>
      <c r="D1360" s="9" t="s">
        <v>1752</v>
      </c>
      <c r="E1360" s="15">
        <f t="shared" si="21"/>
        <v>1</v>
      </c>
    </row>
    <row r="1361" spans="1:5" x14ac:dyDescent="0.35">
      <c r="A1361" s="11" t="s">
        <v>1548</v>
      </c>
      <c r="B1361" s="9" t="s">
        <v>1752</v>
      </c>
      <c r="C1361" s="9" t="s">
        <v>1752</v>
      </c>
      <c r="D1361" s="9" t="s">
        <v>1752</v>
      </c>
      <c r="E1361" s="15">
        <f t="shared" si="21"/>
        <v>1</v>
      </c>
    </row>
    <row r="1362" spans="1:5" x14ac:dyDescent="0.35">
      <c r="A1362" s="10" t="s">
        <v>1549</v>
      </c>
      <c r="B1362" s="9" t="s">
        <v>1752</v>
      </c>
      <c r="C1362" s="9" t="s">
        <v>1752</v>
      </c>
      <c r="D1362" s="9" t="s">
        <v>1752</v>
      </c>
      <c r="E1362" s="15">
        <f t="shared" si="21"/>
        <v>1</v>
      </c>
    </row>
    <row r="1363" spans="1:5" x14ac:dyDescent="0.35">
      <c r="A1363" s="11" t="s">
        <v>1550</v>
      </c>
      <c r="B1363" s="9" t="s">
        <v>1752</v>
      </c>
      <c r="C1363" s="9" t="s">
        <v>1752</v>
      </c>
      <c r="D1363" s="9" t="s">
        <v>1752</v>
      </c>
      <c r="E1363" s="15">
        <f t="shared" si="21"/>
        <v>1</v>
      </c>
    </row>
    <row r="1364" spans="1:5" x14ac:dyDescent="0.35">
      <c r="A1364" s="10" t="s">
        <v>1551</v>
      </c>
      <c r="B1364" s="9" t="s">
        <v>1752</v>
      </c>
      <c r="C1364" s="9" t="s">
        <v>1752</v>
      </c>
      <c r="D1364" s="9" t="s">
        <v>1752</v>
      </c>
      <c r="E1364" s="15">
        <f t="shared" si="21"/>
        <v>1</v>
      </c>
    </row>
    <row r="1365" spans="1:5" x14ac:dyDescent="0.35">
      <c r="A1365" s="10" t="s">
        <v>1552</v>
      </c>
      <c r="B1365" s="9" t="s">
        <v>1752</v>
      </c>
      <c r="C1365" s="9" t="s">
        <v>1752</v>
      </c>
      <c r="D1365" s="9" t="s">
        <v>1752</v>
      </c>
      <c r="E1365" s="15">
        <f t="shared" si="21"/>
        <v>1</v>
      </c>
    </row>
    <row r="1366" spans="1:5" x14ac:dyDescent="0.35">
      <c r="A1366" s="10" t="s">
        <v>1553</v>
      </c>
      <c r="B1366" s="9" t="s">
        <v>1752</v>
      </c>
      <c r="C1366" s="9" t="s">
        <v>1752</v>
      </c>
      <c r="D1366" s="9" t="s">
        <v>1752</v>
      </c>
      <c r="E1366" s="15">
        <f t="shared" si="21"/>
        <v>1</v>
      </c>
    </row>
    <row r="1367" spans="1:5" x14ac:dyDescent="0.35">
      <c r="A1367" s="10" t="s">
        <v>1554</v>
      </c>
      <c r="B1367" s="9" t="s">
        <v>1752</v>
      </c>
      <c r="C1367" s="9" t="s">
        <v>1752</v>
      </c>
      <c r="D1367" s="9" t="s">
        <v>1752</v>
      </c>
      <c r="E1367" s="15">
        <f t="shared" si="21"/>
        <v>1</v>
      </c>
    </row>
    <row r="1368" spans="1:5" x14ac:dyDescent="0.35">
      <c r="A1368" s="10" t="s">
        <v>1555</v>
      </c>
      <c r="B1368" s="9" t="s">
        <v>1752</v>
      </c>
      <c r="C1368" s="9" t="s">
        <v>1752</v>
      </c>
      <c r="D1368" s="9" t="s">
        <v>1752</v>
      </c>
      <c r="E1368" s="15">
        <f t="shared" si="21"/>
        <v>1</v>
      </c>
    </row>
    <row r="1369" spans="1:5" x14ac:dyDescent="0.35">
      <c r="A1369" s="11" t="s">
        <v>1556</v>
      </c>
      <c r="B1369" s="9" t="s">
        <v>1752</v>
      </c>
      <c r="C1369" s="9" t="s">
        <v>1752</v>
      </c>
      <c r="D1369" s="9" t="s">
        <v>1752</v>
      </c>
      <c r="E1369" s="15">
        <f t="shared" si="21"/>
        <v>1</v>
      </c>
    </row>
    <row r="1370" spans="1:5" x14ac:dyDescent="0.35">
      <c r="A1370" s="10" t="s">
        <v>1557</v>
      </c>
      <c r="B1370" s="9" t="s">
        <v>1827</v>
      </c>
      <c r="C1370" s="9" t="s">
        <v>1752</v>
      </c>
      <c r="D1370" s="9" t="s">
        <v>1752</v>
      </c>
      <c r="E1370" s="15">
        <f t="shared" si="21"/>
        <v>1</v>
      </c>
    </row>
    <row r="1371" spans="1:5" x14ac:dyDescent="0.35">
      <c r="A1371" s="11" t="s">
        <v>1558</v>
      </c>
      <c r="B1371" s="9" t="s">
        <v>1752</v>
      </c>
      <c r="C1371" s="9" t="s">
        <v>1752</v>
      </c>
      <c r="D1371" s="9" t="s">
        <v>1752</v>
      </c>
      <c r="E1371" s="15">
        <f t="shared" si="21"/>
        <v>1</v>
      </c>
    </row>
    <row r="1372" spans="1:5" x14ac:dyDescent="0.35">
      <c r="A1372" s="10" t="s">
        <v>1559</v>
      </c>
      <c r="B1372" s="9" t="s">
        <v>1752</v>
      </c>
      <c r="C1372" s="9" t="s">
        <v>1752</v>
      </c>
      <c r="D1372" s="9" t="s">
        <v>1752</v>
      </c>
      <c r="E1372" s="15">
        <f t="shared" si="21"/>
        <v>1</v>
      </c>
    </row>
    <row r="1373" spans="1:5" x14ac:dyDescent="0.35">
      <c r="A1373" s="11" t="s">
        <v>1560</v>
      </c>
      <c r="B1373" s="9" t="s">
        <v>1827</v>
      </c>
      <c r="C1373" s="9" t="s">
        <v>1752</v>
      </c>
      <c r="D1373" s="9" t="s">
        <v>1752</v>
      </c>
      <c r="E1373" s="15">
        <f t="shared" si="21"/>
        <v>1</v>
      </c>
    </row>
    <row r="1374" spans="1:5" x14ac:dyDescent="0.35">
      <c r="A1374" s="10" t="s">
        <v>1561</v>
      </c>
      <c r="B1374" s="9" t="s">
        <v>1827</v>
      </c>
      <c r="C1374" s="9" t="s">
        <v>1752</v>
      </c>
      <c r="D1374" s="9" t="s">
        <v>1752</v>
      </c>
      <c r="E1374" s="15">
        <f t="shared" si="21"/>
        <v>1</v>
      </c>
    </row>
    <row r="1375" spans="1:5" x14ac:dyDescent="0.35">
      <c r="A1375" s="11" t="s">
        <v>1562</v>
      </c>
      <c r="B1375" s="9" t="s">
        <v>1827</v>
      </c>
      <c r="C1375" s="9" t="s">
        <v>1752</v>
      </c>
      <c r="D1375" s="9" t="s">
        <v>1752</v>
      </c>
      <c r="E1375" s="15">
        <f t="shared" si="21"/>
        <v>1</v>
      </c>
    </row>
    <row r="1376" spans="1:5" x14ac:dyDescent="0.35">
      <c r="A1376" s="10" t="s">
        <v>1563</v>
      </c>
      <c r="B1376" s="9" t="s">
        <v>1827</v>
      </c>
      <c r="C1376" s="9" t="s">
        <v>1752</v>
      </c>
      <c r="D1376" s="9" t="s">
        <v>1752</v>
      </c>
      <c r="E1376" s="15">
        <f t="shared" si="21"/>
        <v>1</v>
      </c>
    </row>
    <row r="1377" spans="1:5" x14ac:dyDescent="0.35">
      <c r="A1377" s="11" t="s">
        <v>1564</v>
      </c>
      <c r="B1377" s="9" t="s">
        <v>1827</v>
      </c>
      <c r="C1377" s="9" t="s">
        <v>1752</v>
      </c>
      <c r="D1377" s="9" t="s">
        <v>1752</v>
      </c>
      <c r="E1377" s="15">
        <f t="shared" si="21"/>
        <v>1</v>
      </c>
    </row>
    <row r="1378" spans="1:5" x14ac:dyDescent="0.35">
      <c r="A1378" s="10" t="s">
        <v>1565</v>
      </c>
      <c r="B1378" s="9" t="s">
        <v>1752</v>
      </c>
      <c r="C1378" s="9" t="s">
        <v>1752</v>
      </c>
      <c r="D1378" s="9" t="s">
        <v>1752</v>
      </c>
      <c r="E1378" s="15">
        <f t="shared" si="21"/>
        <v>1</v>
      </c>
    </row>
    <row r="1379" spans="1:5" x14ac:dyDescent="0.35">
      <c r="A1379" s="11" t="s">
        <v>1566</v>
      </c>
      <c r="B1379" s="9" t="s">
        <v>1752</v>
      </c>
      <c r="C1379" s="9" t="s">
        <v>1752</v>
      </c>
      <c r="D1379" s="9" t="s">
        <v>1752</v>
      </c>
      <c r="E1379" s="15">
        <f t="shared" si="21"/>
        <v>1</v>
      </c>
    </row>
    <row r="1380" spans="1:5" x14ac:dyDescent="0.35">
      <c r="A1380" s="10" t="s">
        <v>1567</v>
      </c>
      <c r="B1380" s="9" t="s">
        <v>1752</v>
      </c>
      <c r="C1380" s="9" t="s">
        <v>1752</v>
      </c>
      <c r="D1380" s="9" t="s">
        <v>1752</v>
      </c>
      <c r="E1380" s="15">
        <f t="shared" si="21"/>
        <v>1</v>
      </c>
    </row>
    <row r="1381" spans="1:5" x14ac:dyDescent="0.35">
      <c r="A1381" s="11" t="s">
        <v>1568</v>
      </c>
      <c r="B1381" s="9" t="s">
        <v>1752</v>
      </c>
      <c r="C1381" s="9" t="s">
        <v>1752</v>
      </c>
      <c r="D1381" s="9" t="s">
        <v>1752</v>
      </c>
      <c r="E1381" s="15">
        <f t="shared" si="21"/>
        <v>1</v>
      </c>
    </row>
    <row r="1382" spans="1:5" x14ac:dyDescent="0.35">
      <c r="A1382" s="11" t="s">
        <v>1569</v>
      </c>
      <c r="B1382" s="9" t="s">
        <v>1752</v>
      </c>
      <c r="C1382" s="9" t="s">
        <v>1752</v>
      </c>
      <c r="D1382" s="9" t="s">
        <v>1752</v>
      </c>
      <c r="E1382" s="15">
        <f t="shared" si="21"/>
        <v>1</v>
      </c>
    </row>
    <row r="1383" spans="1:5" x14ac:dyDescent="0.35">
      <c r="A1383" s="11" t="s">
        <v>1570</v>
      </c>
      <c r="B1383" s="9" t="s">
        <v>1827</v>
      </c>
      <c r="C1383" s="9" t="s">
        <v>1752</v>
      </c>
      <c r="D1383" s="9" t="s">
        <v>1752</v>
      </c>
      <c r="E1383" s="15">
        <f t="shared" si="21"/>
        <v>1</v>
      </c>
    </row>
    <row r="1384" spans="1:5" x14ac:dyDescent="0.35">
      <c r="A1384" s="11" t="s">
        <v>1571</v>
      </c>
      <c r="B1384" s="9" t="s">
        <v>1752</v>
      </c>
      <c r="C1384" s="9" t="s">
        <v>1752</v>
      </c>
      <c r="D1384" s="9" t="s">
        <v>1752</v>
      </c>
      <c r="E1384" s="15">
        <f t="shared" si="21"/>
        <v>1</v>
      </c>
    </row>
    <row r="1385" spans="1:5" x14ac:dyDescent="0.35">
      <c r="A1385" s="11" t="s">
        <v>1572</v>
      </c>
      <c r="B1385" s="9" t="s">
        <v>1752</v>
      </c>
      <c r="C1385" s="9" t="s">
        <v>1752</v>
      </c>
      <c r="D1385" s="9" t="s">
        <v>1752</v>
      </c>
      <c r="E1385" s="15">
        <f t="shared" si="21"/>
        <v>1</v>
      </c>
    </row>
    <row r="1386" spans="1:5" x14ac:dyDescent="0.35">
      <c r="A1386" s="10" t="s">
        <v>1573</v>
      </c>
      <c r="B1386" s="9" t="s">
        <v>1752</v>
      </c>
      <c r="C1386" s="9" t="s">
        <v>1752</v>
      </c>
      <c r="D1386" s="9" t="s">
        <v>1752</v>
      </c>
      <c r="E1386" s="15">
        <f t="shared" si="21"/>
        <v>1</v>
      </c>
    </row>
    <row r="1387" spans="1:5" x14ac:dyDescent="0.35">
      <c r="A1387" s="11" t="s">
        <v>1574</v>
      </c>
      <c r="B1387" s="9" t="s">
        <v>1752</v>
      </c>
      <c r="C1387" s="9" t="s">
        <v>1752</v>
      </c>
      <c r="D1387" s="9" t="s">
        <v>1752</v>
      </c>
      <c r="E1387" s="15">
        <f t="shared" si="21"/>
        <v>1</v>
      </c>
    </row>
    <row r="1388" spans="1:5" x14ac:dyDescent="0.35">
      <c r="A1388" s="10" t="s">
        <v>1575</v>
      </c>
      <c r="B1388" s="9" t="s">
        <v>1752</v>
      </c>
      <c r="C1388" s="9" t="s">
        <v>1752</v>
      </c>
      <c r="D1388" s="9" t="s">
        <v>1752</v>
      </c>
      <c r="E1388" s="15">
        <f t="shared" si="21"/>
        <v>1</v>
      </c>
    </row>
    <row r="1389" spans="1:5" x14ac:dyDescent="0.35">
      <c r="A1389" s="10" t="s">
        <v>1576</v>
      </c>
      <c r="B1389" s="9" t="s">
        <v>1752</v>
      </c>
      <c r="C1389" s="9" t="s">
        <v>1752</v>
      </c>
      <c r="D1389" s="9" t="s">
        <v>1752</v>
      </c>
      <c r="E1389" s="15">
        <f t="shared" si="21"/>
        <v>1</v>
      </c>
    </row>
    <row r="1390" spans="1:5" x14ac:dyDescent="0.35">
      <c r="A1390" s="11" t="s">
        <v>1577</v>
      </c>
      <c r="B1390" s="9" t="s">
        <v>1752</v>
      </c>
      <c r="C1390" s="9" t="s">
        <v>1752</v>
      </c>
      <c r="D1390" s="9" t="s">
        <v>1752</v>
      </c>
      <c r="E1390" s="15">
        <f t="shared" si="21"/>
        <v>1</v>
      </c>
    </row>
    <row r="1391" spans="1:5" x14ac:dyDescent="0.35">
      <c r="A1391" s="11" t="s">
        <v>1578</v>
      </c>
      <c r="B1391" s="9" t="s">
        <v>1752</v>
      </c>
      <c r="C1391" s="9" t="s">
        <v>1752</v>
      </c>
      <c r="D1391" s="9" t="s">
        <v>1752</v>
      </c>
      <c r="E1391" s="15">
        <f t="shared" si="21"/>
        <v>1</v>
      </c>
    </row>
    <row r="1392" spans="1:5" x14ac:dyDescent="0.35">
      <c r="A1392" s="10" t="s">
        <v>1579</v>
      </c>
      <c r="B1392" s="9" t="s">
        <v>1752</v>
      </c>
      <c r="C1392" s="9" t="s">
        <v>1752</v>
      </c>
      <c r="D1392" s="9" t="s">
        <v>1752</v>
      </c>
      <c r="E1392" s="15">
        <f t="shared" si="21"/>
        <v>1</v>
      </c>
    </row>
    <row r="1393" spans="1:5" x14ac:dyDescent="0.35">
      <c r="A1393" s="11" t="s">
        <v>1580</v>
      </c>
      <c r="B1393" s="9" t="s">
        <v>1752</v>
      </c>
      <c r="C1393" s="9" t="s">
        <v>1752</v>
      </c>
      <c r="D1393" s="9" t="s">
        <v>1752</v>
      </c>
      <c r="E1393" s="15">
        <f t="shared" si="21"/>
        <v>1</v>
      </c>
    </row>
    <row r="1394" spans="1:5" x14ac:dyDescent="0.35">
      <c r="A1394" s="11" t="s">
        <v>1581</v>
      </c>
      <c r="B1394" s="9" t="s">
        <v>1752</v>
      </c>
      <c r="C1394" s="9" t="s">
        <v>1752</v>
      </c>
      <c r="D1394" s="9" t="s">
        <v>1752</v>
      </c>
      <c r="E1394" s="15">
        <f t="shared" si="21"/>
        <v>1</v>
      </c>
    </row>
    <row r="1395" spans="1:5" x14ac:dyDescent="0.35">
      <c r="A1395" s="10" t="s">
        <v>1582</v>
      </c>
      <c r="B1395" s="9" t="s">
        <v>1752</v>
      </c>
      <c r="C1395" s="9" t="s">
        <v>1752</v>
      </c>
      <c r="D1395" s="9" t="s">
        <v>1752</v>
      </c>
      <c r="E1395" s="15">
        <f t="shared" si="21"/>
        <v>1</v>
      </c>
    </row>
    <row r="1396" spans="1:5" x14ac:dyDescent="0.35">
      <c r="A1396" s="11" t="s">
        <v>1583</v>
      </c>
      <c r="B1396" s="9" t="s">
        <v>1752</v>
      </c>
      <c r="C1396" s="9" t="s">
        <v>1752</v>
      </c>
      <c r="D1396" s="9" t="s">
        <v>1752</v>
      </c>
      <c r="E1396" s="15">
        <f t="shared" si="21"/>
        <v>1</v>
      </c>
    </row>
    <row r="1397" spans="1:5" x14ac:dyDescent="0.35">
      <c r="A1397" s="10" t="s">
        <v>1584</v>
      </c>
      <c r="B1397" s="9" t="s">
        <v>1752</v>
      </c>
      <c r="C1397" s="9" t="s">
        <v>1752</v>
      </c>
      <c r="D1397" s="9" t="s">
        <v>1827</v>
      </c>
      <c r="E1397" s="15">
        <f t="shared" si="21"/>
        <v>1</v>
      </c>
    </row>
    <row r="1398" spans="1:5" x14ac:dyDescent="0.35">
      <c r="A1398" s="11" t="s">
        <v>1585</v>
      </c>
      <c r="B1398" s="9" t="s">
        <v>1752</v>
      </c>
      <c r="C1398" s="9" t="s">
        <v>1752</v>
      </c>
      <c r="D1398" s="9" t="s">
        <v>1752</v>
      </c>
      <c r="E1398" s="15">
        <f t="shared" si="21"/>
        <v>1</v>
      </c>
    </row>
    <row r="1399" spans="1:5" x14ac:dyDescent="0.35">
      <c r="A1399" s="11" t="s">
        <v>1586</v>
      </c>
      <c r="B1399" s="9" t="s">
        <v>1752</v>
      </c>
      <c r="C1399" s="9" t="s">
        <v>1752</v>
      </c>
      <c r="D1399" s="9" t="s">
        <v>1752</v>
      </c>
      <c r="E1399" s="15">
        <f t="shared" si="21"/>
        <v>1</v>
      </c>
    </row>
    <row r="1400" spans="1:5" x14ac:dyDescent="0.35">
      <c r="A1400" s="11" t="s">
        <v>1587</v>
      </c>
      <c r="B1400" s="9" t="s">
        <v>1752</v>
      </c>
      <c r="C1400" s="9" t="s">
        <v>1752</v>
      </c>
      <c r="D1400" s="9" t="s">
        <v>1752</v>
      </c>
      <c r="E1400" s="15">
        <f t="shared" si="21"/>
        <v>1</v>
      </c>
    </row>
    <row r="1401" spans="1:5" x14ac:dyDescent="0.35">
      <c r="A1401" s="10" t="s">
        <v>1588</v>
      </c>
      <c r="B1401" s="9" t="s">
        <v>1752</v>
      </c>
      <c r="C1401" s="9" t="s">
        <v>1752</v>
      </c>
      <c r="D1401" s="9" t="s">
        <v>1752</v>
      </c>
      <c r="E1401" s="15">
        <f t="shared" si="21"/>
        <v>1</v>
      </c>
    </row>
    <row r="1402" spans="1:5" x14ac:dyDescent="0.35">
      <c r="A1402" s="10" t="s">
        <v>1589</v>
      </c>
      <c r="B1402" s="9" t="s">
        <v>1752</v>
      </c>
      <c r="C1402" s="9" t="s">
        <v>1752</v>
      </c>
      <c r="D1402" s="9" t="s">
        <v>1752</v>
      </c>
      <c r="E1402" s="15">
        <f t="shared" si="21"/>
        <v>1</v>
      </c>
    </row>
    <row r="1403" spans="1:5" x14ac:dyDescent="0.35">
      <c r="A1403" s="11" t="s">
        <v>1590</v>
      </c>
      <c r="B1403" s="9" t="s">
        <v>1752</v>
      </c>
      <c r="C1403" s="9" t="s">
        <v>1752</v>
      </c>
      <c r="D1403" s="9" t="s">
        <v>1752</v>
      </c>
      <c r="E1403" s="15">
        <f t="shared" si="21"/>
        <v>1</v>
      </c>
    </row>
    <row r="1404" spans="1:5" x14ac:dyDescent="0.35">
      <c r="A1404" s="11" t="s">
        <v>1591</v>
      </c>
      <c r="B1404" s="9" t="s">
        <v>1752</v>
      </c>
      <c r="C1404" s="9" t="s">
        <v>1752</v>
      </c>
      <c r="D1404" s="9" t="s">
        <v>1752</v>
      </c>
      <c r="E1404" s="15">
        <f t="shared" si="21"/>
        <v>1</v>
      </c>
    </row>
    <row r="1405" spans="1:5" x14ac:dyDescent="0.35">
      <c r="A1405" s="11" t="s">
        <v>1592</v>
      </c>
      <c r="B1405" s="9" t="s">
        <v>1752</v>
      </c>
      <c r="C1405" s="9" t="s">
        <v>1752</v>
      </c>
      <c r="D1405" s="9" t="s">
        <v>1752</v>
      </c>
      <c r="E1405" s="15">
        <f t="shared" si="21"/>
        <v>1</v>
      </c>
    </row>
    <row r="1406" spans="1:5" x14ac:dyDescent="0.35">
      <c r="A1406" s="10" t="s">
        <v>1593</v>
      </c>
      <c r="B1406" s="9" t="s">
        <v>1752</v>
      </c>
      <c r="C1406" s="9" t="s">
        <v>1752</v>
      </c>
      <c r="D1406" s="9" t="s">
        <v>1752</v>
      </c>
      <c r="E1406" s="15">
        <f t="shared" si="21"/>
        <v>1</v>
      </c>
    </row>
    <row r="1407" spans="1:5" x14ac:dyDescent="0.35">
      <c r="A1407" s="11" t="s">
        <v>1594</v>
      </c>
      <c r="B1407" s="9" t="s">
        <v>1752</v>
      </c>
      <c r="C1407" s="9" t="s">
        <v>1752</v>
      </c>
      <c r="D1407" s="9" t="s">
        <v>1752</v>
      </c>
      <c r="E1407" s="15">
        <f t="shared" si="21"/>
        <v>1</v>
      </c>
    </row>
    <row r="1408" spans="1:5" x14ac:dyDescent="0.35">
      <c r="A1408" s="11" t="s">
        <v>1595</v>
      </c>
      <c r="B1408" s="9" t="s">
        <v>1752</v>
      </c>
      <c r="C1408" s="9" t="s">
        <v>1752</v>
      </c>
      <c r="D1408" s="9" t="s">
        <v>1752</v>
      </c>
      <c r="E1408" s="15">
        <f t="shared" si="21"/>
        <v>1</v>
      </c>
    </row>
    <row r="1409" spans="1:5" x14ac:dyDescent="0.35">
      <c r="A1409" s="10" t="s">
        <v>1596</v>
      </c>
      <c r="B1409" s="9" t="s">
        <v>1752</v>
      </c>
      <c r="C1409" s="9" t="s">
        <v>1752</v>
      </c>
      <c r="D1409" s="9" t="s">
        <v>1752</v>
      </c>
      <c r="E1409" s="15">
        <f t="shared" si="21"/>
        <v>1</v>
      </c>
    </row>
    <row r="1410" spans="1:5" x14ac:dyDescent="0.35">
      <c r="A1410" s="11" t="s">
        <v>1597</v>
      </c>
      <c r="B1410" s="9" t="s">
        <v>1752</v>
      </c>
      <c r="C1410" s="9" t="s">
        <v>1752</v>
      </c>
      <c r="D1410" s="9" t="s">
        <v>1827</v>
      </c>
      <c r="E1410" s="15">
        <f t="shared" si="21"/>
        <v>1</v>
      </c>
    </row>
    <row r="1411" spans="1:5" x14ac:dyDescent="0.35">
      <c r="A1411" s="10" t="s">
        <v>1598</v>
      </c>
      <c r="B1411" s="9" t="s">
        <v>1752</v>
      </c>
      <c r="C1411" s="9" t="s">
        <v>1752</v>
      </c>
      <c r="D1411" s="9" t="s">
        <v>1752</v>
      </c>
      <c r="E1411" s="15">
        <f t="shared" ref="E1411:E1474" si="22">IF(COUNTIF(B1411:D1411,"Y")&gt;0,1,0)</f>
        <v>1</v>
      </c>
    </row>
    <row r="1412" spans="1:5" x14ac:dyDescent="0.35">
      <c r="A1412" s="11" t="s">
        <v>1599</v>
      </c>
      <c r="B1412" s="9" t="s">
        <v>1752</v>
      </c>
      <c r="C1412" s="9" t="s">
        <v>1752</v>
      </c>
      <c r="D1412" s="9" t="s">
        <v>1752</v>
      </c>
      <c r="E1412" s="15">
        <f t="shared" si="22"/>
        <v>1</v>
      </c>
    </row>
    <row r="1413" spans="1:5" x14ac:dyDescent="0.35">
      <c r="A1413" s="10" t="s">
        <v>1600</v>
      </c>
      <c r="B1413" s="9" t="s">
        <v>1752</v>
      </c>
      <c r="C1413" s="9" t="s">
        <v>1752</v>
      </c>
      <c r="D1413" s="9" t="s">
        <v>1752</v>
      </c>
      <c r="E1413" s="15">
        <f t="shared" si="22"/>
        <v>1</v>
      </c>
    </row>
    <row r="1414" spans="1:5" x14ac:dyDescent="0.35">
      <c r="A1414" s="11" t="s">
        <v>1601</v>
      </c>
      <c r="B1414" s="9" t="s">
        <v>1752</v>
      </c>
      <c r="C1414" s="9" t="s">
        <v>1752</v>
      </c>
      <c r="D1414" s="9" t="s">
        <v>1752</v>
      </c>
      <c r="E1414" s="15">
        <f t="shared" si="22"/>
        <v>1</v>
      </c>
    </row>
    <row r="1415" spans="1:5" x14ac:dyDescent="0.35">
      <c r="A1415" s="10" t="s">
        <v>1602</v>
      </c>
      <c r="B1415" s="9" t="s">
        <v>1752</v>
      </c>
      <c r="C1415" s="9" t="s">
        <v>1752</v>
      </c>
      <c r="D1415" s="9" t="s">
        <v>1827</v>
      </c>
      <c r="E1415" s="15">
        <f t="shared" si="22"/>
        <v>1</v>
      </c>
    </row>
    <row r="1416" spans="1:5" x14ac:dyDescent="0.35">
      <c r="A1416" s="11" t="s">
        <v>1603</v>
      </c>
      <c r="B1416" s="9" t="s">
        <v>1752</v>
      </c>
      <c r="C1416" s="9" t="s">
        <v>1752</v>
      </c>
      <c r="D1416" s="9" t="s">
        <v>1752</v>
      </c>
      <c r="E1416" s="15">
        <f t="shared" si="22"/>
        <v>1</v>
      </c>
    </row>
    <row r="1417" spans="1:5" x14ac:dyDescent="0.35">
      <c r="A1417" s="10" t="s">
        <v>1604</v>
      </c>
      <c r="B1417" s="9" t="s">
        <v>1752</v>
      </c>
      <c r="C1417" s="9" t="s">
        <v>1752</v>
      </c>
      <c r="D1417" s="9" t="s">
        <v>1752</v>
      </c>
      <c r="E1417" s="15">
        <f t="shared" si="22"/>
        <v>1</v>
      </c>
    </row>
    <row r="1418" spans="1:5" x14ac:dyDescent="0.35">
      <c r="A1418" s="11" t="s">
        <v>1605</v>
      </c>
      <c r="B1418" s="9" t="s">
        <v>1827</v>
      </c>
      <c r="C1418" s="9" t="s">
        <v>1752</v>
      </c>
      <c r="D1418" s="9" t="s">
        <v>1752</v>
      </c>
      <c r="E1418" s="15">
        <f t="shared" si="22"/>
        <v>1</v>
      </c>
    </row>
    <row r="1419" spans="1:5" x14ac:dyDescent="0.35">
      <c r="A1419" s="10" t="s">
        <v>1606</v>
      </c>
      <c r="B1419" s="9" t="s">
        <v>1752</v>
      </c>
      <c r="C1419" s="9" t="s">
        <v>1752</v>
      </c>
      <c r="D1419" s="9" t="s">
        <v>1752</v>
      </c>
      <c r="E1419" s="15">
        <f t="shared" si="22"/>
        <v>1</v>
      </c>
    </row>
    <row r="1420" spans="1:5" x14ac:dyDescent="0.35">
      <c r="A1420" s="11" t="s">
        <v>1607</v>
      </c>
      <c r="B1420" s="9" t="s">
        <v>1752</v>
      </c>
      <c r="C1420" s="9" t="s">
        <v>1752</v>
      </c>
      <c r="D1420" s="9" t="s">
        <v>1752</v>
      </c>
      <c r="E1420" s="15">
        <f t="shared" si="22"/>
        <v>1</v>
      </c>
    </row>
    <row r="1421" spans="1:5" x14ac:dyDescent="0.35">
      <c r="A1421" s="10" t="s">
        <v>1608</v>
      </c>
      <c r="B1421" s="9" t="s">
        <v>1752</v>
      </c>
      <c r="C1421" s="9" t="s">
        <v>1752</v>
      </c>
      <c r="D1421" s="9" t="s">
        <v>1752</v>
      </c>
      <c r="E1421" s="15">
        <f t="shared" si="22"/>
        <v>1</v>
      </c>
    </row>
    <row r="1422" spans="1:5" x14ac:dyDescent="0.35">
      <c r="A1422" s="10" t="s">
        <v>1609</v>
      </c>
      <c r="B1422" s="9" t="s">
        <v>1752</v>
      </c>
      <c r="C1422" s="9" t="s">
        <v>1752</v>
      </c>
      <c r="D1422" s="9" t="s">
        <v>1752</v>
      </c>
      <c r="E1422" s="15">
        <f t="shared" si="22"/>
        <v>1</v>
      </c>
    </row>
    <row r="1423" spans="1:5" x14ac:dyDescent="0.35">
      <c r="A1423" s="11" t="s">
        <v>1610</v>
      </c>
      <c r="B1423" s="9" t="s">
        <v>1752</v>
      </c>
      <c r="C1423" s="9" t="s">
        <v>1752</v>
      </c>
      <c r="D1423" s="9" t="s">
        <v>1827</v>
      </c>
      <c r="E1423" s="15">
        <f t="shared" si="22"/>
        <v>1</v>
      </c>
    </row>
    <row r="1424" spans="1:5" x14ac:dyDescent="0.35">
      <c r="A1424" s="10" t="s">
        <v>1611</v>
      </c>
      <c r="B1424" s="9" t="s">
        <v>1752</v>
      </c>
      <c r="C1424" s="9" t="s">
        <v>1752</v>
      </c>
      <c r="D1424" s="9" t="s">
        <v>1827</v>
      </c>
      <c r="E1424" s="15">
        <f t="shared" si="22"/>
        <v>1</v>
      </c>
    </row>
    <row r="1425" spans="1:5" x14ac:dyDescent="0.35">
      <c r="A1425" s="10" t="s">
        <v>1612</v>
      </c>
      <c r="B1425" s="9" t="s">
        <v>1752</v>
      </c>
      <c r="C1425" s="9" t="s">
        <v>1752</v>
      </c>
      <c r="D1425" s="9" t="s">
        <v>1752</v>
      </c>
      <c r="E1425" s="15">
        <f t="shared" si="22"/>
        <v>1</v>
      </c>
    </row>
    <row r="1426" spans="1:5" x14ac:dyDescent="0.35">
      <c r="A1426" s="11" t="s">
        <v>1613</v>
      </c>
      <c r="B1426" s="9" t="s">
        <v>1752</v>
      </c>
      <c r="C1426" s="9" t="s">
        <v>1752</v>
      </c>
      <c r="D1426" s="9" t="s">
        <v>1752</v>
      </c>
      <c r="E1426" s="15">
        <f t="shared" si="22"/>
        <v>1</v>
      </c>
    </row>
    <row r="1427" spans="1:5" x14ac:dyDescent="0.35">
      <c r="A1427" s="11" t="s">
        <v>1614</v>
      </c>
      <c r="B1427" s="9" t="s">
        <v>1752</v>
      </c>
      <c r="C1427" s="9" t="s">
        <v>1752</v>
      </c>
      <c r="D1427" s="9" t="s">
        <v>1752</v>
      </c>
      <c r="E1427" s="15">
        <f t="shared" si="22"/>
        <v>1</v>
      </c>
    </row>
    <row r="1428" spans="1:5" x14ac:dyDescent="0.35">
      <c r="A1428" s="10" t="s">
        <v>1615</v>
      </c>
      <c r="B1428" s="9" t="s">
        <v>1752</v>
      </c>
      <c r="C1428" s="9" t="s">
        <v>1752</v>
      </c>
      <c r="D1428" s="9" t="s">
        <v>1827</v>
      </c>
      <c r="E1428" s="15">
        <f t="shared" si="22"/>
        <v>1</v>
      </c>
    </row>
    <row r="1429" spans="1:5" x14ac:dyDescent="0.35">
      <c r="A1429" s="10" t="s">
        <v>1616</v>
      </c>
      <c r="B1429" s="9" t="s">
        <v>1752</v>
      </c>
      <c r="C1429" s="9" t="s">
        <v>1752</v>
      </c>
      <c r="D1429" s="9" t="s">
        <v>1752</v>
      </c>
      <c r="E1429" s="15">
        <f t="shared" si="22"/>
        <v>1</v>
      </c>
    </row>
    <row r="1430" spans="1:5" x14ac:dyDescent="0.35">
      <c r="A1430" s="11" t="s">
        <v>1617</v>
      </c>
      <c r="B1430" s="9" t="s">
        <v>1752</v>
      </c>
      <c r="C1430" s="9" t="s">
        <v>1752</v>
      </c>
      <c r="D1430" s="9" t="s">
        <v>1752</v>
      </c>
      <c r="E1430" s="15">
        <f t="shared" si="22"/>
        <v>1</v>
      </c>
    </row>
    <row r="1431" spans="1:5" x14ac:dyDescent="0.35">
      <c r="A1431" s="11" t="s">
        <v>1618</v>
      </c>
      <c r="B1431" s="9" t="s">
        <v>1752</v>
      </c>
      <c r="C1431" s="9" t="s">
        <v>1752</v>
      </c>
      <c r="D1431" s="9" t="s">
        <v>1752</v>
      </c>
      <c r="E1431" s="15">
        <f t="shared" si="22"/>
        <v>1</v>
      </c>
    </row>
    <row r="1432" spans="1:5" x14ac:dyDescent="0.35">
      <c r="A1432" s="11" t="s">
        <v>1619</v>
      </c>
      <c r="B1432" s="9" t="s">
        <v>1752</v>
      </c>
      <c r="C1432" s="9" t="s">
        <v>1752</v>
      </c>
      <c r="D1432" s="9" t="s">
        <v>1752</v>
      </c>
      <c r="E1432" s="15">
        <f t="shared" si="22"/>
        <v>1</v>
      </c>
    </row>
    <row r="1433" spans="1:5" x14ac:dyDescent="0.35">
      <c r="A1433" s="11" t="s">
        <v>1620</v>
      </c>
      <c r="B1433" s="9" t="s">
        <v>1752</v>
      </c>
      <c r="C1433" s="9" t="s">
        <v>1752</v>
      </c>
      <c r="D1433" s="9" t="s">
        <v>1752</v>
      </c>
      <c r="E1433" s="15">
        <f t="shared" si="22"/>
        <v>1</v>
      </c>
    </row>
    <row r="1434" spans="1:5" x14ac:dyDescent="0.35">
      <c r="A1434" s="10" t="s">
        <v>1621</v>
      </c>
      <c r="B1434" s="9" t="s">
        <v>1752</v>
      </c>
      <c r="C1434" s="9" t="s">
        <v>1752</v>
      </c>
      <c r="D1434" s="9" t="s">
        <v>1752</v>
      </c>
      <c r="E1434" s="15">
        <f t="shared" si="22"/>
        <v>1</v>
      </c>
    </row>
    <row r="1435" spans="1:5" x14ac:dyDescent="0.35">
      <c r="A1435" s="11" t="s">
        <v>1622</v>
      </c>
      <c r="B1435" s="9" t="s">
        <v>1752</v>
      </c>
      <c r="C1435" s="9" t="s">
        <v>1752</v>
      </c>
      <c r="D1435" s="9" t="s">
        <v>1752</v>
      </c>
      <c r="E1435" s="15">
        <f t="shared" si="22"/>
        <v>1</v>
      </c>
    </row>
    <row r="1436" spans="1:5" x14ac:dyDescent="0.35">
      <c r="A1436" s="10" t="s">
        <v>1623</v>
      </c>
      <c r="B1436" s="9" t="s">
        <v>1752</v>
      </c>
      <c r="C1436" s="9" t="s">
        <v>1752</v>
      </c>
      <c r="D1436" s="9" t="s">
        <v>1752</v>
      </c>
      <c r="E1436" s="15">
        <f t="shared" si="22"/>
        <v>1</v>
      </c>
    </row>
    <row r="1437" spans="1:5" x14ac:dyDescent="0.35">
      <c r="A1437" s="10" t="s">
        <v>1624</v>
      </c>
      <c r="B1437" s="9" t="s">
        <v>1752</v>
      </c>
      <c r="C1437" s="9" t="s">
        <v>1752</v>
      </c>
      <c r="D1437" s="9" t="s">
        <v>1752</v>
      </c>
      <c r="E1437" s="15">
        <f t="shared" si="22"/>
        <v>1</v>
      </c>
    </row>
    <row r="1438" spans="1:5" x14ac:dyDescent="0.35">
      <c r="A1438" s="10" t="s">
        <v>1625</v>
      </c>
      <c r="B1438" s="9" t="s">
        <v>1752</v>
      </c>
      <c r="C1438" s="9" t="s">
        <v>1752</v>
      </c>
      <c r="D1438" s="9" t="s">
        <v>1752</v>
      </c>
      <c r="E1438" s="15">
        <f t="shared" si="22"/>
        <v>1</v>
      </c>
    </row>
    <row r="1439" spans="1:5" x14ac:dyDescent="0.35">
      <c r="A1439" s="11" t="s">
        <v>1626</v>
      </c>
      <c r="B1439" s="9" t="s">
        <v>1752</v>
      </c>
      <c r="C1439" s="9" t="s">
        <v>1752</v>
      </c>
      <c r="D1439" s="9" t="s">
        <v>1827</v>
      </c>
      <c r="E1439" s="15">
        <f t="shared" si="22"/>
        <v>1</v>
      </c>
    </row>
    <row r="1440" spans="1:5" x14ac:dyDescent="0.35">
      <c r="A1440" s="10" t="s">
        <v>1627</v>
      </c>
      <c r="B1440" s="9" t="s">
        <v>1752</v>
      </c>
      <c r="C1440" s="9" t="s">
        <v>1752</v>
      </c>
      <c r="D1440" s="9" t="s">
        <v>1752</v>
      </c>
      <c r="E1440" s="15">
        <f t="shared" si="22"/>
        <v>1</v>
      </c>
    </row>
    <row r="1441" spans="1:5" x14ac:dyDescent="0.35">
      <c r="A1441" s="11" t="s">
        <v>1628</v>
      </c>
      <c r="B1441" s="9" t="s">
        <v>1827</v>
      </c>
      <c r="C1441" s="9" t="s">
        <v>1752</v>
      </c>
      <c r="D1441" s="9" t="s">
        <v>1752</v>
      </c>
      <c r="E1441" s="15">
        <f t="shared" si="22"/>
        <v>1</v>
      </c>
    </row>
    <row r="1442" spans="1:5" x14ac:dyDescent="0.35">
      <c r="A1442" s="11" t="s">
        <v>1629</v>
      </c>
      <c r="B1442" s="9" t="s">
        <v>1752</v>
      </c>
      <c r="C1442" s="9" t="s">
        <v>1752</v>
      </c>
      <c r="D1442" s="9" t="s">
        <v>1752</v>
      </c>
      <c r="E1442" s="15">
        <f t="shared" si="22"/>
        <v>1</v>
      </c>
    </row>
    <row r="1443" spans="1:5" x14ac:dyDescent="0.35">
      <c r="A1443" s="11" t="s">
        <v>1630</v>
      </c>
      <c r="B1443" s="9" t="s">
        <v>1752</v>
      </c>
      <c r="C1443" s="9" t="s">
        <v>1752</v>
      </c>
      <c r="D1443" s="9" t="s">
        <v>1752</v>
      </c>
      <c r="E1443" s="15">
        <f t="shared" si="22"/>
        <v>1</v>
      </c>
    </row>
    <row r="1444" spans="1:5" x14ac:dyDescent="0.35">
      <c r="A1444" s="11" t="s">
        <v>1631</v>
      </c>
      <c r="B1444" s="9" t="s">
        <v>1752</v>
      </c>
      <c r="C1444" s="9" t="s">
        <v>1752</v>
      </c>
      <c r="D1444" s="9" t="s">
        <v>1752</v>
      </c>
      <c r="E1444" s="15">
        <f t="shared" si="22"/>
        <v>1</v>
      </c>
    </row>
    <row r="1445" spans="1:5" x14ac:dyDescent="0.35">
      <c r="A1445" s="10" t="s">
        <v>1632</v>
      </c>
      <c r="B1445" s="9" t="s">
        <v>1752</v>
      </c>
      <c r="C1445" s="9" t="s">
        <v>1752</v>
      </c>
      <c r="D1445" s="9" t="s">
        <v>1752</v>
      </c>
      <c r="E1445" s="15">
        <f t="shared" si="22"/>
        <v>1</v>
      </c>
    </row>
    <row r="1446" spans="1:5" x14ac:dyDescent="0.35">
      <c r="A1446" s="10" t="s">
        <v>1633</v>
      </c>
      <c r="B1446" s="9" t="s">
        <v>1752</v>
      </c>
      <c r="C1446" s="9" t="s">
        <v>1752</v>
      </c>
      <c r="D1446" s="9" t="s">
        <v>1752</v>
      </c>
      <c r="E1446" s="15">
        <f t="shared" si="22"/>
        <v>1</v>
      </c>
    </row>
    <row r="1447" spans="1:5" x14ac:dyDescent="0.35">
      <c r="A1447" s="11" t="s">
        <v>1634</v>
      </c>
      <c r="B1447" s="9" t="s">
        <v>1752</v>
      </c>
      <c r="C1447" s="9" t="s">
        <v>1752</v>
      </c>
      <c r="D1447" s="9" t="s">
        <v>1752</v>
      </c>
      <c r="E1447" s="15">
        <f t="shared" si="22"/>
        <v>1</v>
      </c>
    </row>
    <row r="1448" spans="1:5" x14ac:dyDescent="0.35">
      <c r="A1448" s="11" t="s">
        <v>1635</v>
      </c>
      <c r="B1448" s="9" t="s">
        <v>1827</v>
      </c>
      <c r="C1448" s="9" t="s">
        <v>1752</v>
      </c>
      <c r="D1448" s="9" t="s">
        <v>1752</v>
      </c>
      <c r="E1448" s="15">
        <f t="shared" si="22"/>
        <v>1</v>
      </c>
    </row>
    <row r="1449" spans="1:5" x14ac:dyDescent="0.35">
      <c r="A1449" s="10" t="s">
        <v>1636</v>
      </c>
      <c r="B1449" s="9" t="s">
        <v>1752</v>
      </c>
      <c r="C1449" s="9" t="s">
        <v>1752</v>
      </c>
      <c r="D1449" s="9" t="s">
        <v>1752</v>
      </c>
      <c r="E1449" s="15">
        <f t="shared" si="22"/>
        <v>1</v>
      </c>
    </row>
    <row r="1450" spans="1:5" x14ac:dyDescent="0.35">
      <c r="A1450" s="11" t="s">
        <v>1637</v>
      </c>
      <c r="B1450" s="9" t="s">
        <v>1752</v>
      </c>
      <c r="C1450" s="9" t="s">
        <v>1752</v>
      </c>
      <c r="D1450" s="9" t="s">
        <v>1752</v>
      </c>
      <c r="E1450" s="15">
        <f t="shared" si="22"/>
        <v>1</v>
      </c>
    </row>
    <row r="1451" spans="1:5" x14ac:dyDescent="0.35">
      <c r="A1451" s="10" t="s">
        <v>1638</v>
      </c>
      <c r="B1451" s="9" t="s">
        <v>1827</v>
      </c>
      <c r="C1451" s="9" t="s">
        <v>1752</v>
      </c>
      <c r="D1451" s="9" t="s">
        <v>1752</v>
      </c>
      <c r="E1451" s="15">
        <f t="shared" si="22"/>
        <v>1</v>
      </c>
    </row>
    <row r="1452" spans="1:5" x14ac:dyDescent="0.35">
      <c r="A1452" s="10" t="s">
        <v>1639</v>
      </c>
      <c r="B1452" s="9" t="s">
        <v>1752</v>
      </c>
      <c r="C1452" s="9" t="s">
        <v>1752</v>
      </c>
      <c r="D1452" s="9" t="s">
        <v>1752</v>
      </c>
      <c r="E1452" s="15">
        <f t="shared" si="22"/>
        <v>1</v>
      </c>
    </row>
    <row r="1453" spans="1:5" x14ac:dyDescent="0.35">
      <c r="A1453" s="10" t="s">
        <v>1640</v>
      </c>
      <c r="B1453" s="9" t="s">
        <v>1752</v>
      </c>
      <c r="C1453" s="9" t="s">
        <v>1752</v>
      </c>
      <c r="D1453" s="9" t="s">
        <v>1752</v>
      </c>
      <c r="E1453" s="15">
        <f t="shared" si="22"/>
        <v>1</v>
      </c>
    </row>
    <row r="1454" spans="1:5" x14ac:dyDescent="0.35">
      <c r="A1454" s="11" t="s">
        <v>1641</v>
      </c>
      <c r="B1454" s="9" t="s">
        <v>1752</v>
      </c>
      <c r="C1454" s="9" t="s">
        <v>1752</v>
      </c>
      <c r="D1454" s="9" t="s">
        <v>1752</v>
      </c>
      <c r="E1454" s="15">
        <f t="shared" si="22"/>
        <v>1</v>
      </c>
    </row>
    <row r="1455" spans="1:5" x14ac:dyDescent="0.35">
      <c r="A1455" s="10" t="s">
        <v>1642</v>
      </c>
      <c r="B1455" s="9" t="s">
        <v>1752</v>
      </c>
      <c r="C1455" s="9" t="s">
        <v>1752</v>
      </c>
      <c r="D1455" s="9" t="s">
        <v>1752</v>
      </c>
      <c r="E1455" s="15">
        <f t="shared" si="22"/>
        <v>1</v>
      </c>
    </row>
    <row r="1456" spans="1:5" x14ac:dyDescent="0.35">
      <c r="A1456" s="11" t="s">
        <v>1643</v>
      </c>
      <c r="B1456" s="9" t="s">
        <v>1752</v>
      </c>
      <c r="C1456" s="9" t="s">
        <v>1752</v>
      </c>
      <c r="D1456" s="9" t="s">
        <v>1752</v>
      </c>
      <c r="E1456" s="15">
        <f t="shared" si="22"/>
        <v>1</v>
      </c>
    </row>
    <row r="1457" spans="1:5" x14ac:dyDescent="0.35">
      <c r="A1457" s="10" t="s">
        <v>1644</v>
      </c>
      <c r="B1457" s="9" t="s">
        <v>1752</v>
      </c>
      <c r="C1457" s="9" t="s">
        <v>1752</v>
      </c>
      <c r="D1457" s="9" t="s">
        <v>1752</v>
      </c>
      <c r="E1457" s="15">
        <f t="shared" si="22"/>
        <v>1</v>
      </c>
    </row>
    <row r="1458" spans="1:5" x14ac:dyDescent="0.35">
      <c r="A1458" s="10" t="s">
        <v>1645</v>
      </c>
      <c r="B1458" s="9" t="s">
        <v>1752</v>
      </c>
      <c r="C1458" s="9" t="s">
        <v>1752</v>
      </c>
      <c r="D1458" s="9" t="s">
        <v>1752</v>
      </c>
      <c r="E1458" s="15">
        <f t="shared" si="22"/>
        <v>1</v>
      </c>
    </row>
    <row r="1459" spans="1:5" x14ac:dyDescent="0.35">
      <c r="A1459" s="11" t="s">
        <v>1646</v>
      </c>
      <c r="B1459" s="9" t="s">
        <v>1752</v>
      </c>
      <c r="C1459" s="9" t="s">
        <v>1752</v>
      </c>
      <c r="D1459" s="9" t="s">
        <v>1752</v>
      </c>
      <c r="E1459" s="15">
        <f t="shared" si="22"/>
        <v>1</v>
      </c>
    </row>
    <row r="1460" spans="1:5" x14ac:dyDescent="0.35">
      <c r="A1460" s="11" t="s">
        <v>1647</v>
      </c>
      <c r="B1460" s="9" t="s">
        <v>1752</v>
      </c>
      <c r="C1460" s="9" t="s">
        <v>1752</v>
      </c>
      <c r="D1460" s="9" t="s">
        <v>1752</v>
      </c>
      <c r="E1460" s="15">
        <f t="shared" si="22"/>
        <v>1</v>
      </c>
    </row>
    <row r="1461" spans="1:5" x14ac:dyDescent="0.35">
      <c r="A1461" s="11" t="s">
        <v>1648</v>
      </c>
      <c r="B1461" s="9" t="s">
        <v>1752</v>
      </c>
      <c r="C1461" s="9" t="s">
        <v>1752</v>
      </c>
      <c r="D1461" s="9" t="s">
        <v>1752</v>
      </c>
      <c r="E1461" s="15">
        <f t="shared" si="22"/>
        <v>1</v>
      </c>
    </row>
    <row r="1462" spans="1:5" x14ac:dyDescent="0.35">
      <c r="A1462" s="10" t="s">
        <v>1649</v>
      </c>
      <c r="B1462" s="9" t="s">
        <v>1752</v>
      </c>
      <c r="C1462" s="9" t="s">
        <v>1752</v>
      </c>
      <c r="D1462" s="9" t="s">
        <v>1752</v>
      </c>
      <c r="E1462" s="15">
        <f t="shared" si="22"/>
        <v>1</v>
      </c>
    </row>
    <row r="1463" spans="1:5" x14ac:dyDescent="0.35">
      <c r="A1463" s="11" t="s">
        <v>1650</v>
      </c>
      <c r="B1463" s="9" t="s">
        <v>1827</v>
      </c>
      <c r="C1463" s="9" t="s">
        <v>1752</v>
      </c>
      <c r="D1463" s="9" t="s">
        <v>1752</v>
      </c>
      <c r="E1463" s="15">
        <f t="shared" si="22"/>
        <v>1</v>
      </c>
    </row>
    <row r="1464" spans="1:5" x14ac:dyDescent="0.35">
      <c r="A1464" s="10" t="s">
        <v>1651</v>
      </c>
      <c r="B1464" s="9" t="s">
        <v>1752</v>
      </c>
      <c r="C1464" s="9" t="s">
        <v>1752</v>
      </c>
      <c r="D1464" s="9" t="s">
        <v>1752</v>
      </c>
      <c r="E1464" s="15">
        <f t="shared" si="22"/>
        <v>1</v>
      </c>
    </row>
    <row r="1465" spans="1:5" x14ac:dyDescent="0.35">
      <c r="A1465" s="11" t="s">
        <v>1652</v>
      </c>
      <c r="B1465" s="9" t="s">
        <v>1752</v>
      </c>
      <c r="C1465" s="9" t="s">
        <v>1752</v>
      </c>
      <c r="D1465" s="9" t="s">
        <v>1752</v>
      </c>
      <c r="E1465" s="15">
        <f t="shared" si="22"/>
        <v>1</v>
      </c>
    </row>
    <row r="1466" spans="1:5" x14ac:dyDescent="0.35">
      <c r="A1466" s="10" t="s">
        <v>1653</v>
      </c>
      <c r="B1466" s="9" t="s">
        <v>1752</v>
      </c>
      <c r="C1466" s="9" t="s">
        <v>1752</v>
      </c>
      <c r="D1466" s="9" t="s">
        <v>1752</v>
      </c>
      <c r="E1466" s="15">
        <f t="shared" si="22"/>
        <v>1</v>
      </c>
    </row>
    <row r="1467" spans="1:5" x14ac:dyDescent="0.35">
      <c r="A1467" s="11" t="s">
        <v>1654</v>
      </c>
      <c r="B1467" s="9" t="s">
        <v>1752</v>
      </c>
      <c r="C1467" s="9" t="s">
        <v>1752</v>
      </c>
      <c r="D1467" s="9" t="s">
        <v>1752</v>
      </c>
      <c r="E1467" s="15">
        <f t="shared" si="22"/>
        <v>1</v>
      </c>
    </row>
    <row r="1468" spans="1:5" x14ac:dyDescent="0.35">
      <c r="A1468" s="11" t="s">
        <v>1655</v>
      </c>
      <c r="B1468" s="9" t="s">
        <v>1752</v>
      </c>
      <c r="C1468" s="9" t="s">
        <v>1752</v>
      </c>
      <c r="D1468" s="9" t="s">
        <v>1752</v>
      </c>
      <c r="E1468" s="15">
        <f t="shared" si="22"/>
        <v>1</v>
      </c>
    </row>
    <row r="1469" spans="1:5" x14ac:dyDescent="0.35">
      <c r="A1469" s="10" t="s">
        <v>1656</v>
      </c>
      <c r="B1469" s="9" t="s">
        <v>1752</v>
      </c>
      <c r="C1469" s="9" t="s">
        <v>1752</v>
      </c>
      <c r="D1469" s="9" t="s">
        <v>1752</v>
      </c>
      <c r="E1469" s="15">
        <f t="shared" si="22"/>
        <v>1</v>
      </c>
    </row>
    <row r="1470" spans="1:5" x14ac:dyDescent="0.35">
      <c r="A1470" s="11" t="s">
        <v>1657</v>
      </c>
      <c r="B1470" s="9" t="s">
        <v>1752</v>
      </c>
      <c r="C1470" s="9" t="s">
        <v>1752</v>
      </c>
      <c r="D1470" s="9" t="s">
        <v>1752</v>
      </c>
      <c r="E1470" s="15">
        <f t="shared" si="22"/>
        <v>1</v>
      </c>
    </row>
    <row r="1471" spans="1:5" x14ac:dyDescent="0.35">
      <c r="A1471" s="10" t="s">
        <v>1658</v>
      </c>
      <c r="B1471" s="9" t="s">
        <v>1752</v>
      </c>
      <c r="C1471" s="9" t="s">
        <v>1752</v>
      </c>
      <c r="D1471" s="9" t="s">
        <v>1752</v>
      </c>
      <c r="E1471" s="15">
        <f t="shared" si="22"/>
        <v>1</v>
      </c>
    </row>
    <row r="1472" spans="1:5" x14ac:dyDescent="0.35">
      <c r="A1472" s="11" t="s">
        <v>1659</v>
      </c>
      <c r="B1472" s="9" t="s">
        <v>1752</v>
      </c>
      <c r="C1472" s="9" t="s">
        <v>1752</v>
      </c>
      <c r="D1472" s="9" t="s">
        <v>1752</v>
      </c>
      <c r="E1472" s="15">
        <f t="shared" si="22"/>
        <v>1</v>
      </c>
    </row>
    <row r="1473" spans="1:5" x14ac:dyDescent="0.35">
      <c r="A1473" s="10" t="s">
        <v>1660</v>
      </c>
      <c r="B1473" s="9" t="s">
        <v>1752</v>
      </c>
      <c r="C1473" s="9" t="s">
        <v>1752</v>
      </c>
      <c r="D1473" s="9" t="s">
        <v>1752</v>
      </c>
      <c r="E1473" s="15">
        <f t="shared" si="22"/>
        <v>1</v>
      </c>
    </row>
    <row r="1474" spans="1:5" x14ac:dyDescent="0.35">
      <c r="A1474" s="11" t="s">
        <v>1661</v>
      </c>
      <c r="B1474" s="9" t="s">
        <v>1752</v>
      </c>
      <c r="C1474" s="9" t="s">
        <v>1752</v>
      </c>
      <c r="D1474" s="9" t="s">
        <v>1752</v>
      </c>
      <c r="E1474" s="15">
        <f t="shared" si="22"/>
        <v>1</v>
      </c>
    </row>
    <row r="1475" spans="1:5" x14ac:dyDescent="0.35">
      <c r="A1475" s="10" t="s">
        <v>1662</v>
      </c>
      <c r="B1475" s="9" t="s">
        <v>1752</v>
      </c>
      <c r="C1475" s="9" t="s">
        <v>1752</v>
      </c>
      <c r="D1475" s="9" t="s">
        <v>1752</v>
      </c>
      <c r="E1475" s="15">
        <f t="shared" ref="E1475:E1538" si="23">IF(COUNTIF(B1475:D1475,"Y")&gt;0,1,0)</f>
        <v>1</v>
      </c>
    </row>
    <row r="1476" spans="1:5" x14ac:dyDescent="0.35">
      <c r="A1476" s="11" t="s">
        <v>1663</v>
      </c>
      <c r="B1476" s="9" t="s">
        <v>1752</v>
      </c>
      <c r="C1476" s="9" t="s">
        <v>1752</v>
      </c>
      <c r="D1476" s="9" t="s">
        <v>1752</v>
      </c>
      <c r="E1476" s="15">
        <f t="shared" si="23"/>
        <v>1</v>
      </c>
    </row>
    <row r="1477" spans="1:5" x14ac:dyDescent="0.35">
      <c r="A1477" s="10" t="s">
        <v>1664</v>
      </c>
      <c r="B1477" s="9" t="s">
        <v>1752</v>
      </c>
      <c r="C1477" s="9" t="s">
        <v>1752</v>
      </c>
      <c r="D1477" s="9" t="s">
        <v>1752</v>
      </c>
      <c r="E1477" s="15">
        <f t="shared" si="23"/>
        <v>1</v>
      </c>
    </row>
    <row r="1478" spans="1:5" x14ac:dyDescent="0.35">
      <c r="A1478" s="10" t="s">
        <v>1665</v>
      </c>
      <c r="B1478" s="9" t="s">
        <v>1752</v>
      </c>
      <c r="C1478" s="9" t="s">
        <v>1752</v>
      </c>
      <c r="D1478" s="9" t="s">
        <v>1752</v>
      </c>
      <c r="E1478" s="15">
        <f t="shared" si="23"/>
        <v>1</v>
      </c>
    </row>
    <row r="1479" spans="1:5" x14ac:dyDescent="0.35">
      <c r="A1479" s="11" t="s">
        <v>1666</v>
      </c>
      <c r="B1479" s="9" t="s">
        <v>1752</v>
      </c>
      <c r="C1479" s="9" t="s">
        <v>1752</v>
      </c>
      <c r="D1479" s="9" t="s">
        <v>1752</v>
      </c>
      <c r="E1479" s="15">
        <f t="shared" si="23"/>
        <v>1</v>
      </c>
    </row>
    <row r="1480" spans="1:5" x14ac:dyDescent="0.35">
      <c r="A1480" s="11" t="s">
        <v>1667</v>
      </c>
      <c r="B1480" s="9" t="s">
        <v>1752</v>
      </c>
      <c r="C1480" s="9" t="s">
        <v>1752</v>
      </c>
      <c r="D1480" s="9" t="s">
        <v>1752</v>
      </c>
      <c r="E1480" s="15">
        <f t="shared" si="23"/>
        <v>1</v>
      </c>
    </row>
    <row r="1481" spans="1:5" x14ac:dyDescent="0.35">
      <c r="A1481" s="10" t="s">
        <v>1668</v>
      </c>
      <c r="B1481" s="9" t="s">
        <v>1752</v>
      </c>
      <c r="C1481" s="9" t="s">
        <v>1752</v>
      </c>
      <c r="D1481" s="9" t="s">
        <v>1752</v>
      </c>
      <c r="E1481" s="15">
        <f t="shared" si="23"/>
        <v>1</v>
      </c>
    </row>
    <row r="1482" spans="1:5" x14ac:dyDescent="0.35">
      <c r="A1482" s="11" t="s">
        <v>1669</v>
      </c>
      <c r="B1482" s="9" t="s">
        <v>1752</v>
      </c>
      <c r="C1482" s="9" t="s">
        <v>1752</v>
      </c>
      <c r="D1482" s="9" t="s">
        <v>1752</v>
      </c>
      <c r="E1482" s="15">
        <f t="shared" si="23"/>
        <v>1</v>
      </c>
    </row>
    <row r="1483" spans="1:5" x14ac:dyDescent="0.35">
      <c r="A1483" s="10" t="s">
        <v>1670</v>
      </c>
      <c r="B1483" s="9" t="s">
        <v>1752</v>
      </c>
      <c r="C1483" s="9" t="s">
        <v>1752</v>
      </c>
      <c r="D1483" s="9" t="s">
        <v>1752</v>
      </c>
      <c r="E1483" s="15">
        <f t="shared" si="23"/>
        <v>1</v>
      </c>
    </row>
    <row r="1484" spans="1:5" x14ac:dyDescent="0.35">
      <c r="A1484" s="11" t="s">
        <v>1671</v>
      </c>
      <c r="B1484" s="9" t="s">
        <v>1752</v>
      </c>
      <c r="C1484" s="9" t="s">
        <v>1752</v>
      </c>
      <c r="D1484" s="9" t="s">
        <v>1752</v>
      </c>
      <c r="E1484" s="15">
        <f t="shared" si="23"/>
        <v>1</v>
      </c>
    </row>
    <row r="1485" spans="1:5" x14ac:dyDescent="0.35">
      <c r="A1485" s="10" t="s">
        <v>1672</v>
      </c>
      <c r="B1485" s="9" t="s">
        <v>1752</v>
      </c>
      <c r="C1485" s="9" t="s">
        <v>1752</v>
      </c>
      <c r="D1485" s="9" t="s">
        <v>1752</v>
      </c>
      <c r="E1485" s="15">
        <f t="shared" si="23"/>
        <v>1</v>
      </c>
    </row>
    <row r="1486" spans="1:5" x14ac:dyDescent="0.35">
      <c r="A1486" s="11" t="s">
        <v>1673</v>
      </c>
      <c r="B1486" s="9" t="s">
        <v>1752</v>
      </c>
      <c r="C1486" s="9" t="s">
        <v>1752</v>
      </c>
      <c r="D1486" s="9" t="s">
        <v>1752</v>
      </c>
      <c r="E1486" s="15">
        <f t="shared" si="23"/>
        <v>1</v>
      </c>
    </row>
    <row r="1487" spans="1:5" x14ac:dyDescent="0.35">
      <c r="A1487" s="10" t="s">
        <v>1674</v>
      </c>
      <c r="B1487" s="9" t="s">
        <v>1752</v>
      </c>
      <c r="C1487" s="9" t="s">
        <v>1752</v>
      </c>
      <c r="D1487" s="9" t="s">
        <v>1752</v>
      </c>
      <c r="E1487" s="15">
        <f t="shared" si="23"/>
        <v>1</v>
      </c>
    </row>
    <row r="1488" spans="1:5" x14ac:dyDescent="0.35">
      <c r="A1488" s="11" t="s">
        <v>1675</v>
      </c>
      <c r="B1488" s="9" t="s">
        <v>1752</v>
      </c>
      <c r="C1488" s="9" t="s">
        <v>1752</v>
      </c>
      <c r="D1488" s="9" t="s">
        <v>1752</v>
      </c>
      <c r="E1488" s="15">
        <f t="shared" si="23"/>
        <v>1</v>
      </c>
    </row>
    <row r="1489" spans="1:5" x14ac:dyDescent="0.35">
      <c r="A1489" s="10" t="s">
        <v>1676</v>
      </c>
      <c r="B1489" s="9" t="s">
        <v>1752</v>
      </c>
      <c r="C1489" s="9" t="s">
        <v>1752</v>
      </c>
      <c r="D1489" s="9" t="s">
        <v>1752</v>
      </c>
      <c r="E1489" s="15">
        <f t="shared" si="23"/>
        <v>1</v>
      </c>
    </row>
    <row r="1490" spans="1:5" x14ac:dyDescent="0.35">
      <c r="A1490" s="11" t="s">
        <v>1677</v>
      </c>
      <c r="B1490" s="9" t="s">
        <v>1827</v>
      </c>
      <c r="C1490" s="9" t="s">
        <v>1752</v>
      </c>
      <c r="D1490" s="9" t="s">
        <v>1752</v>
      </c>
      <c r="E1490" s="15">
        <f t="shared" si="23"/>
        <v>1</v>
      </c>
    </row>
    <row r="1491" spans="1:5" x14ac:dyDescent="0.35">
      <c r="A1491" s="10" t="s">
        <v>1678</v>
      </c>
      <c r="B1491" s="9" t="s">
        <v>1752</v>
      </c>
      <c r="C1491" s="9" t="s">
        <v>1752</v>
      </c>
      <c r="D1491" s="9" t="s">
        <v>1752</v>
      </c>
      <c r="E1491" s="15">
        <f t="shared" si="23"/>
        <v>1</v>
      </c>
    </row>
    <row r="1492" spans="1:5" x14ac:dyDescent="0.35">
      <c r="A1492" s="10" t="s">
        <v>1679</v>
      </c>
      <c r="B1492" s="9" t="s">
        <v>1752</v>
      </c>
      <c r="C1492" s="9" t="s">
        <v>1752</v>
      </c>
      <c r="D1492" s="9" t="s">
        <v>1752</v>
      </c>
      <c r="E1492" s="15">
        <f t="shared" si="23"/>
        <v>1</v>
      </c>
    </row>
    <row r="1493" spans="1:5" x14ac:dyDescent="0.35">
      <c r="A1493" s="10" t="s">
        <v>1680</v>
      </c>
      <c r="B1493" s="9" t="s">
        <v>1752</v>
      </c>
      <c r="C1493" s="9" t="s">
        <v>1752</v>
      </c>
      <c r="D1493" s="9" t="s">
        <v>1752</v>
      </c>
      <c r="E1493" s="15">
        <f t="shared" si="23"/>
        <v>1</v>
      </c>
    </row>
    <row r="1494" spans="1:5" x14ac:dyDescent="0.35">
      <c r="A1494" s="11" t="s">
        <v>1681</v>
      </c>
      <c r="B1494" s="9" t="s">
        <v>1752</v>
      </c>
      <c r="C1494" s="9" t="s">
        <v>1752</v>
      </c>
      <c r="D1494" s="9" t="s">
        <v>1752</v>
      </c>
      <c r="E1494" s="15">
        <f t="shared" si="23"/>
        <v>1</v>
      </c>
    </row>
    <row r="1495" spans="1:5" x14ac:dyDescent="0.35">
      <c r="A1495" s="10" t="s">
        <v>1682</v>
      </c>
      <c r="B1495" s="9" t="s">
        <v>1752</v>
      </c>
      <c r="C1495" s="9" t="s">
        <v>1752</v>
      </c>
      <c r="D1495" s="9" t="s">
        <v>1752</v>
      </c>
      <c r="E1495" s="15">
        <f t="shared" si="23"/>
        <v>1</v>
      </c>
    </row>
    <row r="1496" spans="1:5" x14ac:dyDescent="0.35">
      <c r="A1496" s="10" t="s">
        <v>1683</v>
      </c>
      <c r="B1496" s="9" t="s">
        <v>1752</v>
      </c>
      <c r="C1496" s="9" t="s">
        <v>1752</v>
      </c>
      <c r="D1496" s="9" t="s">
        <v>1752</v>
      </c>
      <c r="E1496" s="15">
        <f t="shared" si="23"/>
        <v>1</v>
      </c>
    </row>
    <row r="1497" spans="1:5" x14ac:dyDescent="0.35">
      <c r="A1497" s="11" t="s">
        <v>1684</v>
      </c>
      <c r="B1497" s="9" t="s">
        <v>1752</v>
      </c>
      <c r="C1497" s="9" t="s">
        <v>1752</v>
      </c>
      <c r="D1497" s="9" t="s">
        <v>1752</v>
      </c>
      <c r="E1497" s="15">
        <f t="shared" si="23"/>
        <v>1</v>
      </c>
    </row>
    <row r="1498" spans="1:5" x14ac:dyDescent="0.35">
      <c r="A1498" s="11" t="s">
        <v>1685</v>
      </c>
      <c r="B1498" s="9" t="s">
        <v>1752</v>
      </c>
      <c r="C1498" s="9" t="s">
        <v>1752</v>
      </c>
      <c r="D1498" s="9" t="s">
        <v>1752</v>
      </c>
      <c r="E1498" s="15">
        <f t="shared" si="23"/>
        <v>1</v>
      </c>
    </row>
    <row r="1499" spans="1:5" x14ac:dyDescent="0.35">
      <c r="A1499" s="11" t="s">
        <v>1686</v>
      </c>
      <c r="B1499" s="9" t="s">
        <v>1752</v>
      </c>
      <c r="C1499" s="9" t="s">
        <v>1752</v>
      </c>
      <c r="D1499" s="9" t="s">
        <v>1752</v>
      </c>
      <c r="E1499" s="15">
        <f t="shared" si="23"/>
        <v>1</v>
      </c>
    </row>
    <row r="1500" spans="1:5" x14ac:dyDescent="0.35">
      <c r="A1500" s="11" t="s">
        <v>1687</v>
      </c>
      <c r="B1500" s="9" t="s">
        <v>1752</v>
      </c>
      <c r="C1500" s="9" t="s">
        <v>1752</v>
      </c>
      <c r="D1500" s="9" t="s">
        <v>1752</v>
      </c>
      <c r="E1500" s="15">
        <f t="shared" si="23"/>
        <v>1</v>
      </c>
    </row>
    <row r="1501" spans="1:5" x14ac:dyDescent="0.35">
      <c r="A1501" s="10" t="s">
        <v>1688</v>
      </c>
      <c r="B1501" s="9" t="s">
        <v>1752</v>
      </c>
      <c r="C1501" s="9" t="s">
        <v>1752</v>
      </c>
      <c r="D1501" s="9" t="s">
        <v>1752</v>
      </c>
      <c r="E1501" s="15">
        <f t="shared" si="23"/>
        <v>1</v>
      </c>
    </row>
    <row r="1502" spans="1:5" x14ac:dyDescent="0.35">
      <c r="A1502" s="11" t="s">
        <v>1689</v>
      </c>
      <c r="B1502" s="9" t="s">
        <v>1752</v>
      </c>
      <c r="C1502" s="9" t="s">
        <v>1752</v>
      </c>
      <c r="D1502" s="9" t="s">
        <v>1752</v>
      </c>
      <c r="E1502" s="15">
        <f t="shared" si="23"/>
        <v>1</v>
      </c>
    </row>
    <row r="1503" spans="1:5" x14ac:dyDescent="0.35">
      <c r="A1503" s="10" t="s">
        <v>1690</v>
      </c>
      <c r="B1503" s="9" t="s">
        <v>1752</v>
      </c>
      <c r="C1503" s="9" t="s">
        <v>1752</v>
      </c>
      <c r="D1503" s="9" t="s">
        <v>1752</v>
      </c>
      <c r="E1503" s="15">
        <f t="shared" si="23"/>
        <v>1</v>
      </c>
    </row>
    <row r="1504" spans="1:5" x14ac:dyDescent="0.35">
      <c r="A1504" s="11" t="s">
        <v>1691</v>
      </c>
      <c r="B1504" s="9" t="s">
        <v>1752</v>
      </c>
      <c r="C1504" s="9" t="s">
        <v>1752</v>
      </c>
      <c r="D1504" s="9" t="s">
        <v>1752</v>
      </c>
      <c r="E1504" s="15">
        <f t="shared" si="23"/>
        <v>1</v>
      </c>
    </row>
    <row r="1505" spans="1:5" x14ac:dyDescent="0.35">
      <c r="A1505" s="11" t="s">
        <v>1692</v>
      </c>
      <c r="B1505" s="9" t="s">
        <v>1752</v>
      </c>
      <c r="C1505" s="9" t="s">
        <v>1752</v>
      </c>
      <c r="D1505" s="9" t="s">
        <v>1752</v>
      </c>
      <c r="E1505" s="15">
        <f t="shared" si="23"/>
        <v>1</v>
      </c>
    </row>
    <row r="1506" spans="1:5" x14ac:dyDescent="0.35">
      <c r="A1506" s="10" t="s">
        <v>1693</v>
      </c>
      <c r="B1506" s="9" t="s">
        <v>1752</v>
      </c>
      <c r="C1506" s="9" t="s">
        <v>1752</v>
      </c>
      <c r="D1506" s="9" t="s">
        <v>1752</v>
      </c>
      <c r="E1506" s="15">
        <f t="shared" si="23"/>
        <v>1</v>
      </c>
    </row>
    <row r="1507" spans="1:5" x14ac:dyDescent="0.35">
      <c r="A1507" s="10" t="s">
        <v>1694</v>
      </c>
      <c r="B1507" s="9" t="s">
        <v>1752</v>
      </c>
      <c r="C1507" s="9" t="s">
        <v>1752</v>
      </c>
      <c r="D1507" s="9" t="s">
        <v>1752</v>
      </c>
      <c r="E1507" s="15">
        <f t="shared" si="23"/>
        <v>1</v>
      </c>
    </row>
    <row r="1508" spans="1:5" x14ac:dyDescent="0.35">
      <c r="A1508" s="11" t="s">
        <v>1695</v>
      </c>
      <c r="B1508" s="9" t="s">
        <v>1752</v>
      </c>
      <c r="C1508" s="9" t="s">
        <v>1752</v>
      </c>
      <c r="D1508" s="9" t="s">
        <v>1752</v>
      </c>
      <c r="E1508" s="15">
        <f t="shared" si="23"/>
        <v>1</v>
      </c>
    </row>
    <row r="1509" spans="1:5" x14ac:dyDescent="0.35">
      <c r="A1509" s="10" t="s">
        <v>1696</v>
      </c>
      <c r="B1509" s="9" t="s">
        <v>1752</v>
      </c>
      <c r="C1509" s="9" t="s">
        <v>1752</v>
      </c>
      <c r="D1509" s="9" t="s">
        <v>1752</v>
      </c>
      <c r="E1509" s="15">
        <f t="shared" si="23"/>
        <v>1</v>
      </c>
    </row>
    <row r="1510" spans="1:5" x14ac:dyDescent="0.35">
      <c r="A1510" s="11" t="s">
        <v>1697</v>
      </c>
      <c r="B1510" s="9" t="s">
        <v>1752</v>
      </c>
      <c r="C1510" s="9" t="s">
        <v>1752</v>
      </c>
      <c r="D1510" s="9" t="s">
        <v>1752</v>
      </c>
      <c r="E1510" s="15">
        <f t="shared" si="23"/>
        <v>1</v>
      </c>
    </row>
    <row r="1511" spans="1:5" x14ac:dyDescent="0.35">
      <c r="A1511" s="10" t="s">
        <v>1698</v>
      </c>
      <c r="B1511" s="9" t="s">
        <v>1752</v>
      </c>
      <c r="C1511" s="9" t="s">
        <v>1752</v>
      </c>
      <c r="D1511" s="9" t="s">
        <v>1752</v>
      </c>
      <c r="E1511" s="15">
        <f t="shared" si="23"/>
        <v>1</v>
      </c>
    </row>
    <row r="1512" spans="1:5" x14ac:dyDescent="0.35">
      <c r="A1512" s="11" t="s">
        <v>1699</v>
      </c>
      <c r="B1512" s="9" t="s">
        <v>1752</v>
      </c>
      <c r="C1512" s="9" t="s">
        <v>1752</v>
      </c>
      <c r="D1512" s="9" t="s">
        <v>1752</v>
      </c>
      <c r="E1512" s="15">
        <f t="shared" si="23"/>
        <v>1</v>
      </c>
    </row>
    <row r="1513" spans="1:5" x14ac:dyDescent="0.35">
      <c r="A1513" s="10" t="s">
        <v>1700</v>
      </c>
      <c r="B1513" s="9" t="s">
        <v>1752</v>
      </c>
      <c r="C1513" s="9" t="s">
        <v>1752</v>
      </c>
      <c r="D1513" s="9" t="s">
        <v>1752</v>
      </c>
      <c r="E1513" s="15">
        <f t="shared" si="23"/>
        <v>1</v>
      </c>
    </row>
    <row r="1514" spans="1:5" x14ac:dyDescent="0.35">
      <c r="A1514" s="11" t="s">
        <v>1701</v>
      </c>
      <c r="B1514" s="9" t="s">
        <v>1752</v>
      </c>
      <c r="C1514" s="9" t="s">
        <v>1752</v>
      </c>
      <c r="D1514" s="9" t="s">
        <v>1752</v>
      </c>
      <c r="E1514" s="15">
        <f t="shared" si="23"/>
        <v>1</v>
      </c>
    </row>
    <row r="1515" spans="1:5" x14ac:dyDescent="0.35">
      <c r="A1515" s="10" t="s">
        <v>1702</v>
      </c>
      <c r="B1515" s="9" t="s">
        <v>1752</v>
      </c>
      <c r="C1515" s="9" t="s">
        <v>1752</v>
      </c>
      <c r="D1515" s="9" t="s">
        <v>1752</v>
      </c>
      <c r="E1515" s="15">
        <f t="shared" si="23"/>
        <v>1</v>
      </c>
    </row>
    <row r="1516" spans="1:5" x14ac:dyDescent="0.35">
      <c r="A1516" s="11" t="s">
        <v>1703</v>
      </c>
      <c r="B1516" s="9" t="s">
        <v>1752</v>
      </c>
      <c r="C1516" s="9" t="s">
        <v>1752</v>
      </c>
      <c r="D1516" s="9" t="s">
        <v>1752</v>
      </c>
      <c r="E1516" s="15">
        <f t="shared" si="23"/>
        <v>1</v>
      </c>
    </row>
    <row r="1517" spans="1:5" x14ac:dyDescent="0.35">
      <c r="A1517" s="10" t="s">
        <v>1704</v>
      </c>
      <c r="B1517" s="9" t="s">
        <v>1752</v>
      </c>
      <c r="C1517" s="9" t="s">
        <v>1752</v>
      </c>
      <c r="D1517" s="9" t="s">
        <v>1752</v>
      </c>
      <c r="E1517" s="15">
        <f t="shared" si="23"/>
        <v>1</v>
      </c>
    </row>
    <row r="1518" spans="1:5" x14ac:dyDescent="0.35">
      <c r="A1518" s="11" t="s">
        <v>1705</v>
      </c>
      <c r="B1518" s="9" t="s">
        <v>1752</v>
      </c>
      <c r="C1518" s="9" t="s">
        <v>1752</v>
      </c>
      <c r="D1518" s="9" t="s">
        <v>1752</v>
      </c>
      <c r="E1518" s="15">
        <f t="shared" si="23"/>
        <v>1</v>
      </c>
    </row>
    <row r="1519" spans="1:5" x14ac:dyDescent="0.35">
      <c r="A1519" s="10" t="s">
        <v>1706</v>
      </c>
      <c r="B1519" s="9" t="s">
        <v>1752</v>
      </c>
      <c r="C1519" s="9" t="s">
        <v>1752</v>
      </c>
      <c r="D1519" s="9" t="s">
        <v>1752</v>
      </c>
      <c r="E1519" s="15">
        <f t="shared" si="23"/>
        <v>1</v>
      </c>
    </row>
    <row r="1520" spans="1:5" x14ac:dyDescent="0.35">
      <c r="A1520" s="11" t="s">
        <v>1707</v>
      </c>
      <c r="B1520" s="9" t="s">
        <v>1752</v>
      </c>
      <c r="C1520" s="9" t="s">
        <v>1752</v>
      </c>
      <c r="D1520" s="9" t="s">
        <v>1752</v>
      </c>
      <c r="E1520" s="15">
        <f t="shared" si="23"/>
        <v>1</v>
      </c>
    </row>
    <row r="1521" spans="1:5" x14ac:dyDescent="0.35">
      <c r="A1521" s="10" t="s">
        <v>1708</v>
      </c>
      <c r="B1521" s="9" t="s">
        <v>1752</v>
      </c>
      <c r="C1521" s="9" t="s">
        <v>1752</v>
      </c>
      <c r="D1521" s="9" t="s">
        <v>1827</v>
      </c>
      <c r="E1521" s="15">
        <f t="shared" si="23"/>
        <v>1</v>
      </c>
    </row>
    <row r="1522" spans="1:5" x14ac:dyDescent="0.35">
      <c r="A1522" s="10" t="s">
        <v>1709</v>
      </c>
      <c r="B1522" s="9" t="s">
        <v>1752</v>
      </c>
      <c r="C1522" s="9" t="s">
        <v>1752</v>
      </c>
      <c r="D1522" s="9" t="s">
        <v>1752</v>
      </c>
      <c r="E1522" s="15">
        <f t="shared" si="23"/>
        <v>1</v>
      </c>
    </row>
    <row r="1523" spans="1:5" x14ac:dyDescent="0.35">
      <c r="A1523" s="11" t="s">
        <v>1710</v>
      </c>
      <c r="B1523" s="9" t="s">
        <v>1752</v>
      </c>
      <c r="C1523" s="9" t="s">
        <v>1752</v>
      </c>
      <c r="D1523" s="9" t="s">
        <v>1752</v>
      </c>
      <c r="E1523" s="15">
        <f t="shared" si="23"/>
        <v>1</v>
      </c>
    </row>
    <row r="1524" spans="1:5" x14ac:dyDescent="0.35">
      <c r="A1524" s="10" t="s">
        <v>1711</v>
      </c>
      <c r="B1524" s="9" t="s">
        <v>1752</v>
      </c>
      <c r="C1524" s="9" t="s">
        <v>1752</v>
      </c>
      <c r="D1524" s="9" t="s">
        <v>1752</v>
      </c>
      <c r="E1524" s="15">
        <f t="shared" si="23"/>
        <v>1</v>
      </c>
    </row>
    <row r="1525" spans="1:5" x14ac:dyDescent="0.35">
      <c r="A1525" s="11" t="s">
        <v>1712</v>
      </c>
      <c r="B1525" s="9" t="s">
        <v>1752</v>
      </c>
      <c r="C1525" s="9" t="s">
        <v>1752</v>
      </c>
      <c r="D1525" s="9" t="s">
        <v>1752</v>
      </c>
      <c r="E1525" s="15">
        <f t="shared" si="23"/>
        <v>1</v>
      </c>
    </row>
    <row r="1526" spans="1:5" x14ac:dyDescent="0.35">
      <c r="A1526" s="10" t="s">
        <v>1713</v>
      </c>
      <c r="B1526" s="9" t="s">
        <v>1752</v>
      </c>
      <c r="C1526" s="9" t="s">
        <v>1752</v>
      </c>
      <c r="D1526" s="9" t="s">
        <v>1752</v>
      </c>
      <c r="E1526" s="15">
        <f t="shared" si="23"/>
        <v>1</v>
      </c>
    </row>
    <row r="1527" spans="1:5" x14ac:dyDescent="0.35">
      <c r="A1527" s="10" t="s">
        <v>1714</v>
      </c>
      <c r="B1527" s="9" t="s">
        <v>1752</v>
      </c>
      <c r="C1527" s="9" t="s">
        <v>1752</v>
      </c>
      <c r="D1527" s="9" t="s">
        <v>1752</v>
      </c>
      <c r="E1527" s="15">
        <f t="shared" si="23"/>
        <v>1</v>
      </c>
    </row>
    <row r="1528" spans="1:5" x14ac:dyDescent="0.35">
      <c r="A1528" s="11" t="s">
        <v>1715</v>
      </c>
      <c r="B1528" s="9" t="s">
        <v>1752</v>
      </c>
      <c r="C1528" s="9" t="s">
        <v>1752</v>
      </c>
      <c r="D1528" s="9" t="s">
        <v>1752</v>
      </c>
      <c r="E1528" s="15">
        <f t="shared" si="23"/>
        <v>1</v>
      </c>
    </row>
    <row r="1529" spans="1:5" x14ac:dyDescent="0.35">
      <c r="A1529" s="10" t="s">
        <v>1716</v>
      </c>
      <c r="B1529" s="9" t="s">
        <v>1752</v>
      </c>
      <c r="C1529" s="9" t="s">
        <v>1752</v>
      </c>
      <c r="D1529" s="9" t="s">
        <v>1752</v>
      </c>
      <c r="E1529" s="15">
        <f t="shared" si="23"/>
        <v>1</v>
      </c>
    </row>
    <row r="1530" spans="1:5" x14ac:dyDescent="0.35">
      <c r="A1530" s="10" t="s">
        <v>1717</v>
      </c>
      <c r="B1530" s="9" t="s">
        <v>1752</v>
      </c>
      <c r="C1530" s="9" t="s">
        <v>1752</v>
      </c>
      <c r="D1530" s="9" t="s">
        <v>1827</v>
      </c>
      <c r="E1530" s="15">
        <f t="shared" si="23"/>
        <v>1</v>
      </c>
    </row>
    <row r="1531" spans="1:5" x14ac:dyDescent="0.35">
      <c r="A1531" s="11" t="s">
        <v>1718</v>
      </c>
      <c r="B1531" s="9" t="s">
        <v>1752</v>
      </c>
      <c r="C1531" s="9" t="s">
        <v>1752</v>
      </c>
      <c r="D1531" s="9" t="s">
        <v>1752</v>
      </c>
      <c r="E1531" s="15">
        <f t="shared" si="23"/>
        <v>1</v>
      </c>
    </row>
    <row r="1532" spans="1:5" x14ac:dyDescent="0.35">
      <c r="A1532" s="10" t="s">
        <v>1719</v>
      </c>
      <c r="B1532" s="9" t="s">
        <v>1752</v>
      </c>
      <c r="C1532" s="9" t="s">
        <v>1752</v>
      </c>
      <c r="D1532" s="9" t="s">
        <v>1752</v>
      </c>
      <c r="E1532" s="15">
        <f t="shared" si="23"/>
        <v>1</v>
      </c>
    </row>
    <row r="1533" spans="1:5" x14ac:dyDescent="0.35">
      <c r="A1533" s="11" t="s">
        <v>1720</v>
      </c>
      <c r="B1533" s="9" t="s">
        <v>1752</v>
      </c>
      <c r="C1533" s="9" t="s">
        <v>1752</v>
      </c>
      <c r="D1533" s="9" t="s">
        <v>1752</v>
      </c>
      <c r="E1533" s="15">
        <f t="shared" si="23"/>
        <v>1</v>
      </c>
    </row>
    <row r="1534" spans="1:5" x14ac:dyDescent="0.35">
      <c r="A1534" s="10" t="s">
        <v>1721</v>
      </c>
      <c r="B1534" s="9" t="s">
        <v>1752</v>
      </c>
      <c r="C1534" s="9" t="s">
        <v>1752</v>
      </c>
      <c r="D1534" s="9" t="s">
        <v>1752</v>
      </c>
      <c r="E1534" s="15">
        <f t="shared" si="23"/>
        <v>1</v>
      </c>
    </row>
    <row r="1535" spans="1:5" x14ac:dyDescent="0.35">
      <c r="A1535" s="11" t="s">
        <v>1722</v>
      </c>
      <c r="B1535" s="9" t="s">
        <v>1752</v>
      </c>
      <c r="C1535" s="9" t="s">
        <v>1752</v>
      </c>
      <c r="D1535" s="9" t="s">
        <v>1752</v>
      </c>
      <c r="E1535" s="15">
        <f t="shared" si="23"/>
        <v>1</v>
      </c>
    </row>
    <row r="1536" spans="1:5" x14ac:dyDescent="0.35">
      <c r="A1536" s="10" t="s">
        <v>1723</v>
      </c>
      <c r="B1536" s="9" t="s">
        <v>1752</v>
      </c>
      <c r="C1536" s="9" t="s">
        <v>1752</v>
      </c>
      <c r="D1536" s="9" t="s">
        <v>1752</v>
      </c>
      <c r="E1536" s="15">
        <f t="shared" si="23"/>
        <v>1</v>
      </c>
    </row>
    <row r="1537" spans="1:5" x14ac:dyDescent="0.35">
      <c r="A1537" s="11" t="s">
        <v>1724</v>
      </c>
      <c r="B1537" s="9" t="s">
        <v>1752</v>
      </c>
      <c r="C1537" s="9" t="s">
        <v>1752</v>
      </c>
      <c r="D1537" s="9" t="s">
        <v>1827</v>
      </c>
      <c r="E1537" s="15">
        <f t="shared" si="23"/>
        <v>1</v>
      </c>
    </row>
    <row r="1538" spans="1:5" x14ac:dyDescent="0.35">
      <c r="A1538" s="10" t="s">
        <v>1725</v>
      </c>
      <c r="B1538" s="9" t="s">
        <v>1752</v>
      </c>
      <c r="C1538" s="9" t="s">
        <v>1752</v>
      </c>
      <c r="D1538" s="9" t="s">
        <v>1752</v>
      </c>
      <c r="E1538" s="15">
        <f t="shared" si="23"/>
        <v>1</v>
      </c>
    </row>
    <row r="1539" spans="1:5" x14ac:dyDescent="0.35">
      <c r="A1539" s="11" t="s">
        <v>1726</v>
      </c>
      <c r="B1539" s="9" t="s">
        <v>1752</v>
      </c>
      <c r="C1539" s="9" t="s">
        <v>1752</v>
      </c>
      <c r="D1539" s="9" t="s">
        <v>1752</v>
      </c>
      <c r="E1539" s="15">
        <f t="shared" ref="E1539:E1602" si="24">IF(COUNTIF(B1539:D1539,"Y")&gt;0,1,0)</f>
        <v>1</v>
      </c>
    </row>
    <row r="1540" spans="1:5" x14ac:dyDescent="0.35">
      <c r="A1540" s="10" t="s">
        <v>1727</v>
      </c>
      <c r="B1540" s="9" t="s">
        <v>1752</v>
      </c>
      <c r="C1540" s="9" t="s">
        <v>1752</v>
      </c>
      <c r="D1540" s="9" t="s">
        <v>1752</v>
      </c>
      <c r="E1540" s="15">
        <f t="shared" si="24"/>
        <v>1</v>
      </c>
    </row>
    <row r="1541" spans="1:5" x14ac:dyDescent="0.35">
      <c r="A1541" s="11" t="s">
        <v>1728</v>
      </c>
      <c r="B1541" s="9" t="s">
        <v>1752</v>
      </c>
      <c r="C1541" s="9" t="s">
        <v>1752</v>
      </c>
      <c r="D1541" s="9" t="s">
        <v>1752</v>
      </c>
      <c r="E1541" s="15">
        <f t="shared" si="24"/>
        <v>1</v>
      </c>
    </row>
    <row r="1542" spans="1:5" x14ac:dyDescent="0.35">
      <c r="A1542" s="10" t="s">
        <v>1729</v>
      </c>
      <c r="B1542" s="9" t="s">
        <v>1752</v>
      </c>
      <c r="C1542" s="9" t="s">
        <v>1752</v>
      </c>
      <c r="D1542" s="9" t="s">
        <v>1752</v>
      </c>
      <c r="E1542" s="15">
        <f t="shared" si="24"/>
        <v>1</v>
      </c>
    </row>
    <row r="1543" spans="1:5" x14ac:dyDescent="0.35">
      <c r="A1543" s="11" t="s">
        <v>1730</v>
      </c>
      <c r="B1543" s="9" t="s">
        <v>1752</v>
      </c>
      <c r="C1543" s="9" t="s">
        <v>1752</v>
      </c>
      <c r="D1543" s="9" t="s">
        <v>1752</v>
      </c>
      <c r="E1543" s="15">
        <f t="shared" si="24"/>
        <v>1</v>
      </c>
    </row>
    <row r="1544" spans="1:5" x14ac:dyDescent="0.35">
      <c r="A1544" s="10" t="s">
        <v>1731</v>
      </c>
      <c r="B1544" s="9" t="s">
        <v>1752</v>
      </c>
      <c r="C1544" s="9" t="s">
        <v>1752</v>
      </c>
      <c r="D1544" s="9" t="s">
        <v>1752</v>
      </c>
      <c r="E1544" s="15">
        <f t="shared" si="24"/>
        <v>1</v>
      </c>
    </row>
    <row r="1545" spans="1:5" x14ac:dyDescent="0.35">
      <c r="A1545" s="11" t="s">
        <v>1732</v>
      </c>
      <c r="B1545" s="9" t="s">
        <v>1752</v>
      </c>
      <c r="C1545" s="9" t="s">
        <v>1752</v>
      </c>
      <c r="D1545" s="9" t="s">
        <v>1752</v>
      </c>
      <c r="E1545" s="15">
        <f t="shared" si="24"/>
        <v>1</v>
      </c>
    </row>
    <row r="1546" spans="1:5" x14ac:dyDescent="0.35">
      <c r="A1546" s="10" t="s">
        <v>1733</v>
      </c>
      <c r="B1546" s="9" t="s">
        <v>1827</v>
      </c>
      <c r="C1546" s="9" t="s">
        <v>1752</v>
      </c>
      <c r="D1546" s="9" t="s">
        <v>1752</v>
      </c>
      <c r="E1546" s="15">
        <f t="shared" si="24"/>
        <v>1</v>
      </c>
    </row>
    <row r="1547" spans="1:5" x14ac:dyDescent="0.35">
      <c r="A1547" s="11" t="s">
        <v>1734</v>
      </c>
      <c r="B1547" s="9" t="s">
        <v>1827</v>
      </c>
      <c r="C1547" s="9" t="s">
        <v>1752</v>
      </c>
      <c r="D1547" s="9" t="s">
        <v>1752</v>
      </c>
      <c r="E1547" s="15">
        <f t="shared" si="24"/>
        <v>1</v>
      </c>
    </row>
    <row r="1548" spans="1:5" x14ac:dyDescent="0.35">
      <c r="A1548" s="10" t="s">
        <v>1735</v>
      </c>
      <c r="B1548" s="9" t="s">
        <v>1827</v>
      </c>
      <c r="C1548" s="9" t="s">
        <v>1752</v>
      </c>
      <c r="D1548" s="9" t="s">
        <v>1752</v>
      </c>
      <c r="E1548" s="15">
        <f t="shared" si="24"/>
        <v>1</v>
      </c>
    </row>
    <row r="1549" spans="1:5" x14ac:dyDescent="0.35">
      <c r="A1549" s="11" t="s">
        <v>1736</v>
      </c>
      <c r="B1549" s="9" t="s">
        <v>1827</v>
      </c>
      <c r="C1549" s="9" t="s">
        <v>1752</v>
      </c>
      <c r="D1549" s="9" t="s">
        <v>1752</v>
      </c>
      <c r="E1549" s="15">
        <f t="shared" si="24"/>
        <v>1</v>
      </c>
    </row>
    <row r="1550" spans="1:5" x14ac:dyDescent="0.35">
      <c r="A1550" s="10" t="s">
        <v>1737</v>
      </c>
      <c r="B1550" s="9" t="s">
        <v>1827</v>
      </c>
      <c r="C1550" s="9" t="s">
        <v>1752</v>
      </c>
      <c r="D1550" s="9" t="s">
        <v>1752</v>
      </c>
      <c r="E1550" s="15">
        <f t="shared" si="24"/>
        <v>1</v>
      </c>
    </row>
    <row r="1551" spans="1:5" x14ac:dyDescent="0.35">
      <c r="A1551" s="10" t="s">
        <v>1738</v>
      </c>
      <c r="B1551" s="9" t="s">
        <v>1752</v>
      </c>
      <c r="C1551" s="9" t="s">
        <v>1752</v>
      </c>
      <c r="D1551" s="9" t="s">
        <v>1752</v>
      </c>
      <c r="E1551" s="15">
        <f t="shared" si="24"/>
        <v>1</v>
      </c>
    </row>
    <row r="1552" spans="1:5" x14ac:dyDescent="0.35">
      <c r="A1552" s="11" t="s">
        <v>1739</v>
      </c>
      <c r="B1552" s="9" t="s">
        <v>1752</v>
      </c>
      <c r="C1552" s="9" t="s">
        <v>1752</v>
      </c>
      <c r="D1552" s="9" t="s">
        <v>1752</v>
      </c>
      <c r="E1552" s="15">
        <f t="shared" si="24"/>
        <v>1</v>
      </c>
    </row>
    <row r="1553" spans="1:5" x14ac:dyDescent="0.35">
      <c r="A1553" s="10" t="s">
        <v>1740</v>
      </c>
      <c r="B1553" s="9" t="s">
        <v>1752</v>
      </c>
      <c r="C1553" s="9" t="s">
        <v>1752</v>
      </c>
      <c r="D1553" s="9" t="s">
        <v>1752</v>
      </c>
      <c r="E1553" s="15">
        <f t="shared" si="24"/>
        <v>1</v>
      </c>
    </row>
    <row r="1554" spans="1:5" x14ac:dyDescent="0.35">
      <c r="A1554" s="11" t="s">
        <v>1741</v>
      </c>
      <c r="B1554" s="9" t="s">
        <v>1752</v>
      </c>
      <c r="C1554" s="9" t="s">
        <v>1752</v>
      </c>
      <c r="D1554" s="9" t="s">
        <v>1752</v>
      </c>
      <c r="E1554" s="15">
        <f t="shared" si="24"/>
        <v>1</v>
      </c>
    </row>
    <row r="1555" spans="1:5" x14ac:dyDescent="0.35">
      <c r="A1555" s="11" t="s">
        <v>1742</v>
      </c>
      <c r="B1555" s="9" t="s">
        <v>1752</v>
      </c>
      <c r="C1555" s="9" t="s">
        <v>1752</v>
      </c>
      <c r="D1555" s="9" t="s">
        <v>1752</v>
      </c>
      <c r="E1555" s="15">
        <f t="shared" si="24"/>
        <v>1</v>
      </c>
    </row>
    <row r="1556" spans="1:5" x14ac:dyDescent="0.35">
      <c r="A1556" s="10" t="s">
        <v>1743</v>
      </c>
      <c r="B1556" s="9" t="s">
        <v>1752</v>
      </c>
      <c r="C1556" s="9" t="s">
        <v>1752</v>
      </c>
      <c r="D1556" s="9" t="s">
        <v>1752</v>
      </c>
      <c r="E1556" s="15">
        <f t="shared" si="24"/>
        <v>1</v>
      </c>
    </row>
    <row r="1557" spans="1:5" x14ac:dyDescent="0.35">
      <c r="A1557" s="11" t="s">
        <v>1744</v>
      </c>
      <c r="B1557" s="9" t="s">
        <v>1752</v>
      </c>
      <c r="C1557" s="9" t="s">
        <v>1752</v>
      </c>
      <c r="D1557" s="9" t="s">
        <v>1752</v>
      </c>
      <c r="E1557" s="15">
        <f t="shared" si="24"/>
        <v>1</v>
      </c>
    </row>
    <row r="1558" spans="1:5" x14ac:dyDescent="0.35">
      <c r="A1558" s="10" t="s">
        <v>1745</v>
      </c>
      <c r="B1558" s="9" t="s">
        <v>1752</v>
      </c>
      <c r="C1558" s="9" t="s">
        <v>1752</v>
      </c>
      <c r="D1558" s="9" t="s">
        <v>1752</v>
      </c>
      <c r="E1558" s="15">
        <f t="shared" si="24"/>
        <v>1</v>
      </c>
    </row>
    <row r="1559" spans="1:5" x14ac:dyDescent="0.35">
      <c r="A1559" s="11" t="s">
        <v>1746</v>
      </c>
      <c r="B1559" s="9" t="s">
        <v>1752</v>
      </c>
      <c r="C1559" s="9" t="s">
        <v>1752</v>
      </c>
      <c r="D1559" s="9" t="s">
        <v>1752</v>
      </c>
      <c r="E1559" s="15">
        <f t="shared" si="24"/>
        <v>1</v>
      </c>
    </row>
    <row r="1560" spans="1:5" x14ac:dyDescent="0.35">
      <c r="A1560" s="11" t="s">
        <v>1747</v>
      </c>
      <c r="B1560" s="9" t="s">
        <v>1752</v>
      </c>
      <c r="C1560" s="9" t="s">
        <v>1752</v>
      </c>
      <c r="D1560" s="9" t="s">
        <v>1827</v>
      </c>
      <c r="E1560" s="15">
        <f t="shared" si="24"/>
        <v>1</v>
      </c>
    </row>
    <row r="1561" spans="1:5" x14ac:dyDescent="0.35">
      <c r="A1561" s="12" t="s">
        <v>1753</v>
      </c>
      <c r="B1561" s="9" t="s">
        <v>1752</v>
      </c>
      <c r="C1561" s="9" t="s">
        <v>1827</v>
      </c>
      <c r="D1561" s="9" t="s">
        <v>1827</v>
      </c>
      <c r="E1561" s="15">
        <f t="shared" si="24"/>
        <v>1</v>
      </c>
    </row>
    <row r="1562" spans="1:5" x14ac:dyDescent="0.35">
      <c r="A1562" s="13" t="s">
        <v>1754</v>
      </c>
      <c r="B1562" s="9" t="s">
        <v>1752</v>
      </c>
      <c r="C1562" s="9" t="s">
        <v>1827</v>
      </c>
      <c r="D1562" s="9" t="s">
        <v>1827</v>
      </c>
      <c r="E1562" s="15">
        <f t="shared" si="24"/>
        <v>1</v>
      </c>
    </row>
    <row r="1563" spans="1:5" x14ac:dyDescent="0.35">
      <c r="A1563" s="13" t="s">
        <v>1755</v>
      </c>
      <c r="B1563" s="9" t="s">
        <v>1752</v>
      </c>
      <c r="C1563" s="9" t="s">
        <v>1827</v>
      </c>
      <c r="D1563" s="9" t="s">
        <v>1827</v>
      </c>
      <c r="E1563" s="15">
        <f t="shared" si="24"/>
        <v>1</v>
      </c>
    </row>
    <row r="1564" spans="1:5" x14ac:dyDescent="0.35">
      <c r="A1564" s="13" t="s">
        <v>1756</v>
      </c>
      <c r="B1564" s="9" t="s">
        <v>1752</v>
      </c>
      <c r="C1564" s="9" t="s">
        <v>1827</v>
      </c>
      <c r="D1564" s="9" t="s">
        <v>1827</v>
      </c>
      <c r="E1564" s="15">
        <f t="shared" si="24"/>
        <v>1</v>
      </c>
    </row>
    <row r="1565" spans="1:5" x14ac:dyDescent="0.35">
      <c r="A1565" s="12" t="s">
        <v>1757</v>
      </c>
      <c r="B1565" s="9" t="s">
        <v>1752</v>
      </c>
      <c r="C1565" s="9" t="s">
        <v>1827</v>
      </c>
      <c r="D1565" s="9" t="s">
        <v>1827</v>
      </c>
      <c r="E1565" s="15">
        <f t="shared" si="24"/>
        <v>1</v>
      </c>
    </row>
    <row r="1566" spans="1:5" x14ac:dyDescent="0.35">
      <c r="A1566" s="12" t="s">
        <v>1758</v>
      </c>
      <c r="B1566" s="9" t="s">
        <v>1752</v>
      </c>
      <c r="C1566" s="9" t="s">
        <v>1827</v>
      </c>
      <c r="D1566" s="9" t="s">
        <v>1827</v>
      </c>
      <c r="E1566" s="15">
        <f t="shared" si="24"/>
        <v>1</v>
      </c>
    </row>
    <row r="1567" spans="1:5" x14ac:dyDescent="0.35">
      <c r="A1567" s="12" t="s">
        <v>1759</v>
      </c>
      <c r="B1567" s="9" t="s">
        <v>1752</v>
      </c>
      <c r="C1567" s="9" t="s">
        <v>1827</v>
      </c>
      <c r="D1567" s="9" t="s">
        <v>1827</v>
      </c>
      <c r="E1567" s="15">
        <f t="shared" si="24"/>
        <v>1</v>
      </c>
    </row>
    <row r="1568" spans="1:5" x14ac:dyDescent="0.35">
      <c r="A1568" s="12" t="s">
        <v>1760</v>
      </c>
      <c r="B1568" s="9" t="s">
        <v>1752</v>
      </c>
      <c r="C1568" s="9" t="s">
        <v>1827</v>
      </c>
      <c r="D1568" s="9" t="s">
        <v>1827</v>
      </c>
      <c r="E1568" s="15">
        <f t="shared" si="24"/>
        <v>1</v>
      </c>
    </row>
    <row r="1569" spans="1:5" x14ac:dyDescent="0.35">
      <c r="A1569" s="13" t="s">
        <v>1761</v>
      </c>
      <c r="B1569" s="9" t="s">
        <v>1752</v>
      </c>
      <c r="C1569" s="9" t="s">
        <v>1827</v>
      </c>
      <c r="D1569" s="9" t="s">
        <v>1827</v>
      </c>
      <c r="E1569" s="15">
        <f t="shared" si="24"/>
        <v>1</v>
      </c>
    </row>
    <row r="1570" spans="1:5" x14ac:dyDescent="0.35">
      <c r="A1570" s="12" t="s">
        <v>1762</v>
      </c>
      <c r="B1570" s="9" t="s">
        <v>1752</v>
      </c>
      <c r="C1570" s="9" t="s">
        <v>1827</v>
      </c>
      <c r="D1570" s="9" t="s">
        <v>1827</v>
      </c>
      <c r="E1570" s="15">
        <f t="shared" si="24"/>
        <v>1</v>
      </c>
    </row>
    <row r="1571" spans="1:5" x14ac:dyDescent="0.35">
      <c r="A1571" s="12" t="s">
        <v>1763</v>
      </c>
      <c r="B1571" s="9" t="s">
        <v>1752</v>
      </c>
      <c r="C1571" s="9" t="s">
        <v>1827</v>
      </c>
      <c r="D1571" s="9" t="s">
        <v>1827</v>
      </c>
      <c r="E1571" s="15">
        <f t="shared" si="24"/>
        <v>1</v>
      </c>
    </row>
    <row r="1572" spans="1:5" x14ac:dyDescent="0.35">
      <c r="A1572" s="12" t="s">
        <v>1764</v>
      </c>
      <c r="B1572" s="9" t="s">
        <v>1752</v>
      </c>
      <c r="C1572" s="9" t="s">
        <v>1827</v>
      </c>
      <c r="D1572" s="9" t="s">
        <v>1827</v>
      </c>
      <c r="E1572" s="15">
        <f t="shared" si="24"/>
        <v>1</v>
      </c>
    </row>
    <row r="1573" spans="1:5" x14ac:dyDescent="0.35">
      <c r="A1573" s="12" t="s">
        <v>1765</v>
      </c>
      <c r="B1573" s="9" t="s">
        <v>1752</v>
      </c>
      <c r="C1573" s="9" t="s">
        <v>1827</v>
      </c>
      <c r="D1573" s="9" t="s">
        <v>1827</v>
      </c>
      <c r="E1573" s="15">
        <f t="shared" si="24"/>
        <v>1</v>
      </c>
    </row>
    <row r="1574" spans="1:5" x14ac:dyDescent="0.35">
      <c r="A1574" s="12" t="s">
        <v>1766</v>
      </c>
      <c r="B1574" s="9" t="s">
        <v>1752</v>
      </c>
      <c r="C1574" s="9" t="s">
        <v>1827</v>
      </c>
      <c r="D1574" s="9" t="s">
        <v>1827</v>
      </c>
      <c r="E1574" s="15">
        <f t="shared" si="24"/>
        <v>1</v>
      </c>
    </row>
    <row r="1575" spans="1:5" x14ac:dyDescent="0.35">
      <c r="A1575" s="13" t="s">
        <v>1767</v>
      </c>
      <c r="B1575" s="9" t="s">
        <v>1752</v>
      </c>
      <c r="C1575" s="9" t="s">
        <v>1827</v>
      </c>
      <c r="D1575" s="9" t="s">
        <v>1827</v>
      </c>
      <c r="E1575" s="15">
        <f t="shared" si="24"/>
        <v>1</v>
      </c>
    </row>
    <row r="1576" spans="1:5" x14ac:dyDescent="0.35">
      <c r="A1576" s="12" t="s">
        <v>1768</v>
      </c>
      <c r="B1576" s="9" t="s">
        <v>1752</v>
      </c>
      <c r="C1576" s="9" t="s">
        <v>1827</v>
      </c>
      <c r="D1576" s="9" t="s">
        <v>1827</v>
      </c>
      <c r="E1576" s="15">
        <f t="shared" si="24"/>
        <v>1</v>
      </c>
    </row>
    <row r="1577" spans="1:5" x14ac:dyDescent="0.35">
      <c r="A1577" s="13" t="s">
        <v>1769</v>
      </c>
      <c r="B1577" s="9" t="s">
        <v>1752</v>
      </c>
      <c r="C1577" s="9" t="s">
        <v>1827</v>
      </c>
      <c r="D1577" s="9" t="s">
        <v>1752</v>
      </c>
      <c r="E1577" s="15">
        <f t="shared" si="24"/>
        <v>1</v>
      </c>
    </row>
    <row r="1578" spans="1:5" x14ac:dyDescent="0.35">
      <c r="A1578" s="12" t="s">
        <v>1770</v>
      </c>
      <c r="B1578" s="9" t="s">
        <v>1752</v>
      </c>
      <c r="C1578" s="9" t="s">
        <v>1827</v>
      </c>
      <c r="D1578" s="9" t="s">
        <v>1827</v>
      </c>
      <c r="E1578" s="15">
        <f t="shared" si="24"/>
        <v>1</v>
      </c>
    </row>
    <row r="1579" spans="1:5" x14ac:dyDescent="0.35">
      <c r="A1579" s="12" t="s">
        <v>1771</v>
      </c>
      <c r="B1579" s="9" t="s">
        <v>1752</v>
      </c>
      <c r="C1579" s="9" t="s">
        <v>1827</v>
      </c>
      <c r="D1579" s="9" t="s">
        <v>1752</v>
      </c>
      <c r="E1579" s="15">
        <f t="shared" si="24"/>
        <v>1</v>
      </c>
    </row>
    <row r="1580" spans="1:5" x14ac:dyDescent="0.35">
      <c r="A1580" s="13" t="s">
        <v>1772</v>
      </c>
      <c r="B1580" s="9" t="s">
        <v>1752</v>
      </c>
      <c r="C1580" s="9" t="s">
        <v>1827</v>
      </c>
      <c r="D1580" s="9" t="s">
        <v>1827</v>
      </c>
      <c r="E1580" s="15">
        <f t="shared" si="24"/>
        <v>1</v>
      </c>
    </row>
    <row r="1581" spans="1:5" x14ac:dyDescent="0.35">
      <c r="A1581" s="13" t="s">
        <v>1773</v>
      </c>
      <c r="B1581" s="9" t="s">
        <v>1752</v>
      </c>
      <c r="C1581" s="9" t="s">
        <v>1827</v>
      </c>
      <c r="D1581" s="9" t="s">
        <v>1752</v>
      </c>
      <c r="E1581" s="15">
        <f t="shared" si="24"/>
        <v>1</v>
      </c>
    </row>
    <row r="1582" spans="1:5" x14ac:dyDescent="0.35">
      <c r="A1582" s="12" t="s">
        <v>1774</v>
      </c>
      <c r="B1582" s="9" t="s">
        <v>1752</v>
      </c>
      <c r="C1582" s="9" t="s">
        <v>1827</v>
      </c>
      <c r="D1582" s="9" t="s">
        <v>1827</v>
      </c>
      <c r="E1582" s="15">
        <f t="shared" si="24"/>
        <v>1</v>
      </c>
    </row>
    <row r="1583" spans="1:5" x14ac:dyDescent="0.35">
      <c r="A1583" s="12" t="s">
        <v>1775</v>
      </c>
      <c r="B1583" s="9" t="s">
        <v>1752</v>
      </c>
      <c r="C1583" s="9" t="s">
        <v>1827</v>
      </c>
      <c r="D1583" s="9" t="s">
        <v>1752</v>
      </c>
      <c r="E1583" s="15">
        <f t="shared" si="24"/>
        <v>1</v>
      </c>
    </row>
    <row r="1584" spans="1:5" x14ac:dyDescent="0.35">
      <c r="A1584" s="12" t="s">
        <v>1776</v>
      </c>
      <c r="B1584" s="9" t="s">
        <v>1752</v>
      </c>
      <c r="C1584" s="9" t="s">
        <v>1827</v>
      </c>
      <c r="D1584" s="9" t="s">
        <v>1827</v>
      </c>
      <c r="E1584" s="15">
        <f t="shared" si="24"/>
        <v>1</v>
      </c>
    </row>
    <row r="1585" spans="1:5" x14ac:dyDescent="0.35">
      <c r="A1585" s="12" t="s">
        <v>1777</v>
      </c>
      <c r="B1585" s="9" t="s">
        <v>1752</v>
      </c>
      <c r="C1585" s="9" t="s">
        <v>1827</v>
      </c>
      <c r="D1585" s="9" t="s">
        <v>1827</v>
      </c>
      <c r="E1585" s="15">
        <f t="shared" si="24"/>
        <v>1</v>
      </c>
    </row>
    <row r="1586" spans="1:5" x14ac:dyDescent="0.35">
      <c r="A1586" s="12" t="s">
        <v>1778</v>
      </c>
      <c r="B1586" s="9" t="s">
        <v>1752</v>
      </c>
      <c r="C1586" s="9" t="s">
        <v>1827</v>
      </c>
      <c r="D1586" s="9" t="s">
        <v>1827</v>
      </c>
      <c r="E1586" s="15">
        <f t="shared" si="24"/>
        <v>1</v>
      </c>
    </row>
    <row r="1587" spans="1:5" x14ac:dyDescent="0.35">
      <c r="A1587" s="13" t="s">
        <v>1779</v>
      </c>
      <c r="B1587" s="9" t="s">
        <v>1752</v>
      </c>
      <c r="C1587" s="9" t="s">
        <v>1827</v>
      </c>
      <c r="D1587" s="9" t="s">
        <v>1827</v>
      </c>
      <c r="E1587" s="15">
        <f t="shared" si="24"/>
        <v>1</v>
      </c>
    </row>
    <row r="1588" spans="1:5" x14ac:dyDescent="0.35">
      <c r="A1588" s="13" t="s">
        <v>1780</v>
      </c>
      <c r="B1588" s="9" t="s">
        <v>1752</v>
      </c>
      <c r="C1588" s="9" t="s">
        <v>1827</v>
      </c>
      <c r="D1588" s="9" t="s">
        <v>1827</v>
      </c>
      <c r="E1588" s="15">
        <f t="shared" si="24"/>
        <v>1</v>
      </c>
    </row>
    <row r="1589" spans="1:5" x14ac:dyDescent="0.35">
      <c r="A1589" s="12" t="s">
        <v>1781</v>
      </c>
      <c r="B1589" s="9" t="s">
        <v>1752</v>
      </c>
      <c r="C1589" s="9" t="s">
        <v>1827</v>
      </c>
      <c r="D1589" s="9" t="s">
        <v>1827</v>
      </c>
      <c r="E1589" s="15">
        <f t="shared" si="24"/>
        <v>1</v>
      </c>
    </row>
    <row r="1590" spans="1:5" x14ac:dyDescent="0.35">
      <c r="A1590" s="12" t="s">
        <v>1782</v>
      </c>
      <c r="B1590" s="9" t="s">
        <v>1752</v>
      </c>
      <c r="C1590" s="9" t="s">
        <v>1827</v>
      </c>
      <c r="D1590" s="9" t="s">
        <v>1827</v>
      </c>
      <c r="E1590" s="15">
        <f t="shared" si="24"/>
        <v>1</v>
      </c>
    </row>
    <row r="1591" spans="1:5" x14ac:dyDescent="0.35">
      <c r="A1591" s="13" t="s">
        <v>1783</v>
      </c>
      <c r="B1591" s="9" t="s">
        <v>1752</v>
      </c>
      <c r="C1591" s="9" t="s">
        <v>1827</v>
      </c>
      <c r="D1591" s="9" t="s">
        <v>1827</v>
      </c>
      <c r="E1591" s="15">
        <f t="shared" si="24"/>
        <v>1</v>
      </c>
    </row>
    <row r="1592" spans="1:5" x14ac:dyDescent="0.35">
      <c r="A1592" s="12" t="s">
        <v>1784</v>
      </c>
      <c r="B1592" s="9" t="s">
        <v>1752</v>
      </c>
      <c r="C1592" s="9" t="s">
        <v>1827</v>
      </c>
      <c r="D1592" s="9" t="s">
        <v>1827</v>
      </c>
      <c r="E1592" s="15">
        <f t="shared" si="24"/>
        <v>1</v>
      </c>
    </row>
    <row r="1593" spans="1:5" x14ac:dyDescent="0.35">
      <c r="A1593" s="12" t="s">
        <v>1785</v>
      </c>
      <c r="B1593" s="9" t="s">
        <v>1752</v>
      </c>
      <c r="C1593" s="9" t="s">
        <v>1827</v>
      </c>
      <c r="D1593" s="9" t="s">
        <v>1827</v>
      </c>
      <c r="E1593" s="15">
        <f t="shared" si="24"/>
        <v>1</v>
      </c>
    </row>
    <row r="1594" spans="1:5" x14ac:dyDescent="0.35">
      <c r="A1594" s="12" t="s">
        <v>1786</v>
      </c>
      <c r="B1594" s="9" t="s">
        <v>1752</v>
      </c>
      <c r="C1594" s="9" t="s">
        <v>1827</v>
      </c>
      <c r="D1594" s="9" t="s">
        <v>1827</v>
      </c>
      <c r="E1594" s="15">
        <f t="shared" si="24"/>
        <v>1</v>
      </c>
    </row>
    <row r="1595" spans="1:5" x14ac:dyDescent="0.35">
      <c r="A1595" s="13" t="s">
        <v>1787</v>
      </c>
      <c r="B1595" s="9" t="s">
        <v>1752</v>
      </c>
      <c r="C1595" s="9" t="s">
        <v>1827</v>
      </c>
      <c r="D1595" s="9" t="s">
        <v>1827</v>
      </c>
      <c r="E1595" s="15">
        <f t="shared" si="24"/>
        <v>1</v>
      </c>
    </row>
    <row r="1596" spans="1:5" x14ac:dyDescent="0.35">
      <c r="A1596" s="12" t="s">
        <v>1788</v>
      </c>
      <c r="B1596" s="9" t="s">
        <v>1752</v>
      </c>
      <c r="C1596" s="9" t="s">
        <v>1827</v>
      </c>
      <c r="D1596" s="9" t="s">
        <v>1827</v>
      </c>
      <c r="E1596" s="15">
        <f t="shared" si="24"/>
        <v>1</v>
      </c>
    </row>
    <row r="1597" spans="1:5" x14ac:dyDescent="0.35">
      <c r="A1597" s="12" t="s">
        <v>1789</v>
      </c>
      <c r="B1597" s="9" t="s">
        <v>1752</v>
      </c>
      <c r="C1597" s="9" t="s">
        <v>1827</v>
      </c>
      <c r="D1597" s="9" t="s">
        <v>1827</v>
      </c>
      <c r="E1597" s="15">
        <f t="shared" si="24"/>
        <v>1</v>
      </c>
    </row>
    <row r="1598" spans="1:5" x14ac:dyDescent="0.35">
      <c r="A1598" s="12" t="s">
        <v>1790</v>
      </c>
      <c r="B1598" s="9" t="s">
        <v>1752</v>
      </c>
      <c r="C1598" s="9" t="s">
        <v>1827</v>
      </c>
      <c r="D1598" s="9" t="s">
        <v>1827</v>
      </c>
      <c r="E1598" s="15">
        <f t="shared" si="24"/>
        <v>1</v>
      </c>
    </row>
    <row r="1599" spans="1:5" x14ac:dyDescent="0.35">
      <c r="A1599" s="12" t="s">
        <v>1791</v>
      </c>
      <c r="B1599" s="9" t="s">
        <v>1752</v>
      </c>
      <c r="C1599" s="9" t="s">
        <v>1827</v>
      </c>
      <c r="D1599" s="9" t="s">
        <v>1827</v>
      </c>
      <c r="E1599" s="15">
        <f t="shared" si="24"/>
        <v>1</v>
      </c>
    </row>
    <row r="1600" spans="1:5" x14ac:dyDescent="0.35">
      <c r="A1600" s="13" t="s">
        <v>1792</v>
      </c>
      <c r="B1600" s="9" t="s">
        <v>1752</v>
      </c>
      <c r="C1600" s="9" t="s">
        <v>1827</v>
      </c>
      <c r="D1600" s="9" t="s">
        <v>1827</v>
      </c>
      <c r="E1600" s="15">
        <f t="shared" si="24"/>
        <v>1</v>
      </c>
    </row>
    <row r="1601" spans="1:5" x14ac:dyDescent="0.35">
      <c r="A1601" s="13" t="s">
        <v>1793</v>
      </c>
      <c r="B1601" s="9" t="s">
        <v>1752</v>
      </c>
      <c r="C1601" s="9" t="s">
        <v>1827</v>
      </c>
      <c r="D1601" s="9" t="s">
        <v>1827</v>
      </c>
      <c r="E1601" s="15">
        <f t="shared" si="24"/>
        <v>1</v>
      </c>
    </row>
    <row r="1602" spans="1:5" x14ac:dyDescent="0.35">
      <c r="A1602" s="13" t="s">
        <v>1794</v>
      </c>
      <c r="B1602" s="9" t="s">
        <v>1752</v>
      </c>
      <c r="C1602" s="9" t="s">
        <v>1827</v>
      </c>
      <c r="D1602" s="9" t="s">
        <v>1827</v>
      </c>
      <c r="E1602" s="15">
        <f t="shared" si="24"/>
        <v>1</v>
      </c>
    </row>
    <row r="1603" spans="1:5" x14ac:dyDescent="0.35">
      <c r="A1603" s="13" t="s">
        <v>1795</v>
      </c>
      <c r="B1603" s="9" t="s">
        <v>1752</v>
      </c>
      <c r="C1603" s="9" t="s">
        <v>1827</v>
      </c>
      <c r="D1603" s="9" t="s">
        <v>1827</v>
      </c>
      <c r="E1603" s="15">
        <f t="shared" ref="E1603:E1666" si="25">IF(COUNTIF(B1603:D1603,"Y")&gt;0,1,0)</f>
        <v>1</v>
      </c>
    </row>
    <row r="1604" spans="1:5" x14ac:dyDescent="0.35">
      <c r="A1604" s="12" t="s">
        <v>1796</v>
      </c>
      <c r="B1604" s="9" t="s">
        <v>1752</v>
      </c>
      <c r="C1604" s="9" t="s">
        <v>1827</v>
      </c>
      <c r="D1604" s="9" t="s">
        <v>1827</v>
      </c>
      <c r="E1604" s="15">
        <f t="shared" si="25"/>
        <v>1</v>
      </c>
    </row>
    <row r="1605" spans="1:5" x14ac:dyDescent="0.35">
      <c r="A1605" s="12" t="s">
        <v>1797</v>
      </c>
      <c r="B1605" s="9" t="s">
        <v>1752</v>
      </c>
      <c r="C1605" s="9" t="s">
        <v>1827</v>
      </c>
      <c r="D1605" s="9" t="s">
        <v>1827</v>
      </c>
      <c r="E1605" s="15">
        <f t="shared" si="25"/>
        <v>1</v>
      </c>
    </row>
    <row r="1606" spans="1:5" x14ac:dyDescent="0.35">
      <c r="A1606" s="12" t="s">
        <v>1798</v>
      </c>
      <c r="B1606" s="9" t="s">
        <v>1752</v>
      </c>
      <c r="C1606" s="9" t="s">
        <v>1827</v>
      </c>
      <c r="D1606" s="9" t="s">
        <v>1827</v>
      </c>
      <c r="E1606" s="15">
        <f t="shared" si="25"/>
        <v>1</v>
      </c>
    </row>
    <row r="1607" spans="1:5" x14ac:dyDescent="0.35">
      <c r="A1607" s="12" t="s">
        <v>1799</v>
      </c>
      <c r="B1607" s="9" t="s">
        <v>1752</v>
      </c>
      <c r="C1607" s="9" t="s">
        <v>1827</v>
      </c>
      <c r="D1607" s="9" t="s">
        <v>1827</v>
      </c>
      <c r="E1607" s="15">
        <f t="shared" si="25"/>
        <v>1</v>
      </c>
    </row>
    <row r="1608" spans="1:5" x14ac:dyDescent="0.35">
      <c r="A1608" s="13" t="s">
        <v>1800</v>
      </c>
      <c r="B1608" s="9" t="s">
        <v>1752</v>
      </c>
      <c r="C1608" s="9" t="s">
        <v>1827</v>
      </c>
      <c r="D1608" s="9" t="s">
        <v>1827</v>
      </c>
      <c r="E1608" s="15">
        <f t="shared" si="25"/>
        <v>1</v>
      </c>
    </row>
    <row r="1609" spans="1:5" x14ac:dyDescent="0.35">
      <c r="A1609" s="13" t="s">
        <v>1801</v>
      </c>
      <c r="B1609" s="9" t="s">
        <v>1752</v>
      </c>
      <c r="C1609" s="9" t="s">
        <v>1827</v>
      </c>
      <c r="D1609" s="9" t="s">
        <v>1827</v>
      </c>
      <c r="E1609" s="15">
        <f t="shared" si="25"/>
        <v>1</v>
      </c>
    </row>
    <row r="1610" spans="1:5" x14ac:dyDescent="0.35">
      <c r="A1610" s="12" t="s">
        <v>1802</v>
      </c>
      <c r="B1610" s="9" t="s">
        <v>1752</v>
      </c>
      <c r="C1610" s="9" t="s">
        <v>1827</v>
      </c>
      <c r="D1610" s="9" t="s">
        <v>1827</v>
      </c>
      <c r="E1610" s="15">
        <f t="shared" si="25"/>
        <v>1</v>
      </c>
    </row>
    <row r="1611" spans="1:5" x14ac:dyDescent="0.35">
      <c r="A1611" s="12" t="s">
        <v>1803</v>
      </c>
      <c r="B1611" s="9" t="s">
        <v>1752</v>
      </c>
      <c r="C1611" s="9" t="s">
        <v>1827</v>
      </c>
      <c r="D1611" s="9" t="s">
        <v>1827</v>
      </c>
      <c r="E1611" s="15">
        <f t="shared" si="25"/>
        <v>1</v>
      </c>
    </row>
    <row r="1612" spans="1:5" x14ac:dyDescent="0.35">
      <c r="A1612" s="12" t="s">
        <v>1804</v>
      </c>
      <c r="B1612" s="9" t="s">
        <v>1752</v>
      </c>
      <c r="C1612" s="9" t="s">
        <v>1827</v>
      </c>
      <c r="D1612" s="9" t="s">
        <v>1827</v>
      </c>
      <c r="E1612" s="15">
        <f t="shared" si="25"/>
        <v>1</v>
      </c>
    </row>
    <row r="1613" spans="1:5" x14ac:dyDescent="0.35">
      <c r="A1613" s="12" t="s">
        <v>1805</v>
      </c>
      <c r="B1613" s="9" t="s">
        <v>1752</v>
      </c>
      <c r="C1613" s="9" t="s">
        <v>1827</v>
      </c>
      <c r="D1613" s="9" t="s">
        <v>1827</v>
      </c>
      <c r="E1613" s="15">
        <f t="shared" si="25"/>
        <v>1</v>
      </c>
    </row>
    <row r="1614" spans="1:5" x14ac:dyDescent="0.35">
      <c r="A1614" s="12" t="s">
        <v>1806</v>
      </c>
      <c r="B1614" s="9" t="s">
        <v>1752</v>
      </c>
      <c r="C1614" s="9" t="s">
        <v>1827</v>
      </c>
      <c r="D1614" s="9" t="s">
        <v>1827</v>
      </c>
      <c r="E1614" s="15">
        <f t="shared" si="25"/>
        <v>1</v>
      </c>
    </row>
    <row r="1615" spans="1:5" x14ac:dyDescent="0.35">
      <c r="A1615" s="13" t="s">
        <v>1807</v>
      </c>
      <c r="B1615" s="9" t="s">
        <v>1752</v>
      </c>
      <c r="C1615" s="9" t="s">
        <v>1827</v>
      </c>
      <c r="D1615" s="9" t="s">
        <v>1827</v>
      </c>
      <c r="E1615" s="15">
        <f t="shared" si="25"/>
        <v>1</v>
      </c>
    </row>
    <row r="1616" spans="1:5" x14ac:dyDescent="0.35">
      <c r="A1616" s="12" t="s">
        <v>1808</v>
      </c>
      <c r="B1616" s="9" t="s">
        <v>1752</v>
      </c>
      <c r="C1616" s="9" t="s">
        <v>1827</v>
      </c>
      <c r="D1616" s="9" t="s">
        <v>1827</v>
      </c>
      <c r="E1616" s="15">
        <f t="shared" si="25"/>
        <v>1</v>
      </c>
    </row>
    <row r="1617" spans="1:5" x14ac:dyDescent="0.35">
      <c r="A1617" s="12" t="s">
        <v>1809</v>
      </c>
      <c r="B1617" s="9" t="s">
        <v>1752</v>
      </c>
      <c r="C1617" s="9" t="s">
        <v>1827</v>
      </c>
      <c r="D1617" s="9" t="s">
        <v>1827</v>
      </c>
      <c r="E1617" s="15">
        <f t="shared" si="25"/>
        <v>1</v>
      </c>
    </row>
    <row r="1618" spans="1:5" x14ac:dyDescent="0.35">
      <c r="A1618" s="13" t="s">
        <v>1810</v>
      </c>
      <c r="B1618" s="9" t="s">
        <v>1752</v>
      </c>
      <c r="C1618" s="9" t="s">
        <v>1827</v>
      </c>
      <c r="D1618" s="9" t="s">
        <v>1827</v>
      </c>
      <c r="E1618" s="15">
        <f t="shared" si="25"/>
        <v>1</v>
      </c>
    </row>
    <row r="1619" spans="1:5" x14ac:dyDescent="0.35">
      <c r="A1619" s="13" t="s">
        <v>1811</v>
      </c>
      <c r="B1619" s="9" t="s">
        <v>1752</v>
      </c>
      <c r="C1619" s="9" t="s">
        <v>1827</v>
      </c>
      <c r="D1619" s="9" t="s">
        <v>1827</v>
      </c>
      <c r="E1619" s="15">
        <f t="shared" si="25"/>
        <v>1</v>
      </c>
    </row>
    <row r="1620" spans="1:5" x14ac:dyDescent="0.35">
      <c r="A1620" s="12" t="s">
        <v>1812</v>
      </c>
      <c r="B1620" s="9" t="s">
        <v>1752</v>
      </c>
      <c r="C1620" s="9" t="s">
        <v>1827</v>
      </c>
      <c r="D1620" s="9" t="s">
        <v>1827</v>
      </c>
      <c r="E1620" s="15">
        <f t="shared" si="25"/>
        <v>1</v>
      </c>
    </row>
    <row r="1621" spans="1:5" x14ac:dyDescent="0.35">
      <c r="A1621" s="13" t="s">
        <v>1813</v>
      </c>
      <c r="B1621" s="9" t="s">
        <v>1752</v>
      </c>
      <c r="C1621" s="9" t="s">
        <v>1827</v>
      </c>
      <c r="D1621" s="9" t="s">
        <v>1827</v>
      </c>
      <c r="E1621" s="15">
        <f t="shared" si="25"/>
        <v>1</v>
      </c>
    </row>
    <row r="1622" spans="1:5" x14ac:dyDescent="0.35">
      <c r="A1622" s="13" t="s">
        <v>1814</v>
      </c>
      <c r="B1622" s="9" t="s">
        <v>1752</v>
      </c>
      <c r="C1622" s="9" t="s">
        <v>1827</v>
      </c>
      <c r="D1622" s="9" t="s">
        <v>1827</v>
      </c>
      <c r="E1622" s="15">
        <f t="shared" si="25"/>
        <v>1</v>
      </c>
    </row>
    <row r="1623" spans="1:5" x14ac:dyDescent="0.35">
      <c r="A1623" s="12" t="s">
        <v>1815</v>
      </c>
      <c r="B1623" s="9" t="s">
        <v>1752</v>
      </c>
      <c r="C1623" s="9" t="s">
        <v>1827</v>
      </c>
      <c r="D1623" s="9" t="s">
        <v>1827</v>
      </c>
      <c r="E1623" s="15">
        <f t="shared" si="25"/>
        <v>1</v>
      </c>
    </row>
    <row r="1624" spans="1:5" x14ac:dyDescent="0.35">
      <c r="A1624" s="12" t="s">
        <v>1816</v>
      </c>
      <c r="B1624" s="9" t="s">
        <v>1752</v>
      </c>
      <c r="C1624" s="9" t="s">
        <v>1827</v>
      </c>
      <c r="D1624" s="9" t="s">
        <v>1827</v>
      </c>
      <c r="E1624" s="15">
        <f t="shared" si="25"/>
        <v>1</v>
      </c>
    </row>
    <row r="1625" spans="1:5" x14ac:dyDescent="0.35">
      <c r="A1625" s="12" t="s">
        <v>1817</v>
      </c>
      <c r="B1625" s="9" t="s">
        <v>1752</v>
      </c>
      <c r="C1625" s="9" t="s">
        <v>1827</v>
      </c>
      <c r="D1625" s="9" t="s">
        <v>1827</v>
      </c>
      <c r="E1625" s="15">
        <f t="shared" si="25"/>
        <v>1</v>
      </c>
    </row>
    <row r="1626" spans="1:5" x14ac:dyDescent="0.35">
      <c r="A1626" s="12" t="s">
        <v>1818</v>
      </c>
      <c r="B1626" s="9" t="s">
        <v>1752</v>
      </c>
      <c r="C1626" s="9" t="s">
        <v>1827</v>
      </c>
      <c r="D1626" s="9" t="s">
        <v>1827</v>
      </c>
      <c r="E1626" s="15">
        <f t="shared" si="25"/>
        <v>1</v>
      </c>
    </row>
    <row r="1627" spans="1:5" x14ac:dyDescent="0.35">
      <c r="A1627" s="12" t="s">
        <v>1819</v>
      </c>
      <c r="B1627" s="9" t="s">
        <v>1752</v>
      </c>
      <c r="C1627" s="9" t="s">
        <v>1827</v>
      </c>
      <c r="D1627" s="9" t="s">
        <v>1827</v>
      </c>
      <c r="E1627" s="15">
        <f t="shared" si="25"/>
        <v>1</v>
      </c>
    </row>
    <row r="1628" spans="1:5" x14ac:dyDescent="0.35">
      <c r="A1628" s="13" t="s">
        <v>1820</v>
      </c>
      <c r="B1628" s="9" t="s">
        <v>1752</v>
      </c>
      <c r="C1628" s="9" t="s">
        <v>1827</v>
      </c>
      <c r="D1628" s="9" t="s">
        <v>1752</v>
      </c>
      <c r="E1628" s="15">
        <f t="shared" si="25"/>
        <v>1</v>
      </c>
    </row>
    <row r="1629" spans="1:5" x14ac:dyDescent="0.35">
      <c r="A1629" s="12" t="s">
        <v>1821</v>
      </c>
      <c r="B1629" s="9" t="s">
        <v>1752</v>
      </c>
      <c r="C1629" s="9" t="s">
        <v>1827</v>
      </c>
      <c r="D1629" s="9" t="s">
        <v>1827</v>
      </c>
      <c r="E1629" s="15">
        <f t="shared" si="25"/>
        <v>1</v>
      </c>
    </row>
    <row r="1630" spans="1:5" x14ac:dyDescent="0.35">
      <c r="A1630" s="13" t="s">
        <v>1822</v>
      </c>
      <c r="B1630" s="9" t="s">
        <v>1752</v>
      </c>
      <c r="C1630" s="9" t="s">
        <v>1827</v>
      </c>
      <c r="D1630" s="9" t="s">
        <v>1752</v>
      </c>
      <c r="E1630" s="15">
        <f t="shared" si="25"/>
        <v>1</v>
      </c>
    </row>
    <row r="1631" spans="1:5" x14ac:dyDescent="0.35">
      <c r="A1631" s="13" t="s">
        <v>1823</v>
      </c>
      <c r="B1631" s="9" t="s">
        <v>1752</v>
      </c>
      <c r="C1631" s="9" t="s">
        <v>1827</v>
      </c>
      <c r="D1631" s="9" t="s">
        <v>1827</v>
      </c>
      <c r="E1631" s="15">
        <f t="shared" si="25"/>
        <v>1</v>
      </c>
    </row>
    <row r="1632" spans="1:5" x14ac:dyDescent="0.35">
      <c r="A1632" s="12" t="s">
        <v>1824</v>
      </c>
      <c r="B1632" s="9" t="s">
        <v>1752</v>
      </c>
      <c r="C1632" s="9" t="s">
        <v>1827</v>
      </c>
      <c r="D1632" s="9" t="s">
        <v>1827</v>
      </c>
      <c r="E1632" s="15">
        <f t="shared" si="25"/>
        <v>1</v>
      </c>
    </row>
    <row r="1633" spans="1:11" x14ac:dyDescent="0.35">
      <c r="A1633" s="13" t="s">
        <v>1825</v>
      </c>
      <c r="B1633" s="9" t="s">
        <v>1752</v>
      </c>
      <c r="C1633" s="9" t="s">
        <v>1827</v>
      </c>
      <c r="D1633" s="9" t="s">
        <v>1827</v>
      </c>
      <c r="E1633" s="15">
        <f t="shared" si="25"/>
        <v>1</v>
      </c>
    </row>
    <row r="1634" spans="1:11" x14ac:dyDescent="0.35">
      <c r="A1634" s="55" t="s">
        <v>2089</v>
      </c>
      <c r="B1634" s="9" t="s">
        <v>1827</v>
      </c>
      <c r="C1634" s="9" t="s">
        <v>1827</v>
      </c>
      <c r="D1634" s="9"/>
      <c r="E1634" s="14">
        <f t="shared" si="25"/>
        <v>0</v>
      </c>
    </row>
    <row r="1635" spans="1:11" x14ac:dyDescent="0.35">
      <c r="A1635" s="56" t="s">
        <v>2090</v>
      </c>
      <c r="B1635" s="9" t="s">
        <v>1827</v>
      </c>
      <c r="C1635" s="9" t="s">
        <v>1827</v>
      </c>
      <c r="D1635" s="2" t="s">
        <v>1752</v>
      </c>
      <c r="E1635" s="14">
        <f t="shared" si="25"/>
        <v>1</v>
      </c>
      <c r="G1635" s="67"/>
      <c r="H1635" s="66"/>
      <c r="I1635" s="66"/>
      <c r="J1635" s="68"/>
      <c r="K1635" s="66"/>
    </row>
    <row r="1636" spans="1:11" x14ac:dyDescent="0.35">
      <c r="A1636" s="56" t="s">
        <v>2091</v>
      </c>
      <c r="B1636" s="9" t="s">
        <v>1827</v>
      </c>
      <c r="C1636" s="9" t="s">
        <v>1827</v>
      </c>
      <c r="D1636" s="2" t="s">
        <v>1752</v>
      </c>
      <c r="E1636" s="14">
        <f t="shared" si="25"/>
        <v>1</v>
      </c>
    </row>
    <row r="1637" spans="1:11" x14ac:dyDescent="0.35">
      <c r="A1637" s="55" t="s">
        <v>2092</v>
      </c>
      <c r="B1637" s="9" t="s">
        <v>1827</v>
      </c>
      <c r="C1637" s="9" t="s">
        <v>1827</v>
      </c>
      <c r="D1637" s="2" t="s">
        <v>1752</v>
      </c>
      <c r="E1637" s="14">
        <f t="shared" si="25"/>
        <v>1</v>
      </c>
      <c r="H1637" s="2"/>
      <c r="I1637" s="2"/>
      <c r="J1637" s="2"/>
      <c r="K1637" s="2"/>
    </row>
    <row r="1638" spans="1:11" x14ac:dyDescent="0.35">
      <c r="A1638" s="55" t="s">
        <v>2093</v>
      </c>
      <c r="B1638" s="9" t="s">
        <v>1827</v>
      </c>
      <c r="C1638" s="9" t="s">
        <v>1827</v>
      </c>
      <c r="D1638" s="2" t="s">
        <v>1752</v>
      </c>
      <c r="E1638" s="14">
        <f t="shared" si="25"/>
        <v>1</v>
      </c>
    </row>
    <row r="1639" spans="1:11" x14ac:dyDescent="0.35">
      <c r="A1639" s="55" t="s">
        <v>2094</v>
      </c>
      <c r="B1639" s="9" t="s">
        <v>1827</v>
      </c>
      <c r="C1639" s="9" t="s">
        <v>1827</v>
      </c>
      <c r="D1639" s="2" t="s">
        <v>1752</v>
      </c>
      <c r="E1639" s="14">
        <f t="shared" si="25"/>
        <v>1</v>
      </c>
    </row>
    <row r="1640" spans="1:11" x14ac:dyDescent="0.35">
      <c r="A1640" s="55" t="s">
        <v>2095</v>
      </c>
      <c r="B1640" s="9" t="s">
        <v>1827</v>
      </c>
      <c r="C1640" s="9" t="s">
        <v>1827</v>
      </c>
      <c r="D1640" s="2" t="s">
        <v>1752</v>
      </c>
      <c r="E1640" s="14">
        <f t="shared" si="25"/>
        <v>1</v>
      </c>
    </row>
    <row r="1641" spans="1:11" x14ac:dyDescent="0.35">
      <c r="A1641" s="56" t="s">
        <v>2096</v>
      </c>
      <c r="B1641" s="9" t="s">
        <v>1827</v>
      </c>
      <c r="C1641" s="9" t="s">
        <v>1827</v>
      </c>
      <c r="D1641" s="2" t="s">
        <v>1752</v>
      </c>
      <c r="E1641" s="14">
        <f t="shared" si="25"/>
        <v>1</v>
      </c>
    </row>
    <row r="1642" spans="1:11" x14ac:dyDescent="0.35">
      <c r="A1642" s="56" t="s">
        <v>2097</v>
      </c>
      <c r="B1642" s="9" t="s">
        <v>1827</v>
      </c>
      <c r="C1642" s="9" t="s">
        <v>1827</v>
      </c>
      <c r="D1642" s="2" t="s">
        <v>1752</v>
      </c>
      <c r="E1642" s="14">
        <f t="shared" si="25"/>
        <v>1</v>
      </c>
    </row>
    <row r="1643" spans="1:11" x14ac:dyDescent="0.35">
      <c r="A1643" s="56" t="s">
        <v>2098</v>
      </c>
      <c r="B1643" s="9" t="s">
        <v>1827</v>
      </c>
      <c r="C1643" s="9" t="s">
        <v>1827</v>
      </c>
      <c r="D1643" s="2" t="s">
        <v>1752</v>
      </c>
      <c r="E1643" s="14">
        <f t="shared" si="25"/>
        <v>1</v>
      </c>
    </row>
    <row r="1644" spans="1:11" x14ac:dyDescent="0.35">
      <c r="A1644" s="55" t="s">
        <v>2099</v>
      </c>
      <c r="B1644" s="9" t="s">
        <v>1827</v>
      </c>
      <c r="C1644" s="9" t="s">
        <v>1827</v>
      </c>
      <c r="D1644" s="2" t="s">
        <v>1752</v>
      </c>
      <c r="E1644" s="14">
        <f t="shared" si="25"/>
        <v>1</v>
      </c>
    </row>
    <row r="1645" spans="1:11" x14ac:dyDescent="0.35">
      <c r="A1645" s="56" t="s">
        <v>2100</v>
      </c>
      <c r="B1645" s="9" t="s">
        <v>1827</v>
      </c>
      <c r="C1645" s="9" t="s">
        <v>1827</v>
      </c>
      <c r="D1645" s="2" t="s">
        <v>1752</v>
      </c>
      <c r="E1645" s="14">
        <f t="shared" si="25"/>
        <v>1</v>
      </c>
    </row>
    <row r="1646" spans="1:11" x14ac:dyDescent="0.35">
      <c r="A1646" s="56" t="s">
        <v>2101</v>
      </c>
      <c r="B1646" s="9" t="s">
        <v>1827</v>
      </c>
      <c r="C1646" s="9" t="s">
        <v>1827</v>
      </c>
      <c r="D1646" s="2" t="s">
        <v>1752</v>
      </c>
      <c r="E1646" s="14">
        <f t="shared" si="25"/>
        <v>1</v>
      </c>
    </row>
    <row r="1647" spans="1:11" x14ac:dyDescent="0.35">
      <c r="A1647" s="55" t="s">
        <v>2102</v>
      </c>
      <c r="B1647" s="9" t="s">
        <v>1827</v>
      </c>
      <c r="C1647" s="9" t="s">
        <v>1827</v>
      </c>
      <c r="D1647" s="2" t="s">
        <v>1752</v>
      </c>
      <c r="E1647" s="14">
        <f t="shared" si="25"/>
        <v>1</v>
      </c>
    </row>
    <row r="1648" spans="1:11" x14ac:dyDescent="0.35">
      <c r="A1648" s="56" t="s">
        <v>2103</v>
      </c>
      <c r="B1648" s="9" t="s">
        <v>1827</v>
      </c>
      <c r="C1648" s="9" t="s">
        <v>1827</v>
      </c>
      <c r="D1648" s="2" t="s">
        <v>1752</v>
      </c>
      <c r="E1648" s="14">
        <f t="shared" si="25"/>
        <v>1</v>
      </c>
    </row>
    <row r="1649" spans="1:5" x14ac:dyDescent="0.35">
      <c r="A1649" s="55" t="s">
        <v>2104</v>
      </c>
      <c r="B1649" s="9" t="s">
        <v>1827</v>
      </c>
      <c r="C1649" s="9" t="s">
        <v>1827</v>
      </c>
      <c r="D1649" s="2" t="s">
        <v>1752</v>
      </c>
      <c r="E1649" s="14">
        <f t="shared" si="25"/>
        <v>1</v>
      </c>
    </row>
    <row r="1650" spans="1:5" x14ac:dyDescent="0.35">
      <c r="A1650" s="56" t="s">
        <v>2105</v>
      </c>
      <c r="B1650" s="9" t="s">
        <v>1827</v>
      </c>
      <c r="C1650" s="9" t="s">
        <v>1827</v>
      </c>
      <c r="D1650" s="2" t="s">
        <v>1752</v>
      </c>
      <c r="E1650" s="14">
        <f t="shared" si="25"/>
        <v>1</v>
      </c>
    </row>
    <row r="1651" spans="1:5" x14ac:dyDescent="0.35">
      <c r="A1651" s="55" t="s">
        <v>2106</v>
      </c>
      <c r="B1651" s="9" t="s">
        <v>1827</v>
      </c>
      <c r="C1651" s="9" t="s">
        <v>1827</v>
      </c>
      <c r="D1651" s="2" t="s">
        <v>1752</v>
      </c>
      <c r="E1651" s="14">
        <f t="shared" si="25"/>
        <v>1</v>
      </c>
    </row>
    <row r="1652" spans="1:5" x14ac:dyDescent="0.35">
      <c r="A1652" s="55" t="s">
        <v>2107</v>
      </c>
      <c r="B1652" s="9" t="s">
        <v>1827</v>
      </c>
      <c r="C1652" s="9" t="s">
        <v>1827</v>
      </c>
      <c r="D1652" s="2" t="s">
        <v>1752</v>
      </c>
      <c r="E1652" s="14">
        <f t="shared" si="25"/>
        <v>1</v>
      </c>
    </row>
    <row r="1653" spans="1:5" x14ac:dyDescent="0.35">
      <c r="A1653" s="56" t="s">
        <v>2108</v>
      </c>
      <c r="B1653" s="9" t="s">
        <v>1827</v>
      </c>
      <c r="C1653" s="9" t="s">
        <v>1827</v>
      </c>
      <c r="D1653" s="2" t="s">
        <v>1752</v>
      </c>
      <c r="E1653" s="14">
        <f t="shared" si="25"/>
        <v>1</v>
      </c>
    </row>
    <row r="1654" spans="1:5" x14ac:dyDescent="0.35">
      <c r="A1654" s="55" t="s">
        <v>2109</v>
      </c>
      <c r="B1654" s="9" t="s">
        <v>1827</v>
      </c>
      <c r="C1654" s="9" t="s">
        <v>1827</v>
      </c>
      <c r="D1654" s="2" t="s">
        <v>1752</v>
      </c>
      <c r="E1654" s="14">
        <f t="shared" si="25"/>
        <v>1</v>
      </c>
    </row>
    <row r="1655" spans="1:5" x14ac:dyDescent="0.35">
      <c r="A1655" s="56" t="s">
        <v>2110</v>
      </c>
      <c r="B1655" s="9" t="s">
        <v>1827</v>
      </c>
      <c r="C1655" s="9" t="s">
        <v>1827</v>
      </c>
      <c r="D1655" s="2" t="s">
        <v>1752</v>
      </c>
      <c r="E1655" s="14">
        <f t="shared" si="25"/>
        <v>1</v>
      </c>
    </row>
    <row r="1656" spans="1:5" x14ac:dyDescent="0.35">
      <c r="A1656" s="55" t="s">
        <v>2111</v>
      </c>
      <c r="B1656" s="9" t="s">
        <v>1827</v>
      </c>
      <c r="C1656" s="9" t="s">
        <v>1827</v>
      </c>
      <c r="D1656" s="2" t="s">
        <v>1752</v>
      </c>
      <c r="E1656" s="14">
        <f t="shared" si="25"/>
        <v>1</v>
      </c>
    </row>
    <row r="1657" spans="1:5" x14ac:dyDescent="0.35">
      <c r="A1657" s="56" t="s">
        <v>2112</v>
      </c>
      <c r="B1657" s="9" t="s">
        <v>1827</v>
      </c>
      <c r="C1657" s="9" t="s">
        <v>1827</v>
      </c>
      <c r="D1657" s="2" t="s">
        <v>1752</v>
      </c>
      <c r="E1657" s="14">
        <f t="shared" si="25"/>
        <v>1</v>
      </c>
    </row>
    <row r="1658" spans="1:5" x14ac:dyDescent="0.35">
      <c r="A1658" s="55" t="s">
        <v>2113</v>
      </c>
      <c r="B1658" s="9" t="s">
        <v>1827</v>
      </c>
      <c r="C1658" s="9" t="s">
        <v>1827</v>
      </c>
      <c r="D1658" s="2" t="s">
        <v>1752</v>
      </c>
      <c r="E1658" s="14">
        <f t="shared" si="25"/>
        <v>1</v>
      </c>
    </row>
    <row r="1659" spans="1:5" x14ac:dyDescent="0.35">
      <c r="A1659" s="55" t="s">
        <v>2114</v>
      </c>
      <c r="B1659" s="9" t="s">
        <v>1827</v>
      </c>
      <c r="C1659" s="9" t="s">
        <v>1827</v>
      </c>
      <c r="D1659" s="2" t="s">
        <v>1752</v>
      </c>
      <c r="E1659" s="14">
        <f t="shared" si="25"/>
        <v>1</v>
      </c>
    </row>
    <row r="1660" spans="1:5" x14ac:dyDescent="0.35">
      <c r="A1660" s="55" t="s">
        <v>2115</v>
      </c>
      <c r="B1660" s="9" t="s">
        <v>1827</v>
      </c>
      <c r="C1660" s="9" t="s">
        <v>1827</v>
      </c>
      <c r="D1660" s="2" t="s">
        <v>1752</v>
      </c>
      <c r="E1660" s="14">
        <f t="shared" si="25"/>
        <v>1</v>
      </c>
    </row>
    <row r="1661" spans="1:5" x14ac:dyDescent="0.35">
      <c r="A1661" s="56" t="s">
        <v>2116</v>
      </c>
      <c r="B1661" s="9" t="s">
        <v>1827</v>
      </c>
      <c r="C1661" s="9" t="s">
        <v>1827</v>
      </c>
      <c r="D1661" s="2" t="s">
        <v>1752</v>
      </c>
      <c r="E1661" s="14">
        <f t="shared" si="25"/>
        <v>1</v>
      </c>
    </row>
    <row r="1662" spans="1:5" x14ac:dyDescent="0.35">
      <c r="A1662" s="56" t="s">
        <v>2117</v>
      </c>
      <c r="B1662" s="9" t="s">
        <v>1827</v>
      </c>
      <c r="C1662" s="9" t="s">
        <v>1827</v>
      </c>
      <c r="D1662" s="2" t="s">
        <v>1752</v>
      </c>
      <c r="E1662" s="14">
        <f t="shared" si="25"/>
        <v>1</v>
      </c>
    </row>
    <row r="1663" spans="1:5" x14ac:dyDescent="0.35">
      <c r="A1663" s="55" t="s">
        <v>2118</v>
      </c>
      <c r="B1663" s="9" t="s">
        <v>1827</v>
      </c>
      <c r="C1663" s="9" t="s">
        <v>1827</v>
      </c>
      <c r="D1663" s="2" t="s">
        <v>1752</v>
      </c>
      <c r="E1663" s="14">
        <f t="shared" si="25"/>
        <v>1</v>
      </c>
    </row>
    <row r="1664" spans="1:5" x14ac:dyDescent="0.35">
      <c r="A1664" s="56" t="s">
        <v>2119</v>
      </c>
      <c r="B1664" s="9" t="s">
        <v>1827</v>
      </c>
      <c r="C1664" s="9" t="s">
        <v>1827</v>
      </c>
      <c r="D1664" s="2" t="s">
        <v>1752</v>
      </c>
      <c r="E1664" s="14">
        <f t="shared" si="25"/>
        <v>1</v>
      </c>
    </row>
    <row r="1665" spans="1:5" x14ac:dyDescent="0.35">
      <c r="A1665" s="55" t="s">
        <v>2120</v>
      </c>
      <c r="B1665" s="9" t="s">
        <v>1827</v>
      </c>
      <c r="C1665" s="9" t="s">
        <v>1827</v>
      </c>
      <c r="D1665" s="2" t="s">
        <v>1752</v>
      </c>
      <c r="E1665" s="14">
        <f t="shared" si="25"/>
        <v>1</v>
      </c>
    </row>
    <row r="1666" spans="1:5" x14ac:dyDescent="0.35">
      <c r="A1666" s="56" t="s">
        <v>2121</v>
      </c>
      <c r="B1666" s="9" t="s">
        <v>1827</v>
      </c>
      <c r="C1666" s="9" t="s">
        <v>1827</v>
      </c>
      <c r="D1666" s="2" t="s">
        <v>1752</v>
      </c>
      <c r="E1666" s="14">
        <f t="shared" si="25"/>
        <v>1</v>
      </c>
    </row>
    <row r="1667" spans="1:5" x14ac:dyDescent="0.35">
      <c r="A1667" s="55" t="s">
        <v>2122</v>
      </c>
      <c r="B1667" s="9" t="s">
        <v>1827</v>
      </c>
      <c r="C1667" s="9" t="s">
        <v>1827</v>
      </c>
      <c r="D1667" s="2" t="s">
        <v>1752</v>
      </c>
      <c r="E1667" s="14">
        <f t="shared" ref="E1667:E1730" si="26">IF(COUNTIF(B1667:D1667,"Y")&gt;0,1,0)</f>
        <v>1</v>
      </c>
    </row>
    <row r="1668" spans="1:5" x14ac:dyDescent="0.35">
      <c r="A1668" s="56" t="s">
        <v>2123</v>
      </c>
      <c r="B1668" s="9" t="s">
        <v>1827</v>
      </c>
      <c r="C1668" s="9" t="s">
        <v>1827</v>
      </c>
      <c r="D1668" s="2" t="s">
        <v>1752</v>
      </c>
      <c r="E1668" s="14">
        <f t="shared" si="26"/>
        <v>1</v>
      </c>
    </row>
    <row r="1669" spans="1:5" x14ac:dyDescent="0.35">
      <c r="A1669" s="55" t="s">
        <v>2124</v>
      </c>
      <c r="B1669" s="9" t="s">
        <v>1827</v>
      </c>
      <c r="C1669" s="9" t="s">
        <v>1827</v>
      </c>
      <c r="D1669" s="2" t="s">
        <v>1752</v>
      </c>
      <c r="E1669" s="14">
        <f t="shared" si="26"/>
        <v>1</v>
      </c>
    </row>
    <row r="1670" spans="1:5" x14ac:dyDescent="0.35">
      <c r="A1670" s="55" t="s">
        <v>2125</v>
      </c>
      <c r="B1670" s="9" t="s">
        <v>1827</v>
      </c>
      <c r="C1670" s="9" t="s">
        <v>1827</v>
      </c>
      <c r="D1670" s="2" t="s">
        <v>1752</v>
      </c>
      <c r="E1670" s="14">
        <f t="shared" si="26"/>
        <v>1</v>
      </c>
    </row>
    <row r="1671" spans="1:5" x14ac:dyDescent="0.35">
      <c r="A1671" s="55" t="s">
        <v>2126</v>
      </c>
      <c r="B1671" s="9" t="s">
        <v>1827</v>
      </c>
      <c r="C1671" s="9" t="s">
        <v>1827</v>
      </c>
      <c r="D1671" s="2" t="s">
        <v>1752</v>
      </c>
      <c r="E1671" s="14">
        <f t="shared" si="26"/>
        <v>1</v>
      </c>
    </row>
    <row r="1672" spans="1:5" x14ac:dyDescent="0.35">
      <c r="A1672" s="56" t="s">
        <v>2127</v>
      </c>
      <c r="B1672" s="9" t="s">
        <v>1827</v>
      </c>
      <c r="C1672" s="9" t="s">
        <v>1827</v>
      </c>
      <c r="D1672" s="2" t="s">
        <v>1752</v>
      </c>
      <c r="E1672" s="14">
        <f t="shared" si="26"/>
        <v>1</v>
      </c>
    </row>
    <row r="1673" spans="1:5" x14ac:dyDescent="0.35">
      <c r="A1673" s="56" t="s">
        <v>2128</v>
      </c>
      <c r="B1673" s="9" t="s">
        <v>1827</v>
      </c>
      <c r="C1673" s="9" t="s">
        <v>1827</v>
      </c>
      <c r="D1673" s="2" t="s">
        <v>1752</v>
      </c>
      <c r="E1673" s="14">
        <f t="shared" si="26"/>
        <v>1</v>
      </c>
    </row>
    <row r="1674" spans="1:5" x14ac:dyDescent="0.35">
      <c r="A1674" s="55" t="s">
        <v>2129</v>
      </c>
      <c r="B1674" s="9" t="s">
        <v>1827</v>
      </c>
      <c r="C1674" s="9" t="s">
        <v>1827</v>
      </c>
      <c r="D1674" s="2" t="s">
        <v>1752</v>
      </c>
      <c r="E1674" s="14">
        <f t="shared" si="26"/>
        <v>1</v>
      </c>
    </row>
    <row r="1675" spans="1:5" x14ac:dyDescent="0.35">
      <c r="A1675" s="55" t="s">
        <v>2130</v>
      </c>
      <c r="B1675" s="9" t="s">
        <v>1827</v>
      </c>
      <c r="C1675" s="9" t="s">
        <v>1827</v>
      </c>
      <c r="D1675" s="2" t="s">
        <v>1752</v>
      </c>
      <c r="E1675" s="14">
        <f t="shared" si="26"/>
        <v>1</v>
      </c>
    </row>
    <row r="1676" spans="1:5" x14ac:dyDescent="0.35">
      <c r="A1676" s="55" t="s">
        <v>2131</v>
      </c>
      <c r="B1676" s="9" t="s">
        <v>1827</v>
      </c>
      <c r="C1676" s="9" t="s">
        <v>1827</v>
      </c>
      <c r="D1676" s="2" t="s">
        <v>1752</v>
      </c>
      <c r="E1676" s="14">
        <f t="shared" si="26"/>
        <v>1</v>
      </c>
    </row>
    <row r="1677" spans="1:5" x14ac:dyDescent="0.35">
      <c r="A1677" s="56" t="s">
        <v>2132</v>
      </c>
      <c r="B1677" s="9" t="s">
        <v>1827</v>
      </c>
      <c r="C1677" s="9" t="s">
        <v>1827</v>
      </c>
      <c r="D1677" s="2" t="s">
        <v>1752</v>
      </c>
      <c r="E1677" s="14">
        <f t="shared" si="26"/>
        <v>1</v>
      </c>
    </row>
    <row r="1678" spans="1:5" x14ac:dyDescent="0.35">
      <c r="A1678" s="56" t="s">
        <v>2133</v>
      </c>
      <c r="B1678" s="9" t="s">
        <v>1827</v>
      </c>
      <c r="C1678" s="9" t="s">
        <v>1827</v>
      </c>
      <c r="D1678" s="2" t="s">
        <v>1752</v>
      </c>
      <c r="E1678" s="14">
        <f t="shared" si="26"/>
        <v>1</v>
      </c>
    </row>
    <row r="1679" spans="1:5" x14ac:dyDescent="0.35">
      <c r="A1679" s="56" t="s">
        <v>2134</v>
      </c>
      <c r="B1679" s="9" t="s">
        <v>1827</v>
      </c>
      <c r="C1679" s="9" t="s">
        <v>1827</v>
      </c>
      <c r="D1679" s="2" t="s">
        <v>1752</v>
      </c>
      <c r="E1679" s="14">
        <f t="shared" si="26"/>
        <v>1</v>
      </c>
    </row>
    <row r="1680" spans="1:5" x14ac:dyDescent="0.35">
      <c r="A1680" s="55" t="s">
        <v>2135</v>
      </c>
      <c r="B1680" s="9" t="s">
        <v>1827</v>
      </c>
      <c r="C1680" s="9" t="s">
        <v>1827</v>
      </c>
      <c r="D1680" s="2" t="s">
        <v>1752</v>
      </c>
      <c r="E1680" s="14">
        <f t="shared" si="26"/>
        <v>1</v>
      </c>
    </row>
    <row r="1681" spans="1:5" x14ac:dyDescent="0.35">
      <c r="A1681" s="56" t="s">
        <v>2136</v>
      </c>
      <c r="B1681" s="9" t="s">
        <v>1827</v>
      </c>
      <c r="C1681" s="9" t="s">
        <v>1827</v>
      </c>
      <c r="D1681" s="2" t="s">
        <v>1752</v>
      </c>
      <c r="E1681" s="14">
        <f t="shared" si="26"/>
        <v>1</v>
      </c>
    </row>
    <row r="1682" spans="1:5" x14ac:dyDescent="0.35">
      <c r="A1682" s="56" t="s">
        <v>2137</v>
      </c>
      <c r="B1682" s="9" t="s">
        <v>1827</v>
      </c>
      <c r="C1682" s="9" t="s">
        <v>1827</v>
      </c>
      <c r="D1682" s="2" t="s">
        <v>1752</v>
      </c>
      <c r="E1682" s="14">
        <f t="shared" si="26"/>
        <v>1</v>
      </c>
    </row>
    <row r="1683" spans="1:5" x14ac:dyDescent="0.35">
      <c r="A1683" s="56" t="s">
        <v>2138</v>
      </c>
      <c r="B1683" s="9" t="s">
        <v>1827</v>
      </c>
      <c r="C1683" s="9" t="s">
        <v>1827</v>
      </c>
      <c r="D1683" s="2" t="s">
        <v>1752</v>
      </c>
      <c r="E1683" s="14">
        <f t="shared" si="26"/>
        <v>1</v>
      </c>
    </row>
    <row r="1684" spans="1:5" x14ac:dyDescent="0.35">
      <c r="A1684" s="56" t="s">
        <v>2139</v>
      </c>
      <c r="B1684" s="9" t="s">
        <v>1827</v>
      </c>
      <c r="C1684" s="9" t="s">
        <v>1827</v>
      </c>
      <c r="D1684" s="2" t="s">
        <v>1752</v>
      </c>
      <c r="E1684" s="14">
        <f t="shared" si="26"/>
        <v>1</v>
      </c>
    </row>
    <row r="1685" spans="1:5" x14ac:dyDescent="0.35">
      <c r="A1685" s="55" t="s">
        <v>2140</v>
      </c>
      <c r="B1685" s="9" t="s">
        <v>1827</v>
      </c>
      <c r="C1685" s="9" t="s">
        <v>1827</v>
      </c>
      <c r="D1685" s="2" t="s">
        <v>1752</v>
      </c>
      <c r="E1685" s="14">
        <f t="shared" si="26"/>
        <v>1</v>
      </c>
    </row>
    <row r="1686" spans="1:5" x14ac:dyDescent="0.35">
      <c r="A1686" s="55" t="s">
        <v>2141</v>
      </c>
      <c r="B1686" s="9" t="s">
        <v>1827</v>
      </c>
      <c r="C1686" s="9" t="s">
        <v>1827</v>
      </c>
      <c r="D1686" s="2" t="s">
        <v>1752</v>
      </c>
      <c r="E1686" s="14">
        <f t="shared" si="26"/>
        <v>1</v>
      </c>
    </row>
    <row r="1687" spans="1:5" x14ac:dyDescent="0.35">
      <c r="A1687" s="56" t="s">
        <v>2142</v>
      </c>
      <c r="B1687" s="9" t="s">
        <v>1827</v>
      </c>
      <c r="C1687" s="9" t="s">
        <v>1827</v>
      </c>
      <c r="D1687" s="2" t="s">
        <v>1752</v>
      </c>
      <c r="E1687" s="14">
        <f t="shared" si="26"/>
        <v>1</v>
      </c>
    </row>
    <row r="1688" spans="1:5" x14ac:dyDescent="0.35">
      <c r="A1688" s="55" t="s">
        <v>2143</v>
      </c>
      <c r="B1688" s="9" t="s">
        <v>1827</v>
      </c>
      <c r="C1688" s="9" t="s">
        <v>1827</v>
      </c>
      <c r="D1688" s="2" t="s">
        <v>1752</v>
      </c>
      <c r="E1688" s="14">
        <f t="shared" si="26"/>
        <v>1</v>
      </c>
    </row>
    <row r="1689" spans="1:5" x14ac:dyDescent="0.35">
      <c r="A1689" s="56" t="s">
        <v>2144</v>
      </c>
      <c r="B1689" s="9" t="s">
        <v>1827</v>
      </c>
      <c r="C1689" s="9" t="s">
        <v>1827</v>
      </c>
      <c r="D1689" s="2" t="s">
        <v>1752</v>
      </c>
      <c r="E1689" s="14">
        <f t="shared" si="26"/>
        <v>1</v>
      </c>
    </row>
    <row r="1690" spans="1:5" x14ac:dyDescent="0.35">
      <c r="A1690" s="56" t="s">
        <v>2145</v>
      </c>
      <c r="B1690" s="9" t="s">
        <v>1827</v>
      </c>
      <c r="C1690" s="9" t="s">
        <v>1827</v>
      </c>
      <c r="D1690" s="2" t="s">
        <v>1752</v>
      </c>
      <c r="E1690" s="14">
        <f t="shared" si="26"/>
        <v>1</v>
      </c>
    </row>
    <row r="1691" spans="1:5" x14ac:dyDescent="0.35">
      <c r="A1691" s="55" t="s">
        <v>2146</v>
      </c>
      <c r="B1691" s="9" t="s">
        <v>1827</v>
      </c>
      <c r="C1691" s="9" t="s">
        <v>1827</v>
      </c>
      <c r="D1691" s="2" t="s">
        <v>1752</v>
      </c>
      <c r="E1691" s="14">
        <f t="shared" si="26"/>
        <v>1</v>
      </c>
    </row>
    <row r="1692" spans="1:5" x14ac:dyDescent="0.35">
      <c r="A1692" s="56" t="s">
        <v>2147</v>
      </c>
      <c r="B1692" s="9" t="s">
        <v>1827</v>
      </c>
      <c r="C1692" s="9" t="s">
        <v>1827</v>
      </c>
      <c r="D1692" s="2" t="s">
        <v>1752</v>
      </c>
      <c r="E1692" s="14">
        <f t="shared" si="26"/>
        <v>1</v>
      </c>
    </row>
    <row r="1693" spans="1:5" x14ac:dyDescent="0.35">
      <c r="A1693" s="55" t="s">
        <v>2148</v>
      </c>
      <c r="B1693" s="9" t="s">
        <v>1827</v>
      </c>
      <c r="C1693" s="9" t="s">
        <v>1827</v>
      </c>
      <c r="D1693" s="2" t="s">
        <v>1752</v>
      </c>
      <c r="E1693" s="14">
        <f t="shared" si="26"/>
        <v>1</v>
      </c>
    </row>
    <row r="1694" spans="1:5" x14ac:dyDescent="0.35">
      <c r="A1694" s="56" t="s">
        <v>2149</v>
      </c>
      <c r="B1694" s="9" t="s">
        <v>1827</v>
      </c>
      <c r="C1694" s="9" t="s">
        <v>1827</v>
      </c>
      <c r="D1694" s="2" t="s">
        <v>1752</v>
      </c>
      <c r="E1694" s="14">
        <f t="shared" si="26"/>
        <v>1</v>
      </c>
    </row>
    <row r="1695" spans="1:5" x14ac:dyDescent="0.35">
      <c r="A1695" s="55" t="s">
        <v>2150</v>
      </c>
      <c r="B1695" s="9" t="s">
        <v>1827</v>
      </c>
      <c r="C1695" s="9" t="s">
        <v>1827</v>
      </c>
      <c r="D1695" s="2" t="s">
        <v>1752</v>
      </c>
      <c r="E1695" s="14">
        <f t="shared" si="26"/>
        <v>1</v>
      </c>
    </row>
    <row r="1696" spans="1:5" x14ac:dyDescent="0.35">
      <c r="A1696" s="56" t="s">
        <v>2151</v>
      </c>
      <c r="B1696" s="9" t="s">
        <v>1827</v>
      </c>
      <c r="C1696" s="9" t="s">
        <v>1827</v>
      </c>
      <c r="D1696" s="2" t="s">
        <v>1752</v>
      </c>
      <c r="E1696" s="14">
        <f t="shared" si="26"/>
        <v>1</v>
      </c>
    </row>
    <row r="1697" spans="1:5" x14ac:dyDescent="0.35">
      <c r="A1697" s="55" t="s">
        <v>2152</v>
      </c>
      <c r="B1697" s="9" t="s">
        <v>1827</v>
      </c>
      <c r="C1697" s="9" t="s">
        <v>1827</v>
      </c>
      <c r="D1697" s="2" t="s">
        <v>1752</v>
      </c>
      <c r="E1697" s="14">
        <f t="shared" si="26"/>
        <v>1</v>
      </c>
    </row>
    <row r="1698" spans="1:5" x14ac:dyDescent="0.35">
      <c r="A1698" s="55" t="s">
        <v>2153</v>
      </c>
      <c r="B1698" s="9" t="s">
        <v>1827</v>
      </c>
      <c r="C1698" s="9" t="s">
        <v>1827</v>
      </c>
      <c r="D1698" s="2" t="s">
        <v>1752</v>
      </c>
      <c r="E1698" s="14">
        <f t="shared" si="26"/>
        <v>1</v>
      </c>
    </row>
    <row r="1699" spans="1:5" x14ac:dyDescent="0.35">
      <c r="A1699" s="55" t="s">
        <v>2154</v>
      </c>
      <c r="B1699" s="9" t="s">
        <v>1827</v>
      </c>
      <c r="C1699" s="9" t="s">
        <v>1827</v>
      </c>
      <c r="D1699" s="2" t="s">
        <v>1752</v>
      </c>
      <c r="E1699" s="14">
        <f t="shared" si="26"/>
        <v>1</v>
      </c>
    </row>
    <row r="1700" spans="1:5" x14ac:dyDescent="0.35">
      <c r="A1700" s="56" t="s">
        <v>2155</v>
      </c>
      <c r="B1700" s="9" t="s">
        <v>1827</v>
      </c>
      <c r="C1700" s="9" t="s">
        <v>1827</v>
      </c>
      <c r="D1700" s="2" t="s">
        <v>1752</v>
      </c>
      <c r="E1700" s="14">
        <f t="shared" si="26"/>
        <v>1</v>
      </c>
    </row>
    <row r="1701" spans="1:5" x14ac:dyDescent="0.35">
      <c r="A1701" s="55" t="s">
        <v>2156</v>
      </c>
      <c r="B1701" s="9" t="s">
        <v>1827</v>
      </c>
      <c r="C1701" s="9" t="s">
        <v>1827</v>
      </c>
      <c r="D1701" s="2" t="s">
        <v>1752</v>
      </c>
      <c r="E1701" s="14">
        <f t="shared" si="26"/>
        <v>1</v>
      </c>
    </row>
    <row r="1702" spans="1:5" x14ac:dyDescent="0.35">
      <c r="A1702" s="56" t="s">
        <v>2157</v>
      </c>
      <c r="B1702" s="9" t="s">
        <v>1827</v>
      </c>
      <c r="C1702" s="9" t="s">
        <v>1827</v>
      </c>
      <c r="D1702" s="2" t="s">
        <v>1752</v>
      </c>
      <c r="E1702" s="14">
        <f t="shared" si="26"/>
        <v>1</v>
      </c>
    </row>
    <row r="1703" spans="1:5" x14ac:dyDescent="0.35">
      <c r="A1703" s="56" t="s">
        <v>2158</v>
      </c>
      <c r="B1703" s="9" t="s">
        <v>1827</v>
      </c>
      <c r="C1703" s="9" t="s">
        <v>1827</v>
      </c>
      <c r="D1703" s="2" t="s">
        <v>1752</v>
      </c>
      <c r="E1703" s="14">
        <f t="shared" si="26"/>
        <v>1</v>
      </c>
    </row>
    <row r="1704" spans="1:5" x14ac:dyDescent="0.35">
      <c r="A1704" s="55" t="s">
        <v>2159</v>
      </c>
      <c r="B1704" s="9" t="s">
        <v>1827</v>
      </c>
      <c r="C1704" s="9" t="s">
        <v>1827</v>
      </c>
      <c r="D1704" s="2" t="s">
        <v>1752</v>
      </c>
      <c r="E1704" s="14">
        <f t="shared" si="26"/>
        <v>1</v>
      </c>
    </row>
    <row r="1705" spans="1:5" x14ac:dyDescent="0.35">
      <c r="A1705" s="56" t="s">
        <v>2160</v>
      </c>
      <c r="B1705" s="9" t="s">
        <v>1827</v>
      </c>
      <c r="C1705" s="9" t="s">
        <v>1827</v>
      </c>
      <c r="D1705" s="2" t="s">
        <v>1752</v>
      </c>
      <c r="E1705" s="14">
        <f t="shared" si="26"/>
        <v>1</v>
      </c>
    </row>
    <row r="1706" spans="1:5" x14ac:dyDescent="0.35">
      <c r="A1706" s="55" t="s">
        <v>2161</v>
      </c>
      <c r="B1706" s="9" t="s">
        <v>1827</v>
      </c>
      <c r="C1706" s="9" t="s">
        <v>1827</v>
      </c>
      <c r="D1706" s="2" t="s">
        <v>1752</v>
      </c>
      <c r="E1706" s="14">
        <f t="shared" si="26"/>
        <v>1</v>
      </c>
    </row>
    <row r="1707" spans="1:5" x14ac:dyDescent="0.35">
      <c r="A1707" s="55" t="s">
        <v>2162</v>
      </c>
      <c r="B1707" s="9" t="s">
        <v>1827</v>
      </c>
      <c r="C1707" s="9" t="s">
        <v>1827</v>
      </c>
      <c r="D1707" s="2" t="s">
        <v>1752</v>
      </c>
      <c r="E1707" s="14">
        <f t="shared" si="26"/>
        <v>1</v>
      </c>
    </row>
    <row r="1708" spans="1:5" x14ac:dyDescent="0.35">
      <c r="A1708" s="55" t="s">
        <v>2163</v>
      </c>
      <c r="B1708" s="9" t="s">
        <v>1827</v>
      </c>
      <c r="C1708" s="9" t="s">
        <v>1827</v>
      </c>
      <c r="D1708" s="2" t="s">
        <v>1752</v>
      </c>
      <c r="E1708" s="14">
        <f t="shared" si="26"/>
        <v>1</v>
      </c>
    </row>
    <row r="1709" spans="1:5" x14ac:dyDescent="0.35">
      <c r="A1709" s="56" t="s">
        <v>2164</v>
      </c>
      <c r="B1709" s="9" t="s">
        <v>1827</v>
      </c>
      <c r="C1709" s="9" t="s">
        <v>1827</v>
      </c>
      <c r="D1709" s="2" t="s">
        <v>1752</v>
      </c>
      <c r="E1709" s="14">
        <f t="shared" si="26"/>
        <v>1</v>
      </c>
    </row>
    <row r="1710" spans="1:5" x14ac:dyDescent="0.35">
      <c r="A1710" s="56" t="s">
        <v>2165</v>
      </c>
      <c r="B1710" s="9" t="s">
        <v>1827</v>
      </c>
      <c r="C1710" s="9" t="s">
        <v>1827</v>
      </c>
      <c r="D1710" s="2" t="s">
        <v>1752</v>
      </c>
      <c r="E1710" s="14">
        <f t="shared" si="26"/>
        <v>1</v>
      </c>
    </row>
    <row r="1711" spans="1:5" x14ac:dyDescent="0.35">
      <c r="A1711" s="56" t="s">
        <v>2166</v>
      </c>
      <c r="B1711" s="9" t="s">
        <v>1827</v>
      </c>
      <c r="C1711" s="9" t="s">
        <v>1827</v>
      </c>
      <c r="D1711" s="2" t="s">
        <v>1752</v>
      </c>
      <c r="E1711" s="14">
        <f t="shared" si="26"/>
        <v>1</v>
      </c>
    </row>
    <row r="1712" spans="1:5" x14ac:dyDescent="0.35">
      <c r="A1712" s="55" t="s">
        <v>2167</v>
      </c>
      <c r="B1712" s="9" t="s">
        <v>1827</v>
      </c>
      <c r="C1712" s="9" t="s">
        <v>1827</v>
      </c>
      <c r="D1712" s="2" t="s">
        <v>1752</v>
      </c>
      <c r="E1712" s="14">
        <f t="shared" si="26"/>
        <v>1</v>
      </c>
    </row>
    <row r="1713" spans="1:5" x14ac:dyDescent="0.35">
      <c r="A1713" s="55" t="s">
        <v>2168</v>
      </c>
      <c r="B1713" s="9" t="s">
        <v>1827</v>
      </c>
      <c r="C1713" s="9" t="s">
        <v>1827</v>
      </c>
      <c r="D1713" s="2" t="s">
        <v>1752</v>
      </c>
      <c r="E1713" s="14">
        <f t="shared" si="26"/>
        <v>1</v>
      </c>
    </row>
    <row r="1714" spans="1:5" x14ac:dyDescent="0.35">
      <c r="A1714" s="55" t="s">
        <v>2169</v>
      </c>
      <c r="B1714" s="9" t="s">
        <v>1827</v>
      </c>
      <c r="C1714" s="9" t="s">
        <v>1827</v>
      </c>
      <c r="D1714" s="2" t="s">
        <v>1752</v>
      </c>
      <c r="E1714" s="14">
        <f t="shared" si="26"/>
        <v>1</v>
      </c>
    </row>
    <row r="1715" spans="1:5" x14ac:dyDescent="0.35">
      <c r="A1715" s="55" t="s">
        <v>2170</v>
      </c>
      <c r="B1715" s="9" t="s">
        <v>1827</v>
      </c>
      <c r="C1715" s="9" t="s">
        <v>1827</v>
      </c>
      <c r="D1715" s="2" t="s">
        <v>1752</v>
      </c>
      <c r="E1715" s="14">
        <f t="shared" si="26"/>
        <v>1</v>
      </c>
    </row>
    <row r="1716" spans="1:5" x14ac:dyDescent="0.35">
      <c r="A1716" s="55" t="s">
        <v>2171</v>
      </c>
      <c r="B1716" s="9" t="s">
        <v>1827</v>
      </c>
      <c r="C1716" s="9" t="s">
        <v>1827</v>
      </c>
      <c r="D1716" s="2" t="s">
        <v>1752</v>
      </c>
      <c r="E1716" s="14">
        <f t="shared" si="26"/>
        <v>1</v>
      </c>
    </row>
    <row r="1717" spans="1:5" x14ac:dyDescent="0.35">
      <c r="A1717" s="56" t="s">
        <v>2172</v>
      </c>
      <c r="B1717" s="9" t="s">
        <v>1827</v>
      </c>
      <c r="C1717" s="9" t="s">
        <v>1827</v>
      </c>
      <c r="D1717" s="2" t="s">
        <v>1752</v>
      </c>
      <c r="E1717" s="14">
        <f t="shared" si="26"/>
        <v>1</v>
      </c>
    </row>
    <row r="1718" spans="1:5" x14ac:dyDescent="0.35">
      <c r="A1718" s="55" t="s">
        <v>2173</v>
      </c>
      <c r="B1718" s="9" t="s">
        <v>1827</v>
      </c>
      <c r="C1718" s="9" t="s">
        <v>1827</v>
      </c>
      <c r="D1718" s="2" t="s">
        <v>1752</v>
      </c>
      <c r="E1718" s="14">
        <f t="shared" si="26"/>
        <v>1</v>
      </c>
    </row>
    <row r="1719" spans="1:5" x14ac:dyDescent="0.35">
      <c r="A1719" s="55" t="s">
        <v>2174</v>
      </c>
      <c r="B1719" s="9" t="s">
        <v>1827</v>
      </c>
      <c r="C1719" s="9" t="s">
        <v>1827</v>
      </c>
      <c r="D1719" s="2" t="s">
        <v>1752</v>
      </c>
      <c r="E1719" s="14">
        <f t="shared" si="26"/>
        <v>1</v>
      </c>
    </row>
    <row r="1720" spans="1:5" x14ac:dyDescent="0.35">
      <c r="A1720" s="55" t="s">
        <v>2175</v>
      </c>
      <c r="B1720" s="9" t="s">
        <v>1827</v>
      </c>
      <c r="C1720" s="9" t="s">
        <v>1827</v>
      </c>
      <c r="D1720" s="2" t="s">
        <v>1752</v>
      </c>
      <c r="E1720" s="14">
        <f t="shared" si="26"/>
        <v>1</v>
      </c>
    </row>
    <row r="1721" spans="1:5" x14ac:dyDescent="0.35">
      <c r="A1721" s="56" t="s">
        <v>2176</v>
      </c>
      <c r="B1721" s="9" t="s">
        <v>1827</v>
      </c>
      <c r="C1721" s="9" t="s">
        <v>1827</v>
      </c>
      <c r="D1721" s="2" t="s">
        <v>1752</v>
      </c>
      <c r="E1721" s="14">
        <f t="shared" si="26"/>
        <v>1</v>
      </c>
    </row>
    <row r="1722" spans="1:5" x14ac:dyDescent="0.35">
      <c r="A1722" s="55" t="s">
        <v>2177</v>
      </c>
      <c r="B1722" s="9" t="s">
        <v>1827</v>
      </c>
      <c r="C1722" s="9" t="s">
        <v>1827</v>
      </c>
      <c r="D1722" s="2" t="s">
        <v>1752</v>
      </c>
      <c r="E1722" s="14">
        <f t="shared" si="26"/>
        <v>1</v>
      </c>
    </row>
    <row r="1723" spans="1:5" x14ac:dyDescent="0.35">
      <c r="A1723" s="56" t="s">
        <v>2178</v>
      </c>
      <c r="B1723" s="9" t="s">
        <v>1827</v>
      </c>
      <c r="C1723" s="9" t="s">
        <v>1827</v>
      </c>
      <c r="D1723" s="2" t="s">
        <v>1752</v>
      </c>
      <c r="E1723" s="14">
        <f t="shared" si="26"/>
        <v>1</v>
      </c>
    </row>
    <row r="1724" spans="1:5" x14ac:dyDescent="0.35">
      <c r="A1724" s="55" t="s">
        <v>2179</v>
      </c>
      <c r="B1724" s="9" t="s">
        <v>1827</v>
      </c>
      <c r="C1724" s="9" t="s">
        <v>1827</v>
      </c>
      <c r="D1724" s="2" t="s">
        <v>1752</v>
      </c>
      <c r="E1724" s="14">
        <f t="shared" si="26"/>
        <v>1</v>
      </c>
    </row>
    <row r="1725" spans="1:5" x14ac:dyDescent="0.35">
      <c r="A1725" s="56" t="s">
        <v>2180</v>
      </c>
      <c r="B1725" s="9" t="s">
        <v>1827</v>
      </c>
      <c r="C1725" s="9" t="s">
        <v>1827</v>
      </c>
      <c r="D1725" s="2" t="s">
        <v>1752</v>
      </c>
      <c r="E1725" s="14">
        <f t="shared" si="26"/>
        <v>1</v>
      </c>
    </row>
    <row r="1726" spans="1:5" x14ac:dyDescent="0.35">
      <c r="A1726" s="55" t="s">
        <v>2181</v>
      </c>
      <c r="B1726" s="9" t="s">
        <v>1827</v>
      </c>
      <c r="C1726" s="9" t="s">
        <v>1827</v>
      </c>
      <c r="D1726" s="2" t="s">
        <v>1752</v>
      </c>
      <c r="E1726" s="14">
        <f t="shared" si="26"/>
        <v>1</v>
      </c>
    </row>
    <row r="1727" spans="1:5" x14ac:dyDescent="0.35">
      <c r="A1727" s="56" t="s">
        <v>2182</v>
      </c>
      <c r="B1727" s="9" t="s">
        <v>1827</v>
      </c>
      <c r="C1727" s="9" t="s">
        <v>1827</v>
      </c>
      <c r="D1727" s="2" t="s">
        <v>1752</v>
      </c>
      <c r="E1727" s="14">
        <f t="shared" si="26"/>
        <v>1</v>
      </c>
    </row>
    <row r="1728" spans="1:5" x14ac:dyDescent="0.35">
      <c r="A1728" s="55" t="s">
        <v>2183</v>
      </c>
      <c r="B1728" s="9" t="s">
        <v>1827</v>
      </c>
      <c r="C1728" s="9" t="s">
        <v>1827</v>
      </c>
      <c r="D1728" s="2" t="s">
        <v>1752</v>
      </c>
      <c r="E1728" s="14">
        <f t="shared" si="26"/>
        <v>1</v>
      </c>
    </row>
    <row r="1729" spans="1:5" x14ac:dyDescent="0.35">
      <c r="A1729" s="56" t="s">
        <v>2184</v>
      </c>
      <c r="B1729" s="9" t="s">
        <v>1827</v>
      </c>
      <c r="C1729" s="9" t="s">
        <v>1827</v>
      </c>
      <c r="D1729" s="2" t="s">
        <v>1752</v>
      </c>
      <c r="E1729" s="14">
        <f t="shared" si="26"/>
        <v>1</v>
      </c>
    </row>
    <row r="1730" spans="1:5" x14ac:dyDescent="0.35">
      <c r="A1730" s="55" t="s">
        <v>2185</v>
      </c>
      <c r="B1730" s="9" t="s">
        <v>1827</v>
      </c>
      <c r="C1730" s="9" t="s">
        <v>1827</v>
      </c>
      <c r="D1730" s="2" t="s">
        <v>1752</v>
      </c>
      <c r="E1730" s="14">
        <f t="shared" si="26"/>
        <v>1</v>
      </c>
    </row>
    <row r="1731" spans="1:5" x14ac:dyDescent="0.35">
      <c r="A1731" s="56" t="s">
        <v>2186</v>
      </c>
      <c r="B1731" s="9" t="s">
        <v>1827</v>
      </c>
      <c r="C1731" s="9" t="s">
        <v>1827</v>
      </c>
      <c r="D1731" s="2" t="s">
        <v>1752</v>
      </c>
      <c r="E1731" s="14">
        <f t="shared" ref="E1731:E1794" si="27">IF(COUNTIF(B1731:D1731,"Y")&gt;0,1,0)</f>
        <v>1</v>
      </c>
    </row>
    <row r="1732" spans="1:5" x14ac:dyDescent="0.35">
      <c r="A1732" s="55" t="s">
        <v>2187</v>
      </c>
      <c r="B1732" s="9" t="s">
        <v>1827</v>
      </c>
      <c r="C1732" s="9" t="s">
        <v>1827</v>
      </c>
      <c r="D1732" s="2" t="s">
        <v>1752</v>
      </c>
      <c r="E1732" s="14">
        <f t="shared" si="27"/>
        <v>1</v>
      </c>
    </row>
    <row r="1733" spans="1:5" x14ac:dyDescent="0.35">
      <c r="A1733" s="56" t="s">
        <v>2188</v>
      </c>
      <c r="B1733" s="9" t="s">
        <v>1827</v>
      </c>
      <c r="C1733" s="9" t="s">
        <v>1827</v>
      </c>
      <c r="D1733" s="2" t="s">
        <v>1752</v>
      </c>
      <c r="E1733" s="14">
        <f t="shared" si="27"/>
        <v>1</v>
      </c>
    </row>
    <row r="1734" spans="1:5" x14ac:dyDescent="0.35">
      <c r="A1734" s="55" t="s">
        <v>2189</v>
      </c>
      <c r="B1734" s="9" t="s">
        <v>1827</v>
      </c>
      <c r="C1734" s="9" t="s">
        <v>1827</v>
      </c>
      <c r="D1734" s="2" t="s">
        <v>1752</v>
      </c>
      <c r="E1734" s="14">
        <f t="shared" si="27"/>
        <v>1</v>
      </c>
    </row>
    <row r="1735" spans="1:5" x14ac:dyDescent="0.35">
      <c r="A1735" s="55" t="s">
        <v>2190</v>
      </c>
      <c r="B1735" s="9" t="s">
        <v>1827</v>
      </c>
      <c r="C1735" s="9" t="s">
        <v>1827</v>
      </c>
      <c r="D1735" s="2" t="s">
        <v>1752</v>
      </c>
      <c r="E1735" s="14">
        <f t="shared" si="27"/>
        <v>1</v>
      </c>
    </row>
    <row r="1736" spans="1:5" x14ac:dyDescent="0.35">
      <c r="A1736" s="56" t="s">
        <v>2191</v>
      </c>
      <c r="B1736" s="9" t="s">
        <v>1827</v>
      </c>
      <c r="C1736" s="9" t="s">
        <v>1827</v>
      </c>
      <c r="D1736" s="2" t="s">
        <v>1752</v>
      </c>
      <c r="E1736" s="14">
        <f t="shared" si="27"/>
        <v>1</v>
      </c>
    </row>
    <row r="1737" spans="1:5" x14ac:dyDescent="0.35">
      <c r="A1737" s="55" t="s">
        <v>2192</v>
      </c>
      <c r="B1737" s="9" t="s">
        <v>1827</v>
      </c>
      <c r="C1737" s="9" t="s">
        <v>1827</v>
      </c>
      <c r="D1737" s="2" t="s">
        <v>1752</v>
      </c>
      <c r="E1737" s="14">
        <f t="shared" si="27"/>
        <v>1</v>
      </c>
    </row>
    <row r="1738" spans="1:5" x14ac:dyDescent="0.35">
      <c r="A1738" s="56" t="s">
        <v>2193</v>
      </c>
      <c r="B1738" s="9" t="s">
        <v>1827</v>
      </c>
      <c r="C1738" s="9" t="s">
        <v>1827</v>
      </c>
      <c r="D1738" s="2" t="s">
        <v>1752</v>
      </c>
      <c r="E1738" s="14">
        <f t="shared" si="27"/>
        <v>1</v>
      </c>
    </row>
    <row r="1739" spans="1:5" x14ac:dyDescent="0.35">
      <c r="A1739" s="55" t="s">
        <v>2194</v>
      </c>
      <c r="B1739" s="9" t="s">
        <v>1827</v>
      </c>
      <c r="C1739" s="9" t="s">
        <v>1827</v>
      </c>
      <c r="D1739" s="2" t="s">
        <v>1752</v>
      </c>
      <c r="E1739" s="14">
        <f t="shared" si="27"/>
        <v>1</v>
      </c>
    </row>
    <row r="1740" spans="1:5" x14ac:dyDescent="0.35">
      <c r="A1740" s="56" t="s">
        <v>2195</v>
      </c>
      <c r="B1740" s="9" t="s">
        <v>1827</v>
      </c>
      <c r="C1740" s="9" t="s">
        <v>1827</v>
      </c>
      <c r="D1740" s="2" t="s">
        <v>1752</v>
      </c>
      <c r="E1740" s="14">
        <f t="shared" si="27"/>
        <v>1</v>
      </c>
    </row>
    <row r="1741" spans="1:5" x14ac:dyDescent="0.35">
      <c r="A1741" s="56" t="s">
        <v>2196</v>
      </c>
      <c r="B1741" s="9" t="s">
        <v>1827</v>
      </c>
      <c r="C1741" s="9" t="s">
        <v>1827</v>
      </c>
      <c r="D1741" s="2" t="s">
        <v>1752</v>
      </c>
      <c r="E1741" s="14">
        <f t="shared" si="27"/>
        <v>1</v>
      </c>
    </row>
    <row r="1742" spans="1:5" x14ac:dyDescent="0.35">
      <c r="A1742" s="56" t="s">
        <v>2197</v>
      </c>
      <c r="B1742" s="9" t="s">
        <v>1827</v>
      </c>
      <c r="C1742" s="9" t="s">
        <v>1827</v>
      </c>
      <c r="D1742" s="2" t="s">
        <v>1752</v>
      </c>
      <c r="E1742" s="14">
        <f t="shared" si="27"/>
        <v>1</v>
      </c>
    </row>
    <row r="1743" spans="1:5" x14ac:dyDescent="0.35">
      <c r="A1743" s="55" t="s">
        <v>2198</v>
      </c>
      <c r="B1743" s="9" t="s">
        <v>1827</v>
      </c>
      <c r="C1743" s="9" t="s">
        <v>1827</v>
      </c>
      <c r="D1743" s="2" t="s">
        <v>1752</v>
      </c>
      <c r="E1743" s="14">
        <f t="shared" si="27"/>
        <v>1</v>
      </c>
    </row>
    <row r="1744" spans="1:5" x14ac:dyDescent="0.35">
      <c r="A1744" s="56" t="s">
        <v>2199</v>
      </c>
      <c r="B1744" s="9" t="s">
        <v>1827</v>
      </c>
      <c r="C1744" s="9" t="s">
        <v>1827</v>
      </c>
      <c r="D1744" s="2" t="s">
        <v>1752</v>
      </c>
      <c r="E1744" s="14">
        <f t="shared" si="27"/>
        <v>1</v>
      </c>
    </row>
    <row r="1745" spans="1:5" x14ac:dyDescent="0.35">
      <c r="A1745" s="55" t="s">
        <v>2200</v>
      </c>
      <c r="B1745" s="9" t="s">
        <v>1827</v>
      </c>
      <c r="C1745" s="9" t="s">
        <v>1827</v>
      </c>
      <c r="D1745" s="2" t="s">
        <v>1752</v>
      </c>
      <c r="E1745" s="14">
        <f t="shared" si="27"/>
        <v>1</v>
      </c>
    </row>
    <row r="1746" spans="1:5" x14ac:dyDescent="0.35">
      <c r="A1746" s="56" t="s">
        <v>2201</v>
      </c>
      <c r="B1746" s="9" t="s">
        <v>1827</v>
      </c>
      <c r="C1746" s="9" t="s">
        <v>1827</v>
      </c>
      <c r="D1746" s="2" t="s">
        <v>1752</v>
      </c>
      <c r="E1746" s="14">
        <f t="shared" si="27"/>
        <v>1</v>
      </c>
    </row>
    <row r="1747" spans="1:5" x14ac:dyDescent="0.35">
      <c r="A1747" s="55" t="s">
        <v>2202</v>
      </c>
      <c r="B1747" s="9" t="s">
        <v>1827</v>
      </c>
      <c r="C1747" s="9" t="s">
        <v>1827</v>
      </c>
      <c r="D1747" s="2" t="s">
        <v>1752</v>
      </c>
      <c r="E1747" s="14">
        <f t="shared" si="27"/>
        <v>1</v>
      </c>
    </row>
    <row r="1748" spans="1:5" x14ac:dyDescent="0.35">
      <c r="A1748" s="56" t="s">
        <v>2203</v>
      </c>
      <c r="B1748" s="9" t="s">
        <v>1827</v>
      </c>
      <c r="C1748" s="9" t="s">
        <v>1827</v>
      </c>
      <c r="D1748" s="2" t="s">
        <v>1752</v>
      </c>
      <c r="E1748" s="14">
        <f t="shared" si="27"/>
        <v>1</v>
      </c>
    </row>
    <row r="1749" spans="1:5" x14ac:dyDescent="0.35">
      <c r="A1749" s="55" t="s">
        <v>2204</v>
      </c>
      <c r="B1749" s="9" t="s">
        <v>1827</v>
      </c>
      <c r="C1749" s="9" t="s">
        <v>1827</v>
      </c>
      <c r="D1749" s="2" t="s">
        <v>1752</v>
      </c>
      <c r="E1749" s="14">
        <f t="shared" si="27"/>
        <v>1</v>
      </c>
    </row>
    <row r="1750" spans="1:5" x14ac:dyDescent="0.35">
      <c r="A1750" s="55" t="s">
        <v>2205</v>
      </c>
      <c r="B1750" s="9" t="s">
        <v>1827</v>
      </c>
      <c r="C1750" s="9" t="s">
        <v>1827</v>
      </c>
      <c r="D1750" s="2" t="s">
        <v>1752</v>
      </c>
      <c r="E1750" s="14">
        <f t="shared" si="27"/>
        <v>1</v>
      </c>
    </row>
    <row r="1751" spans="1:5" x14ac:dyDescent="0.35">
      <c r="A1751" s="56" t="s">
        <v>2206</v>
      </c>
      <c r="B1751" s="9" t="s">
        <v>1827</v>
      </c>
      <c r="C1751" s="9" t="s">
        <v>1827</v>
      </c>
      <c r="D1751" s="2" t="s">
        <v>1752</v>
      </c>
      <c r="E1751" s="14">
        <f t="shared" si="27"/>
        <v>1</v>
      </c>
    </row>
    <row r="1752" spans="1:5" x14ac:dyDescent="0.35">
      <c r="A1752" s="55" t="s">
        <v>2207</v>
      </c>
      <c r="B1752" s="9" t="s">
        <v>1827</v>
      </c>
      <c r="C1752" s="9" t="s">
        <v>1827</v>
      </c>
      <c r="D1752" s="2" t="s">
        <v>1752</v>
      </c>
      <c r="E1752" s="14">
        <f t="shared" si="27"/>
        <v>1</v>
      </c>
    </row>
    <row r="1753" spans="1:5" x14ac:dyDescent="0.35">
      <c r="A1753" s="56" t="s">
        <v>2208</v>
      </c>
      <c r="B1753" s="9" t="s">
        <v>1827</v>
      </c>
      <c r="C1753" s="9" t="s">
        <v>1827</v>
      </c>
      <c r="D1753" s="2" t="s">
        <v>1752</v>
      </c>
      <c r="E1753" s="14">
        <f t="shared" si="27"/>
        <v>1</v>
      </c>
    </row>
    <row r="1754" spans="1:5" x14ac:dyDescent="0.35">
      <c r="A1754" s="55" t="s">
        <v>2209</v>
      </c>
      <c r="B1754" s="9" t="s">
        <v>1827</v>
      </c>
      <c r="C1754" s="9" t="s">
        <v>1827</v>
      </c>
      <c r="D1754" s="2" t="s">
        <v>1752</v>
      </c>
      <c r="E1754" s="14">
        <f t="shared" si="27"/>
        <v>1</v>
      </c>
    </row>
    <row r="1755" spans="1:5" x14ac:dyDescent="0.35">
      <c r="A1755" s="56" t="s">
        <v>2210</v>
      </c>
      <c r="B1755" s="9" t="s">
        <v>1827</v>
      </c>
      <c r="C1755" s="9" t="s">
        <v>1827</v>
      </c>
      <c r="D1755" s="2" t="s">
        <v>1752</v>
      </c>
      <c r="E1755" s="14">
        <f t="shared" si="27"/>
        <v>1</v>
      </c>
    </row>
    <row r="1756" spans="1:5" x14ac:dyDescent="0.35">
      <c r="A1756" s="55" t="s">
        <v>2211</v>
      </c>
      <c r="B1756" s="9" t="s">
        <v>1827</v>
      </c>
      <c r="C1756" s="9" t="s">
        <v>1827</v>
      </c>
      <c r="D1756" s="2" t="s">
        <v>1752</v>
      </c>
      <c r="E1756" s="14">
        <f t="shared" si="27"/>
        <v>1</v>
      </c>
    </row>
    <row r="1757" spans="1:5" x14ac:dyDescent="0.35">
      <c r="A1757" s="56" t="s">
        <v>2212</v>
      </c>
      <c r="B1757" s="9" t="s">
        <v>1827</v>
      </c>
      <c r="C1757" s="9" t="s">
        <v>1827</v>
      </c>
      <c r="D1757" s="2" t="s">
        <v>1752</v>
      </c>
      <c r="E1757" s="14">
        <f t="shared" si="27"/>
        <v>1</v>
      </c>
    </row>
    <row r="1758" spans="1:5" x14ac:dyDescent="0.35">
      <c r="A1758" s="55" t="s">
        <v>2213</v>
      </c>
      <c r="B1758" s="9" t="s">
        <v>1827</v>
      </c>
      <c r="C1758" s="9" t="s">
        <v>1827</v>
      </c>
      <c r="D1758" s="2" t="s">
        <v>1752</v>
      </c>
      <c r="E1758" s="14">
        <f t="shared" si="27"/>
        <v>1</v>
      </c>
    </row>
    <row r="1759" spans="1:5" x14ac:dyDescent="0.35">
      <c r="A1759" s="56" t="s">
        <v>2214</v>
      </c>
      <c r="B1759" s="9" t="s">
        <v>1827</v>
      </c>
      <c r="C1759" s="9" t="s">
        <v>1827</v>
      </c>
      <c r="D1759" s="2" t="s">
        <v>1752</v>
      </c>
      <c r="E1759" s="14">
        <f t="shared" si="27"/>
        <v>1</v>
      </c>
    </row>
    <row r="1760" spans="1:5" x14ac:dyDescent="0.35">
      <c r="A1760" s="55" t="s">
        <v>2215</v>
      </c>
      <c r="B1760" s="9" t="s">
        <v>1827</v>
      </c>
      <c r="C1760" s="9" t="s">
        <v>1827</v>
      </c>
      <c r="D1760" s="2" t="s">
        <v>1752</v>
      </c>
      <c r="E1760" s="14">
        <f t="shared" si="27"/>
        <v>1</v>
      </c>
    </row>
    <row r="1761" spans="1:5" x14ac:dyDescent="0.35">
      <c r="A1761" s="56" t="s">
        <v>2216</v>
      </c>
      <c r="B1761" s="9" t="s">
        <v>1827</v>
      </c>
      <c r="C1761" s="9" t="s">
        <v>1827</v>
      </c>
      <c r="D1761" s="2" t="s">
        <v>1752</v>
      </c>
      <c r="E1761" s="14">
        <f t="shared" si="27"/>
        <v>1</v>
      </c>
    </row>
    <row r="1762" spans="1:5" x14ac:dyDescent="0.35">
      <c r="A1762" s="55" t="s">
        <v>2217</v>
      </c>
      <c r="B1762" s="9" t="s">
        <v>1827</v>
      </c>
      <c r="C1762" s="9" t="s">
        <v>1827</v>
      </c>
      <c r="D1762" s="2" t="s">
        <v>1752</v>
      </c>
      <c r="E1762" s="14">
        <f t="shared" si="27"/>
        <v>1</v>
      </c>
    </row>
    <row r="1763" spans="1:5" x14ac:dyDescent="0.35">
      <c r="A1763" s="56" t="s">
        <v>2218</v>
      </c>
      <c r="B1763" s="9" t="s">
        <v>1827</v>
      </c>
      <c r="C1763" s="9" t="s">
        <v>1827</v>
      </c>
      <c r="D1763" s="2" t="s">
        <v>1752</v>
      </c>
      <c r="E1763" s="14">
        <f t="shared" si="27"/>
        <v>1</v>
      </c>
    </row>
    <row r="1764" spans="1:5" x14ac:dyDescent="0.35">
      <c r="A1764" s="55" t="s">
        <v>2219</v>
      </c>
      <c r="B1764" s="9" t="s">
        <v>1827</v>
      </c>
      <c r="C1764" s="9" t="s">
        <v>1827</v>
      </c>
      <c r="D1764" s="2" t="s">
        <v>1752</v>
      </c>
      <c r="E1764" s="14">
        <f t="shared" si="27"/>
        <v>1</v>
      </c>
    </row>
    <row r="1765" spans="1:5" x14ac:dyDescent="0.35">
      <c r="A1765" s="56" t="s">
        <v>2220</v>
      </c>
      <c r="B1765" s="9" t="s">
        <v>1827</v>
      </c>
      <c r="C1765" s="9" t="s">
        <v>1827</v>
      </c>
      <c r="D1765" s="2" t="s">
        <v>1752</v>
      </c>
      <c r="E1765" s="14">
        <f t="shared" si="27"/>
        <v>1</v>
      </c>
    </row>
    <row r="1766" spans="1:5" x14ac:dyDescent="0.35">
      <c r="A1766" s="55" t="s">
        <v>2221</v>
      </c>
      <c r="B1766" s="9" t="s">
        <v>1827</v>
      </c>
      <c r="C1766" s="9" t="s">
        <v>1827</v>
      </c>
      <c r="D1766" s="2" t="s">
        <v>1752</v>
      </c>
      <c r="E1766" s="14">
        <f t="shared" si="27"/>
        <v>1</v>
      </c>
    </row>
    <row r="1767" spans="1:5" x14ac:dyDescent="0.35">
      <c r="A1767" s="56" t="s">
        <v>2222</v>
      </c>
      <c r="B1767" s="9" t="s">
        <v>1827</v>
      </c>
      <c r="C1767" s="9" t="s">
        <v>1827</v>
      </c>
      <c r="D1767" s="2" t="s">
        <v>1752</v>
      </c>
      <c r="E1767" s="14">
        <f t="shared" si="27"/>
        <v>1</v>
      </c>
    </row>
    <row r="1768" spans="1:5" x14ac:dyDescent="0.35">
      <c r="A1768" s="55" t="s">
        <v>2223</v>
      </c>
      <c r="B1768" s="9" t="s">
        <v>1827</v>
      </c>
      <c r="C1768" s="9" t="s">
        <v>1827</v>
      </c>
      <c r="D1768" s="2" t="s">
        <v>1752</v>
      </c>
      <c r="E1768" s="14">
        <f t="shared" si="27"/>
        <v>1</v>
      </c>
    </row>
    <row r="1769" spans="1:5" x14ac:dyDescent="0.35">
      <c r="A1769" s="56" t="s">
        <v>2224</v>
      </c>
      <c r="B1769" s="9" t="s">
        <v>1827</v>
      </c>
      <c r="C1769" s="9" t="s">
        <v>1827</v>
      </c>
      <c r="D1769" s="2" t="s">
        <v>1752</v>
      </c>
      <c r="E1769" s="14">
        <f t="shared" si="27"/>
        <v>1</v>
      </c>
    </row>
    <row r="1770" spans="1:5" x14ac:dyDescent="0.35">
      <c r="A1770" s="55" t="s">
        <v>2225</v>
      </c>
      <c r="B1770" s="9" t="s">
        <v>1827</v>
      </c>
      <c r="C1770" s="9" t="s">
        <v>1827</v>
      </c>
      <c r="D1770" s="2" t="s">
        <v>1752</v>
      </c>
      <c r="E1770" s="14">
        <f t="shared" si="27"/>
        <v>1</v>
      </c>
    </row>
    <row r="1771" spans="1:5" x14ac:dyDescent="0.35">
      <c r="A1771" s="56" t="s">
        <v>2226</v>
      </c>
      <c r="B1771" s="9" t="s">
        <v>1827</v>
      </c>
      <c r="C1771" s="9" t="s">
        <v>1827</v>
      </c>
      <c r="D1771" s="2" t="s">
        <v>1752</v>
      </c>
      <c r="E1771" s="14">
        <f t="shared" si="27"/>
        <v>1</v>
      </c>
    </row>
    <row r="1772" spans="1:5" x14ac:dyDescent="0.35">
      <c r="A1772" s="55" t="s">
        <v>2227</v>
      </c>
      <c r="B1772" s="9" t="s">
        <v>1827</v>
      </c>
      <c r="C1772" s="9" t="s">
        <v>1827</v>
      </c>
      <c r="D1772" s="2" t="s">
        <v>1752</v>
      </c>
      <c r="E1772" s="14">
        <f t="shared" si="27"/>
        <v>1</v>
      </c>
    </row>
    <row r="1773" spans="1:5" x14ac:dyDescent="0.35">
      <c r="A1773" s="56" t="s">
        <v>2228</v>
      </c>
      <c r="B1773" s="9" t="s">
        <v>1827</v>
      </c>
      <c r="C1773" s="9" t="s">
        <v>1827</v>
      </c>
      <c r="D1773" s="2" t="s">
        <v>1752</v>
      </c>
      <c r="E1773" s="14">
        <f t="shared" si="27"/>
        <v>1</v>
      </c>
    </row>
    <row r="1774" spans="1:5" x14ac:dyDescent="0.35">
      <c r="A1774" s="55" t="s">
        <v>2229</v>
      </c>
      <c r="B1774" s="9" t="s">
        <v>1827</v>
      </c>
      <c r="C1774" s="9" t="s">
        <v>1827</v>
      </c>
      <c r="D1774" s="2" t="s">
        <v>1752</v>
      </c>
      <c r="E1774" s="14">
        <f t="shared" si="27"/>
        <v>1</v>
      </c>
    </row>
    <row r="1775" spans="1:5" x14ac:dyDescent="0.35">
      <c r="A1775" s="55" t="s">
        <v>2230</v>
      </c>
      <c r="B1775" s="9" t="s">
        <v>1827</v>
      </c>
      <c r="C1775" s="9" t="s">
        <v>1827</v>
      </c>
      <c r="D1775" s="2" t="s">
        <v>1752</v>
      </c>
      <c r="E1775" s="14">
        <f t="shared" si="27"/>
        <v>1</v>
      </c>
    </row>
    <row r="1776" spans="1:5" x14ac:dyDescent="0.35">
      <c r="A1776" s="55" t="s">
        <v>2231</v>
      </c>
      <c r="B1776" s="9" t="s">
        <v>1827</v>
      </c>
      <c r="C1776" s="9" t="s">
        <v>1827</v>
      </c>
      <c r="D1776" s="2" t="s">
        <v>1752</v>
      </c>
      <c r="E1776" s="14">
        <f t="shared" si="27"/>
        <v>1</v>
      </c>
    </row>
    <row r="1777" spans="1:5" x14ac:dyDescent="0.35">
      <c r="A1777" s="55" t="s">
        <v>2232</v>
      </c>
      <c r="B1777" s="9" t="s">
        <v>1827</v>
      </c>
      <c r="C1777" s="9" t="s">
        <v>1827</v>
      </c>
      <c r="D1777" s="2" t="s">
        <v>1752</v>
      </c>
      <c r="E1777" s="14">
        <f t="shared" si="27"/>
        <v>1</v>
      </c>
    </row>
    <row r="1778" spans="1:5" x14ac:dyDescent="0.35">
      <c r="A1778" s="56" t="s">
        <v>2233</v>
      </c>
      <c r="B1778" s="9" t="s">
        <v>1827</v>
      </c>
      <c r="C1778" s="9" t="s">
        <v>1827</v>
      </c>
      <c r="D1778" s="2" t="s">
        <v>1752</v>
      </c>
      <c r="E1778" s="14">
        <f t="shared" si="27"/>
        <v>1</v>
      </c>
    </row>
    <row r="1779" spans="1:5" x14ac:dyDescent="0.35">
      <c r="A1779" s="55" t="s">
        <v>2234</v>
      </c>
      <c r="B1779" s="9" t="s">
        <v>1827</v>
      </c>
      <c r="C1779" s="9" t="s">
        <v>1827</v>
      </c>
      <c r="D1779" s="2" t="s">
        <v>1752</v>
      </c>
      <c r="E1779" s="14">
        <f t="shared" si="27"/>
        <v>1</v>
      </c>
    </row>
    <row r="1780" spans="1:5" x14ac:dyDescent="0.35">
      <c r="A1780" s="56" t="s">
        <v>2235</v>
      </c>
      <c r="B1780" s="9" t="s">
        <v>1827</v>
      </c>
      <c r="C1780" s="9" t="s">
        <v>1827</v>
      </c>
      <c r="D1780" s="2" t="s">
        <v>1752</v>
      </c>
      <c r="E1780" s="14">
        <f t="shared" si="27"/>
        <v>1</v>
      </c>
    </row>
    <row r="1781" spans="1:5" x14ac:dyDescent="0.35">
      <c r="A1781" s="55" t="s">
        <v>2236</v>
      </c>
      <c r="B1781" s="9" t="s">
        <v>1827</v>
      </c>
      <c r="C1781" s="9" t="s">
        <v>1827</v>
      </c>
      <c r="D1781" s="2" t="s">
        <v>1752</v>
      </c>
      <c r="E1781" s="14">
        <f t="shared" si="27"/>
        <v>1</v>
      </c>
    </row>
    <row r="1782" spans="1:5" x14ac:dyDescent="0.35">
      <c r="A1782" s="56" t="s">
        <v>2237</v>
      </c>
      <c r="B1782" s="9" t="s">
        <v>1827</v>
      </c>
      <c r="C1782" s="9" t="s">
        <v>1827</v>
      </c>
      <c r="D1782" s="2" t="s">
        <v>1752</v>
      </c>
      <c r="E1782" s="14">
        <f t="shared" si="27"/>
        <v>1</v>
      </c>
    </row>
    <row r="1783" spans="1:5" x14ac:dyDescent="0.35">
      <c r="A1783" s="55" t="s">
        <v>2238</v>
      </c>
      <c r="B1783" s="9" t="s">
        <v>1827</v>
      </c>
      <c r="C1783" s="9" t="s">
        <v>1827</v>
      </c>
      <c r="D1783" s="2" t="s">
        <v>1752</v>
      </c>
      <c r="E1783" s="14">
        <f t="shared" si="27"/>
        <v>1</v>
      </c>
    </row>
    <row r="1784" spans="1:5" x14ac:dyDescent="0.35">
      <c r="A1784" s="56" t="s">
        <v>2239</v>
      </c>
      <c r="B1784" s="9" t="s">
        <v>1827</v>
      </c>
      <c r="C1784" s="9" t="s">
        <v>1827</v>
      </c>
      <c r="D1784" s="2" t="s">
        <v>1752</v>
      </c>
      <c r="E1784" s="14">
        <f t="shared" si="27"/>
        <v>1</v>
      </c>
    </row>
    <row r="1785" spans="1:5" x14ac:dyDescent="0.35">
      <c r="A1785" s="55" t="s">
        <v>2240</v>
      </c>
      <c r="B1785" s="9" t="s">
        <v>1827</v>
      </c>
      <c r="C1785" s="9" t="s">
        <v>1827</v>
      </c>
      <c r="D1785" s="2" t="s">
        <v>1752</v>
      </c>
      <c r="E1785" s="14">
        <f t="shared" si="27"/>
        <v>1</v>
      </c>
    </row>
    <row r="1786" spans="1:5" x14ac:dyDescent="0.35">
      <c r="A1786" s="55" t="s">
        <v>2241</v>
      </c>
      <c r="B1786" s="9" t="s">
        <v>1827</v>
      </c>
      <c r="C1786" s="9" t="s">
        <v>1827</v>
      </c>
      <c r="D1786" s="2" t="s">
        <v>1752</v>
      </c>
      <c r="E1786" s="14">
        <f t="shared" si="27"/>
        <v>1</v>
      </c>
    </row>
    <row r="1787" spans="1:5" x14ac:dyDescent="0.35">
      <c r="A1787" s="56" t="s">
        <v>2242</v>
      </c>
      <c r="B1787" s="9" t="s">
        <v>1827</v>
      </c>
      <c r="C1787" s="9" t="s">
        <v>1827</v>
      </c>
      <c r="D1787" s="2" t="s">
        <v>1752</v>
      </c>
      <c r="E1787" s="14">
        <f t="shared" si="27"/>
        <v>1</v>
      </c>
    </row>
    <row r="1788" spans="1:5" x14ac:dyDescent="0.35">
      <c r="A1788" s="55" t="s">
        <v>2243</v>
      </c>
      <c r="B1788" s="9" t="s">
        <v>1827</v>
      </c>
      <c r="C1788" s="9" t="s">
        <v>1827</v>
      </c>
      <c r="D1788" s="2" t="s">
        <v>1752</v>
      </c>
      <c r="E1788" s="14">
        <f t="shared" si="27"/>
        <v>1</v>
      </c>
    </row>
    <row r="1789" spans="1:5" x14ac:dyDescent="0.35">
      <c r="A1789" s="56" t="s">
        <v>2244</v>
      </c>
      <c r="B1789" s="9" t="s">
        <v>1827</v>
      </c>
      <c r="C1789" s="9" t="s">
        <v>1827</v>
      </c>
      <c r="D1789" s="2" t="s">
        <v>1752</v>
      </c>
      <c r="E1789" s="14">
        <f t="shared" si="27"/>
        <v>1</v>
      </c>
    </row>
    <row r="1790" spans="1:5" x14ac:dyDescent="0.35">
      <c r="A1790" s="55" t="s">
        <v>2245</v>
      </c>
      <c r="B1790" s="9" t="s">
        <v>1827</v>
      </c>
      <c r="C1790" s="9" t="s">
        <v>1827</v>
      </c>
      <c r="D1790" s="2" t="s">
        <v>1752</v>
      </c>
      <c r="E1790" s="14">
        <f t="shared" si="27"/>
        <v>1</v>
      </c>
    </row>
    <row r="1791" spans="1:5" x14ac:dyDescent="0.35">
      <c r="A1791" s="56" t="s">
        <v>2246</v>
      </c>
      <c r="B1791" s="9" t="s">
        <v>1827</v>
      </c>
      <c r="C1791" s="9" t="s">
        <v>1827</v>
      </c>
      <c r="D1791" s="2" t="s">
        <v>1752</v>
      </c>
      <c r="E1791" s="14">
        <f t="shared" si="27"/>
        <v>1</v>
      </c>
    </row>
    <row r="1792" spans="1:5" x14ac:dyDescent="0.35">
      <c r="A1792" s="55" t="s">
        <v>2247</v>
      </c>
      <c r="B1792" s="9" t="s">
        <v>1827</v>
      </c>
      <c r="C1792" s="9" t="s">
        <v>1827</v>
      </c>
      <c r="D1792" s="2" t="s">
        <v>1752</v>
      </c>
      <c r="E1792" s="14">
        <f t="shared" si="27"/>
        <v>1</v>
      </c>
    </row>
    <row r="1793" spans="1:5" x14ac:dyDescent="0.35">
      <c r="A1793" s="56" t="s">
        <v>2248</v>
      </c>
      <c r="B1793" s="9" t="s">
        <v>1827</v>
      </c>
      <c r="C1793" s="9" t="s">
        <v>1827</v>
      </c>
      <c r="D1793" s="2" t="s">
        <v>1752</v>
      </c>
      <c r="E1793" s="14">
        <f t="shared" si="27"/>
        <v>1</v>
      </c>
    </row>
    <row r="1794" spans="1:5" x14ac:dyDescent="0.35">
      <c r="A1794" s="55" t="s">
        <v>2249</v>
      </c>
      <c r="B1794" s="9" t="s">
        <v>1827</v>
      </c>
      <c r="C1794" s="9" t="s">
        <v>1827</v>
      </c>
      <c r="D1794" s="2" t="s">
        <v>1752</v>
      </c>
      <c r="E1794" s="14">
        <f t="shared" si="27"/>
        <v>1</v>
      </c>
    </row>
    <row r="1795" spans="1:5" x14ac:dyDescent="0.35">
      <c r="A1795" s="56" t="s">
        <v>2250</v>
      </c>
      <c r="B1795" s="9" t="s">
        <v>1827</v>
      </c>
      <c r="C1795" s="9" t="s">
        <v>1827</v>
      </c>
      <c r="D1795" s="2" t="s">
        <v>1752</v>
      </c>
      <c r="E1795" s="14">
        <f t="shared" ref="E1795:E1824" si="28">IF(COUNTIF(B1795:D1795,"Y")&gt;0,1,0)</f>
        <v>1</v>
      </c>
    </row>
    <row r="1796" spans="1:5" x14ac:dyDescent="0.35">
      <c r="A1796" s="55" t="s">
        <v>2251</v>
      </c>
      <c r="B1796" s="9" t="s">
        <v>1827</v>
      </c>
      <c r="C1796" s="9" t="s">
        <v>1827</v>
      </c>
      <c r="D1796" s="2" t="s">
        <v>1752</v>
      </c>
      <c r="E1796" s="14">
        <f t="shared" si="28"/>
        <v>1</v>
      </c>
    </row>
    <row r="1797" spans="1:5" x14ac:dyDescent="0.35">
      <c r="A1797" s="56" t="s">
        <v>2252</v>
      </c>
      <c r="B1797" s="9" t="s">
        <v>1827</v>
      </c>
      <c r="C1797" s="9" t="s">
        <v>1827</v>
      </c>
      <c r="D1797" s="2" t="s">
        <v>1752</v>
      </c>
      <c r="E1797" s="14">
        <f t="shared" si="28"/>
        <v>1</v>
      </c>
    </row>
    <row r="1798" spans="1:5" x14ac:dyDescent="0.35">
      <c r="A1798" s="55" t="s">
        <v>2253</v>
      </c>
      <c r="B1798" s="9" t="s">
        <v>1827</v>
      </c>
      <c r="C1798" s="9" t="s">
        <v>1827</v>
      </c>
      <c r="D1798" s="2" t="s">
        <v>1752</v>
      </c>
      <c r="E1798" s="14">
        <f t="shared" si="28"/>
        <v>1</v>
      </c>
    </row>
    <row r="1799" spans="1:5" x14ac:dyDescent="0.35">
      <c r="A1799" s="55" t="s">
        <v>2254</v>
      </c>
      <c r="B1799" s="9" t="s">
        <v>1827</v>
      </c>
      <c r="C1799" s="9" t="s">
        <v>1827</v>
      </c>
      <c r="D1799" s="2" t="s">
        <v>1752</v>
      </c>
      <c r="E1799" s="14">
        <f t="shared" si="28"/>
        <v>1</v>
      </c>
    </row>
    <row r="1800" spans="1:5" x14ac:dyDescent="0.35">
      <c r="A1800" s="56" t="s">
        <v>2255</v>
      </c>
      <c r="B1800" s="9" t="s">
        <v>1827</v>
      </c>
      <c r="C1800" s="9" t="s">
        <v>1827</v>
      </c>
      <c r="D1800" s="2" t="s">
        <v>1752</v>
      </c>
      <c r="E1800" s="14">
        <f t="shared" si="28"/>
        <v>1</v>
      </c>
    </row>
    <row r="1801" spans="1:5" x14ac:dyDescent="0.35">
      <c r="A1801" s="55" t="s">
        <v>2256</v>
      </c>
      <c r="B1801" s="9" t="s">
        <v>1827</v>
      </c>
      <c r="C1801" s="9" t="s">
        <v>1827</v>
      </c>
      <c r="D1801" s="2" t="s">
        <v>1752</v>
      </c>
      <c r="E1801" s="14">
        <f t="shared" si="28"/>
        <v>1</v>
      </c>
    </row>
    <row r="1802" spans="1:5" x14ac:dyDescent="0.35">
      <c r="A1802" s="55" t="s">
        <v>2257</v>
      </c>
      <c r="B1802" s="9" t="s">
        <v>1827</v>
      </c>
      <c r="C1802" s="9" t="s">
        <v>1827</v>
      </c>
      <c r="D1802" s="2" t="s">
        <v>1752</v>
      </c>
      <c r="E1802" s="14">
        <f t="shared" si="28"/>
        <v>1</v>
      </c>
    </row>
    <row r="1803" spans="1:5" x14ac:dyDescent="0.35">
      <c r="A1803" s="55" t="s">
        <v>2258</v>
      </c>
      <c r="B1803" s="9" t="s">
        <v>1827</v>
      </c>
      <c r="C1803" s="9" t="s">
        <v>1827</v>
      </c>
      <c r="D1803" s="2" t="s">
        <v>1752</v>
      </c>
      <c r="E1803" s="14">
        <f t="shared" si="28"/>
        <v>1</v>
      </c>
    </row>
    <row r="1804" spans="1:5" x14ac:dyDescent="0.35">
      <c r="A1804" s="56" t="s">
        <v>2259</v>
      </c>
      <c r="B1804" s="9" t="s">
        <v>1827</v>
      </c>
      <c r="C1804" s="9" t="s">
        <v>1827</v>
      </c>
      <c r="D1804" s="2" t="s">
        <v>1752</v>
      </c>
      <c r="E1804" s="14">
        <f t="shared" si="28"/>
        <v>1</v>
      </c>
    </row>
    <row r="1805" spans="1:5" x14ac:dyDescent="0.35">
      <c r="A1805" s="55" t="s">
        <v>2260</v>
      </c>
      <c r="B1805" s="9" t="s">
        <v>1827</v>
      </c>
      <c r="C1805" s="9" t="s">
        <v>1827</v>
      </c>
      <c r="D1805" s="2" t="s">
        <v>1752</v>
      </c>
      <c r="E1805" s="14">
        <f t="shared" si="28"/>
        <v>1</v>
      </c>
    </row>
    <row r="1806" spans="1:5" x14ac:dyDescent="0.35">
      <c r="A1806" s="56" t="s">
        <v>2261</v>
      </c>
      <c r="B1806" s="9" t="s">
        <v>1827</v>
      </c>
      <c r="C1806" s="9" t="s">
        <v>1827</v>
      </c>
      <c r="D1806" s="2" t="s">
        <v>1752</v>
      </c>
      <c r="E1806" s="14">
        <f t="shared" si="28"/>
        <v>1</v>
      </c>
    </row>
    <row r="1807" spans="1:5" x14ac:dyDescent="0.35">
      <c r="A1807" s="55" t="s">
        <v>2262</v>
      </c>
      <c r="B1807" s="9" t="s">
        <v>1827</v>
      </c>
      <c r="C1807" s="9" t="s">
        <v>1827</v>
      </c>
      <c r="D1807" s="2" t="s">
        <v>1752</v>
      </c>
      <c r="E1807" s="14">
        <f t="shared" si="28"/>
        <v>1</v>
      </c>
    </row>
    <row r="1808" spans="1:5" x14ac:dyDescent="0.35">
      <c r="A1808" s="56" t="s">
        <v>2263</v>
      </c>
      <c r="B1808" s="9" t="s">
        <v>1827</v>
      </c>
      <c r="C1808" s="9" t="s">
        <v>1827</v>
      </c>
      <c r="D1808" s="2" t="s">
        <v>1752</v>
      </c>
      <c r="E1808" s="14">
        <f t="shared" si="28"/>
        <v>1</v>
      </c>
    </row>
    <row r="1809" spans="1:14" x14ac:dyDescent="0.35">
      <c r="A1809" s="55" t="s">
        <v>2264</v>
      </c>
      <c r="B1809" s="9" t="s">
        <v>1827</v>
      </c>
      <c r="C1809" s="9" t="s">
        <v>1827</v>
      </c>
      <c r="D1809" s="2" t="s">
        <v>1752</v>
      </c>
      <c r="E1809" s="14">
        <f t="shared" si="28"/>
        <v>1</v>
      </c>
    </row>
    <row r="1810" spans="1:14" x14ac:dyDescent="0.35">
      <c r="A1810" s="56" t="s">
        <v>2265</v>
      </c>
      <c r="B1810" s="9" t="s">
        <v>1827</v>
      </c>
      <c r="C1810" s="9" t="s">
        <v>1827</v>
      </c>
      <c r="D1810" s="2" t="s">
        <v>1752</v>
      </c>
      <c r="E1810" s="14">
        <f t="shared" si="28"/>
        <v>1</v>
      </c>
    </row>
    <row r="1811" spans="1:14" x14ac:dyDescent="0.35">
      <c r="A1811" s="55" t="s">
        <v>2266</v>
      </c>
      <c r="B1811" s="9" t="s">
        <v>1827</v>
      </c>
      <c r="C1811" s="9" t="s">
        <v>1827</v>
      </c>
      <c r="D1811" s="2" t="s">
        <v>1752</v>
      </c>
      <c r="E1811" s="14">
        <f t="shared" si="28"/>
        <v>1</v>
      </c>
    </row>
    <row r="1812" spans="1:14" x14ac:dyDescent="0.35">
      <c r="A1812" s="56" t="s">
        <v>2267</v>
      </c>
      <c r="B1812" s="9" t="s">
        <v>1827</v>
      </c>
      <c r="C1812" s="9" t="s">
        <v>1827</v>
      </c>
      <c r="D1812" s="2" t="s">
        <v>1752</v>
      </c>
      <c r="E1812" s="14">
        <f t="shared" si="28"/>
        <v>1</v>
      </c>
    </row>
    <row r="1813" spans="1:14" x14ac:dyDescent="0.35">
      <c r="A1813" s="55" t="s">
        <v>2268</v>
      </c>
      <c r="B1813" s="9" t="s">
        <v>1827</v>
      </c>
      <c r="C1813" s="9" t="s">
        <v>1827</v>
      </c>
      <c r="D1813" s="2" t="s">
        <v>1752</v>
      </c>
      <c r="E1813" s="14">
        <f t="shared" si="28"/>
        <v>1</v>
      </c>
    </row>
    <row r="1814" spans="1:14" x14ac:dyDescent="0.35">
      <c r="A1814" s="56" t="s">
        <v>2269</v>
      </c>
      <c r="B1814" s="9" t="s">
        <v>1827</v>
      </c>
      <c r="C1814" s="9" t="s">
        <v>1827</v>
      </c>
      <c r="D1814" s="2" t="s">
        <v>1752</v>
      </c>
      <c r="E1814" s="14">
        <f t="shared" si="28"/>
        <v>1</v>
      </c>
    </row>
    <row r="1815" spans="1:14" x14ac:dyDescent="0.35">
      <c r="A1815" s="55" t="s">
        <v>2270</v>
      </c>
      <c r="B1815" s="9" t="s">
        <v>1827</v>
      </c>
      <c r="C1815" s="9" t="s">
        <v>1827</v>
      </c>
      <c r="D1815" s="2" t="s">
        <v>1752</v>
      </c>
      <c r="E1815" s="14">
        <f t="shared" si="28"/>
        <v>1</v>
      </c>
    </row>
    <row r="1816" spans="1:14" x14ac:dyDescent="0.35">
      <c r="A1816" s="56" t="s">
        <v>2271</v>
      </c>
      <c r="B1816" s="9" t="s">
        <v>1827</v>
      </c>
      <c r="C1816" s="9" t="s">
        <v>1827</v>
      </c>
      <c r="D1816" s="2" t="s">
        <v>1752</v>
      </c>
      <c r="E1816" s="14">
        <f t="shared" si="28"/>
        <v>1</v>
      </c>
    </row>
    <row r="1817" spans="1:14" x14ac:dyDescent="0.35">
      <c r="A1817" s="55" t="s">
        <v>2272</v>
      </c>
      <c r="B1817" s="9" t="s">
        <v>1827</v>
      </c>
      <c r="C1817" s="9" t="s">
        <v>1827</v>
      </c>
      <c r="D1817" s="2" t="s">
        <v>1752</v>
      </c>
      <c r="E1817" s="14">
        <f t="shared" si="28"/>
        <v>1</v>
      </c>
    </row>
    <row r="1818" spans="1:14" x14ac:dyDescent="0.35">
      <c r="A1818" s="56" t="s">
        <v>2273</v>
      </c>
      <c r="B1818" s="9" t="s">
        <v>1827</v>
      </c>
      <c r="C1818" s="9" t="s">
        <v>1827</v>
      </c>
      <c r="D1818" s="2" t="s">
        <v>1752</v>
      </c>
      <c r="E1818" s="14">
        <f t="shared" si="28"/>
        <v>1</v>
      </c>
    </row>
    <row r="1819" spans="1:14" x14ac:dyDescent="0.35">
      <c r="A1819" s="56" t="s">
        <v>2274</v>
      </c>
      <c r="B1819" s="9" t="s">
        <v>1827</v>
      </c>
      <c r="C1819" s="9" t="s">
        <v>1827</v>
      </c>
      <c r="D1819" s="2" t="s">
        <v>1752</v>
      </c>
      <c r="E1819" s="14">
        <f t="shared" si="28"/>
        <v>1</v>
      </c>
    </row>
    <row r="1820" spans="1:14" x14ac:dyDescent="0.35">
      <c r="A1820" s="56" t="s">
        <v>2275</v>
      </c>
      <c r="B1820" s="9" t="s">
        <v>1827</v>
      </c>
      <c r="C1820" s="9" t="s">
        <v>1827</v>
      </c>
      <c r="D1820" s="2" t="s">
        <v>1752</v>
      </c>
      <c r="E1820" s="14">
        <f t="shared" si="28"/>
        <v>1</v>
      </c>
    </row>
    <row r="1821" spans="1:14" x14ac:dyDescent="0.35">
      <c r="A1821" s="55" t="s">
        <v>2276</v>
      </c>
      <c r="B1821" s="9" t="s">
        <v>1827</v>
      </c>
      <c r="C1821" s="9" t="s">
        <v>1827</v>
      </c>
      <c r="D1821" s="2" t="s">
        <v>1752</v>
      </c>
      <c r="E1821" s="14">
        <f t="shared" si="28"/>
        <v>1</v>
      </c>
    </row>
    <row r="1822" spans="1:14" x14ac:dyDescent="0.35">
      <c r="A1822" s="56" t="s">
        <v>2277</v>
      </c>
      <c r="B1822" s="9" t="s">
        <v>1827</v>
      </c>
      <c r="C1822" s="9" t="s">
        <v>1827</v>
      </c>
      <c r="D1822" s="2" t="s">
        <v>1752</v>
      </c>
      <c r="E1822" s="14">
        <f t="shared" si="28"/>
        <v>1</v>
      </c>
    </row>
    <row r="1823" spans="1:14" x14ac:dyDescent="0.35">
      <c r="A1823" s="56" t="s">
        <v>2278</v>
      </c>
      <c r="B1823" s="9" t="s">
        <v>1827</v>
      </c>
      <c r="C1823" s="9" t="s">
        <v>1827</v>
      </c>
      <c r="D1823" s="2" t="s">
        <v>1752</v>
      </c>
      <c r="E1823" s="14">
        <f t="shared" si="28"/>
        <v>1</v>
      </c>
    </row>
    <row r="1824" spans="1:14" x14ac:dyDescent="0.35">
      <c r="A1824" s="57" t="s">
        <v>2279</v>
      </c>
      <c r="B1824" s="9" t="s">
        <v>1827</v>
      </c>
      <c r="C1824" s="9" t="s">
        <v>1827</v>
      </c>
      <c r="D1824" s="2" t="s">
        <v>1752</v>
      </c>
      <c r="E1824" s="14">
        <f t="shared" si="28"/>
        <v>1</v>
      </c>
      <c r="N1824" s="66"/>
    </row>
    <row r="1826" spans="1:5" x14ac:dyDescent="0.35">
      <c r="A1826" t="s">
        <v>1826</v>
      </c>
      <c r="B1826" s="9">
        <f>COUNTIF(B2:B1824,"Y")</f>
        <v>1522</v>
      </c>
      <c r="C1826" s="9">
        <f>COUNTIF(C2:C1824,"Y")</f>
        <v>1559</v>
      </c>
      <c r="D1826" s="9">
        <f>COUNTIF(D2:D1824,"Y")</f>
        <v>1665</v>
      </c>
      <c r="E1826" s="65">
        <f>SUM(E2:E1824)</f>
        <v>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B9F6-1A13-4B2A-AB1B-924C84C5BB96}">
  <dimension ref="A1:E1638"/>
  <sheetViews>
    <sheetView topLeftCell="A1621" workbookViewId="0">
      <selection activeCell="A2" sqref="A2:A1633"/>
    </sheetView>
  </sheetViews>
  <sheetFormatPr defaultRowHeight="14.5" x14ac:dyDescent="0.35"/>
  <cols>
    <col min="1" max="1" width="24.81640625" bestFit="1" customWidth="1"/>
  </cols>
  <sheetData>
    <row r="1" spans="1:5" x14ac:dyDescent="0.35">
      <c r="A1" s="46" t="s">
        <v>2</v>
      </c>
      <c r="B1" s="58" t="s">
        <v>1750</v>
      </c>
      <c r="C1" s="58" t="s">
        <v>1751</v>
      </c>
      <c r="D1" s="60"/>
      <c r="E1" s="61" t="s">
        <v>1834</v>
      </c>
    </row>
    <row r="2" spans="1:5" x14ac:dyDescent="0.35">
      <c r="A2" s="10" t="s">
        <v>189</v>
      </c>
      <c r="B2" s="58" t="s">
        <v>1752</v>
      </c>
      <c r="C2" s="58" t="s">
        <v>1752</v>
      </c>
      <c r="D2" s="60"/>
      <c r="E2" s="62">
        <v>1</v>
      </c>
    </row>
    <row r="3" spans="1:5" x14ac:dyDescent="0.35">
      <c r="A3" s="11" t="s">
        <v>190</v>
      </c>
      <c r="B3" s="58" t="s">
        <v>1752</v>
      </c>
      <c r="C3" s="58" t="s">
        <v>1752</v>
      </c>
      <c r="D3" s="60"/>
      <c r="E3" s="62">
        <v>1</v>
      </c>
    </row>
    <row r="4" spans="1:5" x14ac:dyDescent="0.35">
      <c r="A4" s="11" t="s">
        <v>191</v>
      </c>
      <c r="B4" s="58" t="s">
        <v>1752</v>
      </c>
      <c r="C4" s="58" t="s">
        <v>1752</v>
      </c>
      <c r="D4" s="60"/>
      <c r="E4" s="62">
        <v>1</v>
      </c>
    </row>
    <row r="5" spans="1:5" x14ac:dyDescent="0.35">
      <c r="A5" s="11" t="s">
        <v>192</v>
      </c>
      <c r="B5" s="58" t="s">
        <v>1752</v>
      </c>
      <c r="C5" s="58" t="s">
        <v>1752</v>
      </c>
      <c r="D5" s="60"/>
      <c r="E5" s="62">
        <v>1</v>
      </c>
    </row>
    <row r="6" spans="1:5" x14ac:dyDescent="0.35">
      <c r="A6" s="11" t="s">
        <v>193</v>
      </c>
      <c r="B6" s="58" t="s">
        <v>1752</v>
      </c>
      <c r="C6" s="58" t="s">
        <v>1752</v>
      </c>
      <c r="D6" s="60"/>
      <c r="E6" s="62">
        <v>1</v>
      </c>
    </row>
    <row r="7" spans="1:5" x14ac:dyDescent="0.35">
      <c r="A7" s="10" t="s">
        <v>194</v>
      </c>
      <c r="B7" s="58" t="s">
        <v>1752</v>
      </c>
      <c r="C7" s="58" t="s">
        <v>1752</v>
      </c>
      <c r="D7" s="60"/>
      <c r="E7" s="62">
        <v>1</v>
      </c>
    </row>
    <row r="8" spans="1:5" x14ac:dyDescent="0.35">
      <c r="A8" s="10" t="s">
        <v>195</v>
      </c>
      <c r="B8" s="58" t="s">
        <v>1752</v>
      </c>
      <c r="C8" s="58" t="s">
        <v>1752</v>
      </c>
      <c r="D8" s="60"/>
      <c r="E8" s="62">
        <v>1</v>
      </c>
    </row>
    <row r="9" spans="1:5" x14ac:dyDescent="0.35">
      <c r="A9" s="11" t="s">
        <v>196</v>
      </c>
      <c r="B9" s="58" t="s">
        <v>1752</v>
      </c>
      <c r="C9" s="58" t="s">
        <v>1752</v>
      </c>
      <c r="D9" s="60"/>
      <c r="E9" s="62">
        <v>1</v>
      </c>
    </row>
    <row r="10" spans="1:5" x14ac:dyDescent="0.35">
      <c r="A10" s="11" t="s">
        <v>197</v>
      </c>
      <c r="B10" s="58" t="s">
        <v>1752</v>
      </c>
      <c r="C10" s="58" t="s">
        <v>1752</v>
      </c>
      <c r="D10" s="60"/>
      <c r="E10" s="62">
        <v>1</v>
      </c>
    </row>
    <row r="11" spans="1:5" x14ac:dyDescent="0.35">
      <c r="A11" s="10" t="s">
        <v>198</v>
      </c>
      <c r="B11" s="58" t="s">
        <v>1752</v>
      </c>
      <c r="C11" s="58" t="s">
        <v>1752</v>
      </c>
      <c r="D11" s="60"/>
      <c r="E11" s="62">
        <v>1</v>
      </c>
    </row>
    <row r="12" spans="1:5" x14ac:dyDescent="0.35">
      <c r="A12" s="11" t="s">
        <v>199</v>
      </c>
      <c r="B12" s="58" t="s">
        <v>1752</v>
      </c>
      <c r="C12" s="58" t="s">
        <v>1752</v>
      </c>
      <c r="D12" s="60"/>
      <c r="E12" s="62">
        <v>1</v>
      </c>
    </row>
    <row r="13" spans="1:5" x14ac:dyDescent="0.35">
      <c r="A13" s="10" t="s">
        <v>200</v>
      </c>
      <c r="B13" s="58" t="s">
        <v>1752</v>
      </c>
      <c r="C13" s="58" t="s">
        <v>1752</v>
      </c>
      <c r="D13" s="60"/>
      <c r="E13" s="62">
        <v>1</v>
      </c>
    </row>
    <row r="14" spans="1:5" x14ac:dyDescent="0.35">
      <c r="A14" s="11" t="s">
        <v>201</v>
      </c>
      <c r="B14" s="58" t="s">
        <v>1752</v>
      </c>
      <c r="C14" s="58" t="s">
        <v>1752</v>
      </c>
      <c r="D14" s="60"/>
      <c r="E14" s="62">
        <v>1</v>
      </c>
    </row>
    <row r="15" spans="1:5" x14ac:dyDescent="0.35">
      <c r="A15" s="10" t="s">
        <v>202</v>
      </c>
      <c r="B15" s="58" t="s">
        <v>1752</v>
      </c>
      <c r="C15" s="58" t="s">
        <v>1752</v>
      </c>
      <c r="D15" s="60"/>
      <c r="E15" s="62">
        <v>1</v>
      </c>
    </row>
    <row r="16" spans="1:5" x14ac:dyDescent="0.35">
      <c r="A16" s="11" t="s">
        <v>203</v>
      </c>
      <c r="B16" s="58" t="s">
        <v>1752</v>
      </c>
      <c r="C16" s="58" t="s">
        <v>1752</v>
      </c>
      <c r="D16" s="60"/>
      <c r="E16" s="62">
        <v>1</v>
      </c>
    </row>
    <row r="17" spans="1:5" x14ac:dyDescent="0.35">
      <c r="A17" s="10" t="s">
        <v>204</v>
      </c>
      <c r="B17" s="58" t="s">
        <v>1752</v>
      </c>
      <c r="C17" s="58" t="s">
        <v>1752</v>
      </c>
      <c r="D17" s="60"/>
      <c r="E17" s="62">
        <v>1</v>
      </c>
    </row>
    <row r="18" spans="1:5" x14ac:dyDescent="0.35">
      <c r="A18" s="11" t="s">
        <v>205</v>
      </c>
      <c r="B18" s="58" t="s">
        <v>1752</v>
      </c>
      <c r="C18" s="58" t="s">
        <v>1752</v>
      </c>
      <c r="D18" s="60"/>
      <c r="E18" s="62">
        <v>1</v>
      </c>
    </row>
    <row r="19" spans="1:5" x14ac:dyDescent="0.35">
      <c r="A19" s="11" t="s">
        <v>206</v>
      </c>
      <c r="B19" s="58" t="s">
        <v>1752</v>
      </c>
      <c r="C19" s="58" t="s">
        <v>1752</v>
      </c>
      <c r="D19" s="60"/>
      <c r="E19" s="62">
        <v>1</v>
      </c>
    </row>
    <row r="20" spans="1:5" x14ac:dyDescent="0.35">
      <c r="A20" s="10" t="s">
        <v>207</v>
      </c>
      <c r="B20" s="58" t="s">
        <v>1752</v>
      </c>
      <c r="C20" s="58" t="s">
        <v>1752</v>
      </c>
      <c r="D20" s="60"/>
      <c r="E20" s="62">
        <v>1</v>
      </c>
    </row>
    <row r="21" spans="1:5" x14ac:dyDescent="0.35">
      <c r="A21" s="10" t="s">
        <v>208</v>
      </c>
      <c r="B21" s="58" t="s">
        <v>1752</v>
      </c>
      <c r="C21" s="58" t="s">
        <v>1752</v>
      </c>
      <c r="D21" s="60"/>
      <c r="E21" s="62">
        <v>1</v>
      </c>
    </row>
    <row r="22" spans="1:5" x14ac:dyDescent="0.35">
      <c r="A22" s="11" t="s">
        <v>209</v>
      </c>
      <c r="B22" s="58" t="s">
        <v>1752</v>
      </c>
      <c r="C22" s="58" t="s">
        <v>1752</v>
      </c>
      <c r="D22" s="60"/>
      <c r="E22" s="62">
        <v>1</v>
      </c>
    </row>
    <row r="23" spans="1:5" x14ac:dyDescent="0.35">
      <c r="A23" s="11" t="s">
        <v>210</v>
      </c>
      <c r="B23" s="58" t="s">
        <v>1752</v>
      </c>
      <c r="C23" s="58" t="s">
        <v>1752</v>
      </c>
      <c r="D23" s="60"/>
      <c r="E23" s="62">
        <v>1</v>
      </c>
    </row>
    <row r="24" spans="1:5" x14ac:dyDescent="0.35">
      <c r="A24" s="11" t="s">
        <v>211</v>
      </c>
      <c r="B24" s="58" t="s">
        <v>1752</v>
      </c>
      <c r="C24" s="58" t="s">
        <v>1752</v>
      </c>
      <c r="D24" s="60"/>
      <c r="E24" s="62">
        <v>1</v>
      </c>
    </row>
    <row r="25" spans="1:5" x14ac:dyDescent="0.35">
      <c r="A25" s="10" t="s">
        <v>212</v>
      </c>
      <c r="B25" s="58" t="s">
        <v>1752</v>
      </c>
      <c r="C25" s="58" t="s">
        <v>1752</v>
      </c>
      <c r="D25" s="60"/>
      <c r="E25" s="62">
        <v>1</v>
      </c>
    </row>
    <row r="26" spans="1:5" x14ac:dyDescent="0.35">
      <c r="A26" s="11" t="s">
        <v>213</v>
      </c>
      <c r="B26" s="58" t="s">
        <v>1752</v>
      </c>
      <c r="C26" s="58" t="s">
        <v>1752</v>
      </c>
      <c r="D26" s="60"/>
      <c r="E26" s="62">
        <v>1</v>
      </c>
    </row>
    <row r="27" spans="1:5" x14ac:dyDescent="0.35">
      <c r="A27" s="10" t="s">
        <v>214</v>
      </c>
      <c r="B27" s="58" t="s">
        <v>1752</v>
      </c>
      <c r="C27" s="58" t="s">
        <v>1752</v>
      </c>
      <c r="D27" s="60"/>
      <c r="E27" s="62">
        <v>1</v>
      </c>
    </row>
    <row r="28" spans="1:5" x14ac:dyDescent="0.35">
      <c r="A28" s="10" t="s">
        <v>215</v>
      </c>
      <c r="B28" s="58" t="s">
        <v>1827</v>
      </c>
      <c r="C28" s="58" t="s">
        <v>1752</v>
      </c>
      <c r="D28" s="60"/>
      <c r="E28" s="62">
        <v>1</v>
      </c>
    </row>
    <row r="29" spans="1:5" x14ac:dyDescent="0.35">
      <c r="A29" s="11" t="s">
        <v>216</v>
      </c>
      <c r="B29" s="58" t="s">
        <v>1752</v>
      </c>
      <c r="C29" s="58" t="s">
        <v>1752</v>
      </c>
      <c r="D29" s="60"/>
      <c r="E29" s="62">
        <v>1</v>
      </c>
    </row>
    <row r="30" spans="1:5" x14ac:dyDescent="0.35">
      <c r="A30" s="11" t="s">
        <v>217</v>
      </c>
      <c r="B30" s="58" t="s">
        <v>1752</v>
      </c>
      <c r="C30" s="58" t="s">
        <v>1752</v>
      </c>
      <c r="D30" s="60"/>
      <c r="E30" s="62">
        <v>1</v>
      </c>
    </row>
    <row r="31" spans="1:5" x14ac:dyDescent="0.35">
      <c r="A31" s="10" t="s">
        <v>218</v>
      </c>
      <c r="B31" s="58" t="s">
        <v>1752</v>
      </c>
      <c r="C31" s="58" t="s">
        <v>1752</v>
      </c>
      <c r="D31" s="60"/>
      <c r="E31" s="62">
        <v>1</v>
      </c>
    </row>
    <row r="32" spans="1:5" x14ac:dyDescent="0.35">
      <c r="A32" s="11" t="s">
        <v>219</v>
      </c>
      <c r="B32" s="58" t="s">
        <v>1752</v>
      </c>
      <c r="C32" s="58" t="s">
        <v>1752</v>
      </c>
      <c r="D32" s="60"/>
      <c r="E32" s="62">
        <v>1</v>
      </c>
    </row>
    <row r="33" spans="1:5" x14ac:dyDescent="0.35">
      <c r="A33" s="10" t="s">
        <v>220</v>
      </c>
      <c r="B33" s="58" t="s">
        <v>1752</v>
      </c>
      <c r="C33" s="58" t="s">
        <v>1752</v>
      </c>
      <c r="D33" s="60"/>
      <c r="E33" s="62">
        <v>1</v>
      </c>
    </row>
    <row r="34" spans="1:5" x14ac:dyDescent="0.35">
      <c r="A34" s="10" t="s">
        <v>221</v>
      </c>
      <c r="B34" s="58" t="s">
        <v>1752</v>
      </c>
      <c r="C34" s="58" t="s">
        <v>1752</v>
      </c>
      <c r="D34" s="60"/>
      <c r="E34" s="62">
        <v>1</v>
      </c>
    </row>
    <row r="35" spans="1:5" x14ac:dyDescent="0.35">
      <c r="A35" s="11" t="s">
        <v>222</v>
      </c>
      <c r="B35" s="58" t="s">
        <v>1752</v>
      </c>
      <c r="C35" s="58" t="s">
        <v>1752</v>
      </c>
      <c r="D35" s="60"/>
      <c r="E35" s="62">
        <v>1</v>
      </c>
    </row>
    <row r="36" spans="1:5" x14ac:dyDescent="0.35">
      <c r="A36" s="11" t="s">
        <v>223</v>
      </c>
      <c r="B36" s="58" t="s">
        <v>1752</v>
      </c>
      <c r="C36" s="58" t="s">
        <v>1752</v>
      </c>
      <c r="D36" s="60"/>
      <c r="E36" s="62">
        <v>1</v>
      </c>
    </row>
    <row r="37" spans="1:5" x14ac:dyDescent="0.35">
      <c r="A37" s="10" t="s">
        <v>224</v>
      </c>
      <c r="B37" s="58" t="s">
        <v>1752</v>
      </c>
      <c r="C37" s="58" t="s">
        <v>1752</v>
      </c>
      <c r="D37" s="60"/>
      <c r="E37" s="62">
        <v>1</v>
      </c>
    </row>
    <row r="38" spans="1:5" x14ac:dyDescent="0.35">
      <c r="A38" s="11" t="s">
        <v>225</v>
      </c>
      <c r="B38" s="58" t="s">
        <v>1752</v>
      </c>
      <c r="C38" s="58" t="s">
        <v>1752</v>
      </c>
      <c r="D38" s="60"/>
      <c r="E38" s="62">
        <v>1</v>
      </c>
    </row>
    <row r="39" spans="1:5" x14ac:dyDescent="0.35">
      <c r="A39" s="11" t="s">
        <v>226</v>
      </c>
      <c r="B39" s="58" t="s">
        <v>1752</v>
      </c>
      <c r="C39" s="58" t="s">
        <v>1752</v>
      </c>
      <c r="D39" s="60"/>
      <c r="E39" s="62">
        <v>1</v>
      </c>
    </row>
    <row r="40" spans="1:5" x14ac:dyDescent="0.35">
      <c r="A40" s="10" t="s">
        <v>227</v>
      </c>
      <c r="B40" s="58" t="s">
        <v>1752</v>
      </c>
      <c r="C40" s="58" t="s">
        <v>1752</v>
      </c>
      <c r="D40" s="60"/>
      <c r="E40" s="62">
        <v>1</v>
      </c>
    </row>
    <row r="41" spans="1:5" x14ac:dyDescent="0.35">
      <c r="A41" s="11" t="s">
        <v>228</v>
      </c>
      <c r="B41" s="58" t="s">
        <v>1752</v>
      </c>
      <c r="C41" s="58" t="s">
        <v>1752</v>
      </c>
      <c r="D41" s="60"/>
      <c r="E41" s="62">
        <v>1</v>
      </c>
    </row>
    <row r="42" spans="1:5" x14ac:dyDescent="0.35">
      <c r="A42" s="11" t="s">
        <v>229</v>
      </c>
      <c r="B42" s="58" t="s">
        <v>1752</v>
      </c>
      <c r="C42" s="58" t="s">
        <v>1752</v>
      </c>
      <c r="D42" s="60"/>
      <c r="E42" s="62">
        <v>1</v>
      </c>
    </row>
    <row r="43" spans="1:5" x14ac:dyDescent="0.35">
      <c r="A43" s="11" t="s">
        <v>230</v>
      </c>
      <c r="B43" s="58" t="s">
        <v>1752</v>
      </c>
      <c r="C43" s="58" t="s">
        <v>1752</v>
      </c>
      <c r="D43" s="60"/>
      <c r="E43" s="62">
        <v>1</v>
      </c>
    </row>
    <row r="44" spans="1:5" x14ac:dyDescent="0.35">
      <c r="A44" s="11" t="s">
        <v>231</v>
      </c>
      <c r="B44" s="58" t="s">
        <v>1752</v>
      </c>
      <c r="C44" s="58" t="s">
        <v>1752</v>
      </c>
      <c r="D44" s="60"/>
      <c r="E44" s="62">
        <v>1</v>
      </c>
    </row>
    <row r="45" spans="1:5" x14ac:dyDescent="0.35">
      <c r="A45" s="10" t="s">
        <v>232</v>
      </c>
      <c r="B45" s="58" t="s">
        <v>1752</v>
      </c>
      <c r="C45" s="58" t="s">
        <v>1752</v>
      </c>
      <c r="D45" s="60"/>
      <c r="E45" s="62">
        <v>1</v>
      </c>
    </row>
    <row r="46" spans="1:5" x14ac:dyDescent="0.35">
      <c r="A46" s="10" t="s">
        <v>233</v>
      </c>
      <c r="B46" s="58" t="s">
        <v>1752</v>
      </c>
      <c r="C46" s="58" t="s">
        <v>1752</v>
      </c>
      <c r="D46" s="60"/>
      <c r="E46" s="62">
        <v>1</v>
      </c>
    </row>
    <row r="47" spans="1:5" x14ac:dyDescent="0.35">
      <c r="A47" s="11" t="s">
        <v>234</v>
      </c>
      <c r="B47" s="58" t="s">
        <v>1752</v>
      </c>
      <c r="C47" s="58" t="s">
        <v>1752</v>
      </c>
      <c r="D47" s="60"/>
      <c r="E47" s="62">
        <v>1</v>
      </c>
    </row>
    <row r="48" spans="1:5" x14ac:dyDescent="0.35">
      <c r="A48" s="11" t="s">
        <v>235</v>
      </c>
      <c r="B48" s="58" t="s">
        <v>1752</v>
      </c>
      <c r="C48" s="58" t="s">
        <v>1752</v>
      </c>
      <c r="D48" s="60"/>
      <c r="E48" s="62">
        <v>1</v>
      </c>
    </row>
    <row r="49" spans="1:5" x14ac:dyDescent="0.35">
      <c r="A49" s="11" t="s">
        <v>236</v>
      </c>
      <c r="B49" s="58" t="s">
        <v>1752</v>
      </c>
      <c r="C49" s="58" t="s">
        <v>1752</v>
      </c>
      <c r="D49" s="60"/>
      <c r="E49" s="62">
        <v>1</v>
      </c>
    </row>
    <row r="50" spans="1:5" x14ac:dyDescent="0.35">
      <c r="A50" s="11" t="s">
        <v>237</v>
      </c>
      <c r="B50" s="58" t="s">
        <v>1752</v>
      </c>
      <c r="C50" s="58" t="s">
        <v>1752</v>
      </c>
      <c r="D50" s="60"/>
      <c r="E50" s="62">
        <v>1</v>
      </c>
    </row>
    <row r="51" spans="1:5" x14ac:dyDescent="0.35">
      <c r="A51" s="10" t="s">
        <v>238</v>
      </c>
      <c r="B51" s="58" t="s">
        <v>1752</v>
      </c>
      <c r="C51" s="58" t="s">
        <v>1752</v>
      </c>
      <c r="D51" s="60"/>
      <c r="E51" s="62">
        <v>1</v>
      </c>
    </row>
    <row r="52" spans="1:5" x14ac:dyDescent="0.35">
      <c r="A52" s="11" t="s">
        <v>239</v>
      </c>
      <c r="B52" s="58" t="s">
        <v>1752</v>
      </c>
      <c r="C52" s="58" t="s">
        <v>1752</v>
      </c>
      <c r="D52" s="60"/>
      <c r="E52" s="62">
        <v>1</v>
      </c>
    </row>
    <row r="53" spans="1:5" x14ac:dyDescent="0.35">
      <c r="A53" s="10" t="s">
        <v>240</v>
      </c>
      <c r="B53" s="58" t="s">
        <v>1752</v>
      </c>
      <c r="C53" s="58" t="s">
        <v>1752</v>
      </c>
      <c r="D53" s="60"/>
      <c r="E53" s="62">
        <v>1</v>
      </c>
    </row>
    <row r="54" spans="1:5" x14ac:dyDescent="0.35">
      <c r="A54" s="11" t="s">
        <v>241</v>
      </c>
      <c r="B54" s="58" t="s">
        <v>1752</v>
      </c>
      <c r="C54" s="58" t="s">
        <v>1752</v>
      </c>
      <c r="D54" s="60"/>
      <c r="E54" s="62">
        <v>1</v>
      </c>
    </row>
    <row r="55" spans="1:5" x14ac:dyDescent="0.35">
      <c r="A55" s="10" t="s">
        <v>242</v>
      </c>
      <c r="B55" s="58" t="s">
        <v>1752</v>
      </c>
      <c r="C55" s="58" t="s">
        <v>1752</v>
      </c>
      <c r="D55" s="60"/>
      <c r="E55" s="62">
        <v>1</v>
      </c>
    </row>
    <row r="56" spans="1:5" x14ac:dyDescent="0.35">
      <c r="A56" s="10" t="s">
        <v>243</v>
      </c>
      <c r="B56" s="58" t="s">
        <v>1752</v>
      </c>
      <c r="C56" s="58" t="s">
        <v>1752</v>
      </c>
      <c r="D56" s="60"/>
      <c r="E56" s="62">
        <v>1</v>
      </c>
    </row>
    <row r="57" spans="1:5" x14ac:dyDescent="0.35">
      <c r="A57" s="10" t="s">
        <v>244</v>
      </c>
      <c r="B57" s="58" t="s">
        <v>1752</v>
      </c>
      <c r="C57" s="58" t="s">
        <v>1752</v>
      </c>
      <c r="D57" s="60"/>
      <c r="E57" s="62">
        <v>1</v>
      </c>
    </row>
    <row r="58" spans="1:5" x14ac:dyDescent="0.35">
      <c r="A58" s="11" t="s">
        <v>245</v>
      </c>
      <c r="B58" s="58" t="s">
        <v>1752</v>
      </c>
      <c r="C58" s="58" t="s">
        <v>1752</v>
      </c>
      <c r="D58" s="60"/>
      <c r="E58" s="62">
        <v>1</v>
      </c>
    </row>
    <row r="59" spans="1:5" x14ac:dyDescent="0.35">
      <c r="A59" s="10" t="s">
        <v>246</v>
      </c>
      <c r="B59" s="58" t="s">
        <v>1752</v>
      </c>
      <c r="C59" s="58" t="s">
        <v>1752</v>
      </c>
      <c r="D59" s="60"/>
      <c r="E59" s="62">
        <v>1</v>
      </c>
    </row>
    <row r="60" spans="1:5" x14ac:dyDescent="0.35">
      <c r="A60" s="11" t="s">
        <v>247</v>
      </c>
      <c r="B60" s="58" t="s">
        <v>1752</v>
      </c>
      <c r="C60" s="58" t="s">
        <v>1752</v>
      </c>
      <c r="D60" s="60"/>
      <c r="E60" s="62">
        <v>1</v>
      </c>
    </row>
    <row r="61" spans="1:5" x14ac:dyDescent="0.35">
      <c r="A61" s="11" t="s">
        <v>248</v>
      </c>
      <c r="B61" s="58" t="s">
        <v>1752</v>
      </c>
      <c r="C61" s="58" t="s">
        <v>1752</v>
      </c>
      <c r="D61" s="60"/>
      <c r="E61" s="62">
        <v>1</v>
      </c>
    </row>
    <row r="62" spans="1:5" x14ac:dyDescent="0.35">
      <c r="A62" s="10" t="s">
        <v>249</v>
      </c>
      <c r="B62" s="58" t="s">
        <v>1752</v>
      </c>
      <c r="C62" s="58" t="s">
        <v>1752</v>
      </c>
      <c r="D62" s="60"/>
      <c r="E62" s="62">
        <v>1</v>
      </c>
    </row>
    <row r="63" spans="1:5" x14ac:dyDescent="0.35">
      <c r="A63" s="10" t="s">
        <v>250</v>
      </c>
      <c r="B63" s="58" t="s">
        <v>1752</v>
      </c>
      <c r="C63" s="58" t="s">
        <v>1752</v>
      </c>
      <c r="D63" s="60"/>
      <c r="E63" s="62">
        <v>1</v>
      </c>
    </row>
    <row r="64" spans="1:5" x14ac:dyDescent="0.35">
      <c r="A64" s="11" t="s">
        <v>251</v>
      </c>
      <c r="B64" s="58" t="s">
        <v>1752</v>
      </c>
      <c r="C64" s="58" t="s">
        <v>1752</v>
      </c>
      <c r="D64" s="60"/>
      <c r="E64" s="62">
        <v>1</v>
      </c>
    </row>
    <row r="65" spans="1:5" x14ac:dyDescent="0.35">
      <c r="A65" s="10" t="s">
        <v>252</v>
      </c>
      <c r="B65" s="58" t="s">
        <v>1827</v>
      </c>
      <c r="C65" s="58" t="s">
        <v>1752</v>
      </c>
      <c r="D65" s="60"/>
      <c r="E65" s="62">
        <v>1</v>
      </c>
    </row>
    <row r="66" spans="1:5" x14ac:dyDescent="0.35">
      <c r="A66" s="10" t="s">
        <v>253</v>
      </c>
      <c r="B66" s="58" t="s">
        <v>1752</v>
      </c>
      <c r="C66" s="58" t="s">
        <v>1752</v>
      </c>
      <c r="D66" s="60"/>
      <c r="E66" s="62">
        <v>1</v>
      </c>
    </row>
    <row r="67" spans="1:5" x14ac:dyDescent="0.35">
      <c r="A67" s="11" t="s">
        <v>254</v>
      </c>
      <c r="B67" s="58" t="s">
        <v>1752</v>
      </c>
      <c r="C67" s="58" t="s">
        <v>1752</v>
      </c>
      <c r="D67" s="60"/>
      <c r="E67" s="62">
        <v>1</v>
      </c>
    </row>
    <row r="68" spans="1:5" x14ac:dyDescent="0.35">
      <c r="A68" s="10" t="s">
        <v>255</v>
      </c>
      <c r="B68" s="58" t="s">
        <v>1752</v>
      </c>
      <c r="C68" s="58" t="s">
        <v>1752</v>
      </c>
      <c r="D68" s="60"/>
      <c r="E68" s="62">
        <v>1</v>
      </c>
    </row>
    <row r="69" spans="1:5" x14ac:dyDescent="0.35">
      <c r="A69" s="11" t="s">
        <v>256</v>
      </c>
      <c r="B69" s="58" t="s">
        <v>1752</v>
      </c>
      <c r="C69" s="58" t="s">
        <v>1752</v>
      </c>
      <c r="D69" s="60"/>
      <c r="E69" s="62">
        <v>1</v>
      </c>
    </row>
    <row r="70" spans="1:5" x14ac:dyDescent="0.35">
      <c r="A70" s="10" t="s">
        <v>257</v>
      </c>
      <c r="B70" s="58" t="s">
        <v>1752</v>
      </c>
      <c r="C70" s="58" t="s">
        <v>1752</v>
      </c>
      <c r="D70" s="60"/>
      <c r="E70" s="62">
        <v>1</v>
      </c>
    </row>
    <row r="71" spans="1:5" x14ac:dyDescent="0.35">
      <c r="A71" s="10" t="s">
        <v>258</v>
      </c>
      <c r="B71" s="58" t="s">
        <v>1752</v>
      </c>
      <c r="C71" s="58" t="s">
        <v>1752</v>
      </c>
      <c r="D71" s="60"/>
      <c r="E71" s="62">
        <v>1</v>
      </c>
    </row>
    <row r="72" spans="1:5" x14ac:dyDescent="0.35">
      <c r="A72" s="11" t="s">
        <v>259</v>
      </c>
      <c r="B72" s="58" t="s">
        <v>1752</v>
      </c>
      <c r="C72" s="58" t="s">
        <v>1752</v>
      </c>
      <c r="D72" s="60"/>
      <c r="E72" s="62">
        <v>1</v>
      </c>
    </row>
    <row r="73" spans="1:5" x14ac:dyDescent="0.35">
      <c r="A73" s="11" t="s">
        <v>260</v>
      </c>
      <c r="B73" s="58" t="s">
        <v>1752</v>
      </c>
      <c r="C73" s="58" t="s">
        <v>1752</v>
      </c>
      <c r="D73" s="60"/>
      <c r="E73" s="62">
        <v>1</v>
      </c>
    </row>
    <row r="74" spans="1:5" x14ac:dyDescent="0.35">
      <c r="A74" s="10" t="s">
        <v>261</v>
      </c>
      <c r="B74" s="58" t="s">
        <v>1752</v>
      </c>
      <c r="C74" s="58" t="s">
        <v>1752</v>
      </c>
      <c r="D74" s="60"/>
      <c r="E74" s="62">
        <v>1</v>
      </c>
    </row>
    <row r="75" spans="1:5" x14ac:dyDescent="0.35">
      <c r="A75" s="11" t="s">
        <v>262</v>
      </c>
      <c r="B75" s="58" t="s">
        <v>1752</v>
      </c>
      <c r="C75" s="58" t="s">
        <v>1752</v>
      </c>
      <c r="D75" s="60"/>
      <c r="E75" s="62">
        <v>1</v>
      </c>
    </row>
    <row r="76" spans="1:5" x14ac:dyDescent="0.35">
      <c r="A76" s="11" t="s">
        <v>263</v>
      </c>
      <c r="B76" s="58" t="s">
        <v>1752</v>
      </c>
      <c r="C76" s="58" t="s">
        <v>1752</v>
      </c>
      <c r="D76" s="60"/>
      <c r="E76" s="62">
        <v>1</v>
      </c>
    </row>
    <row r="77" spans="1:5" x14ac:dyDescent="0.35">
      <c r="A77" s="10" t="s">
        <v>264</v>
      </c>
      <c r="B77" s="58" t="s">
        <v>1752</v>
      </c>
      <c r="C77" s="58" t="s">
        <v>1752</v>
      </c>
      <c r="D77" s="60"/>
      <c r="E77" s="62">
        <v>1</v>
      </c>
    </row>
    <row r="78" spans="1:5" x14ac:dyDescent="0.35">
      <c r="A78" s="10" t="s">
        <v>265</v>
      </c>
      <c r="B78" s="58" t="s">
        <v>1752</v>
      </c>
      <c r="C78" s="58" t="s">
        <v>1752</v>
      </c>
      <c r="D78" s="60"/>
      <c r="E78" s="62">
        <v>1</v>
      </c>
    </row>
    <row r="79" spans="1:5" x14ac:dyDescent="0.35">
      <c r="A79" s="11" t="s">
        <v>266</v>
      </c>
      <c r="B79" s="58" t="s">
        <v>1752</v>
      </c>
      <c r="C79" s="58" t="s">
        <v>1752</v>
      </c>
      <c r="D79" s="60"/>
      <c r="E79" s="62">
        <v>1</v>
      </c>
    </row>
    <row r="80" spans="1:5" x14ac:dyDescent="0.35">
      <c r="A80" s="10" t="s">
        <v>267</v>
      </c>
      <c r="B80" s="58" t="s">
        <v>1752</v>
      </c>
      <c r="C80" s="58" t="s">
        <v>1752</v>
      </c>
      <c r="D80" s="60"/>
      <c r="E80" s="62">
        <v>1</v>
      </c>
    </row>
    <row r="81" spans="1:5" x14ac:dyDescent="0.35">
      <c r="A81" s="10" t="s">
        <v>268</v>
      </c>
      <c r="B81" s="58" t="s">
        <v>1752</v>
      </c>
      <c r="C81" s="58" t="s">
        <v>1752</v>
      </c>
      <c r="D81" s="60"/>
      <c r="E81" s="62">
        <v>1</v>
      </c>
    </row>
    <row r="82" spans="1:5" x14ac:dyDescent="0.35">
      <c r="A82" s="10" t="s">
        <v>269</v>
      </c>
      <c r="B82" s="58" t="s">
        <v>1752</v>
      </c>
      <c r="C82" s="58" t="s">
        <v>1752</v>
      </c>
      <c r="D82" s="60"/>
      <c r="E82" s="62">
        <v>1</v>
      </c>
    </row>
    <row r="83" spans="1:5" x14ac:dyDescent="0.35">
      <c r="A83" s="11" t="s">
        <v>270</v>
      </c>
      <c r="B83" s="58" t="s">
        <v>1752</v>
      </c>
      <c r="C83" s="58" t="s">
        <v>1752</v>
      </c>
      <c r="D83" s="60"/>
      <c r="E83" s="62">
        <v>1</v>
      </c>
    </row>
    <row r="84" spans="1:5" x14ac:dyDescent="0.35">
      <c r="A84" s="11" t="s">
        <v>271</v>
      </c>
      <c r="B84" s="58" t="s">
        <v>1752</v>
      </c>
      <c r="C84" s="58" t="s">
        <v>1752</v>
      </c>
      <c r="D84" s="60"/>
      <c r="E84" s="62">
        <v>1</v>
      </c>
    </row>
    <row r="85" spans="1:5" x14ac:dyDescent="0.35">
      <c r="A85" s="11" t="s">
        <v>272</v>
      </c>
      <c r="B85" s="58" t="s">
        <v>1752</v>
      </c>
      <c r="C85" s="58" t="s">
        <v>1752</v>
      </c>
      <c r="D85" s="60"/>
      <c r="E85" s="62">
        <v>1</v>
      </c>
    </row>
    <row r="86" spans="1:5" x14ac:dyDescent="0.35">
      <c r="A86" s="11" t="s">
        <v>273</v>
      </c>
      <c r="B86" s="58" t="s">
        <v>1752</v>
      </c>
      <c r="C86" s="58" t="s">
        <v>1752</v>
      </c>
      <c r="D86" s="60"/>
      <c r="E86" s="62">
        <v>1</v>
      </c>
    </row>
    <row r="87" spans="1:5" x14ac:dyDescent="0.35">
      <c r="A87" s="11" t="s">
        <v>274</v>
      </c>
      <c r="B87" s="58" t="s">
        <v>1752</v>
      </c>
      <c r="C87" s="58" t="s">
        <v>1752</v>
      </c>
      <c r="D87" s="60"/>
      <c r="E87" s="62">
        <v>1</v>
      </c>
    </row>
    <row r="88" spans="1:5" x14ac:dyDescent="0.35">
      <c r="A88" s="10" t="s">
        <v>275</v>
      </c>
      <c r="B88" s="58" t="s">
        <v>1752</v>
      </c>
      <c r="C88" s="58" t="s">
        <v>1752</v>
      </c>
      <c r="D88" s="60"/>
      <c r="E88" s="62">
        <v>1</v>
      </c>
    </row>
    <row r="89" spans="1:5" x14ac:dyDescent="0.35">
      <c r="A89" s="11" t="s">
        <v>276</v>
      </c>
      <c r="B89" s="58" t="s">
        <v>1752</v>
      </c>
      <c r="C89" s="58" t="s">
        <v>1752</v>
      </c>
      <c r="D89" s="60"/>
      <c r="E89" s="62">
        <v>1</v>
      </c>
    </row>
    <row r="90" spans="1:5" x14ac:dyDescent="0.35">
      <c r="A90" s="10" t="s">
        <v>277</v>
      </c>
      <c r="B90" s="58" t="s">
        <v>1752</v>
      </c>
      <c r="C90" s="58" t="s">
        <v>1752</v>
      </c>
      <c r="D90" s="60"/>
      <c r="E90" s="62">
        <v>1</v>
      </c>
    </row>
    <row r="91" spans="1:5" x14ac:dyDescent="0.35">
      <c r="A91" s="10" t="s">
        <v>278</v>
      </c>
      <c r="B91" s="58" t="s">
        <v>1752</v>
      </c>
      <c r="C91" s="58" t="s">
        <v>1752</v>
      </c>
      <c r="D91" s="60"/>
      <c r="E91" s="62">
        <v>1</v>
      </c>
    </row>
    <row r="92" spans="1:5" x14ac:dyDescent="0.35">
      <c r="A92" s="11" t="s">
        <v>279</v>
      </c>
      <c r="B92" s="58" t="s">
        <v>1752</v>
      </c>
      <c r="C92" s="58" t="s">
        <v>1752</v>
      </c>
      <c r="D92" s="60"/>
      <c r="E92" s="62">
        <v>1</v>
      </c>
    </row>
    <row r="93" spans="1:5" x14ac:dyDescent="0.35">
      <c r="A93" s="10" t="s">
        <v>280</v>
      </c>
      <c r="B93" s="58" t="s">
        <v>1752</v>
      </c>
      <c r="C93" s="58" t="s">
        <v>1752</v>
      </c>
      <c r="D93" s="60"/>
      <c r="E93" s="62">
        <v>1</v>
      </c>
    </row>
    <row r="94" spans="1:5" x14ac:dyDescent="0.35">
      <c r="A94" s="11" t="s">
        <v>281</v>
      </c>
      <c r="B94" s="58" t="s">
        <v>1752</v>
      </c>
      <c r="C94" s="58" t="s">
        <v>1752</v>
      </c>
      <c r="D94" s="60"/>
      <c r="E94" s="62">
        <v>1</v>
      </c>
    </row>
    <row r="95" spans="1:5" x14ac:dyDescent="0.35">
      <c r="A95" s="11" t="s">
        <v>282</v>
      </c>
      <c r="B95" s="58" t="s">
        <v>1752</v>
      </c>
      <c r="C95" s="58" t="s">
        <v>1752</v>
      </c>
      <c r="D95" s="60"/>
      <c r="E95" s="62">
        <v>1</v>
      </c>
    </row>
    <row r="96" spans="1:5" x14ac:dyDescent="0.35">
      <c r="A96" s="10" t="s">
        <v>283</v>
      </c>
      <c r="B96" s="58" t="s">
        <v>1752</v>
      </c>
      <c r="C96" s="58" t="s">
        <v>1752</v>
      </c>
      <c r="D96" s="60"/>
      <c r="E96" s="62">
        <v>1</v>
      </c>
    </row>
    <row r="97" spans="1:5" x14ac:dyDescent="0.35">
      <c r="A97" s="11" t="s">
        <v>284</v>
      </c>
      <c r="B97" s="58" t="s">
        <v>1752</v>
      </c>
      <c r="C97" s="58" t="s">
        <v>1752</v>
      </c>
      <c r="D97" s="60"/>
      <c r="E97" s="62">
        <v>1</v>
      </c>
    </row>
    <row r="98" spans="1:5" x14ac:dyDescent="0.35">
      <c r="A98" s="10" t="s">
        <v>285</v>
      </c>
      <c r="B98" s="58" t="s">
        <v>1752</v>
      </c>
      <c r="C98" s="58" t="s">
        <v>1752</v>
      </c>
      <c r="D98" s="60"/>
      <c r="E98" s="62">
        <v>1</v>
      </c>
    </row>
    <row r="99" spans="1:5" x14ac:dyDescent="0.35">
      <c r="A99" s="11" t="s">
        <v>286</v>
      </c>
      <c r="B99" s="58" t="s">
        <v>1752</v>
      </c>
      <c r="C99" s="58" t="s">
        <v>1752</v>
      </c>
      <c r="D99" s="60"/>
      <c r="E99" s="62">
        <v>1</v>
      </c>
    </row>
    <row r="100" spans="1:5" x14ac:dyDescent="0.35">
      <c r="A100" s="11" t="s">
        <v>287</v>
      </c>
      <c r="B100" s="58" t="s">
        <v>1752</v>
      </c>
      <c r="C100" s="58" t="s">
        <v>1752</v>
      </c>
      <c r="D100" s="60"/>
      <c r="E100" s="62">
        <v>1</v>
      </c>
    </row>
    <row r="101" spans="1:5" x14ac:dyDescent="0.35">
      <c r="A101" s="10" t="s">
        <v>288</v>
      </c>
      <c r="B101" s="58" t="s">
        <v>1752</v>
      </c>
      <c r="C101" s="58" t="s">
        <v>1752</v>
      </c>
      <c r="D101" s="60"/>
      <c r="E101" s="62">
        <v>1</v>
      </c>
    </row>
    <row r="102" spans="1:5" x14ac:dyDescent="0.35">
      <c r="A102" s="10" t="s">
        <v>289</v>
      </c>
      <c r="B102" s="58" t="s">
        <v>1752</v>
      </c>
      <c r="C102" s="58" t="s">
        <v>1752</v>
      </c>
      <c r="D102" s="60"/>
      <c r="E102" s="62">
        <v>1</v>
      </c>
    </row>
    <row r="103" spans="1:5" x14ac:dyDescent="0.35">
      <c r="A103" s="11" t="s">
        <v>290</v>
      </c>
      <c r="B103" s="58" t="s">
        <v>1752</v>
      </c>
      <c r="C103" s="58" t="s">
        <v>1752</v>
      </c>
      <c r="D103" s="60"/>
      <c r="E103" s="62">
        <v>1</v>
      </c>
    </row>
    <row r="104" spans="1:5" x14ac:dyDescent="0.35">
      <c r="A104" s="10" t="s">
        <v>291</v>
      </c>
      <c r="B104" s="58" t="s">
        <v>1752</v>
      </c>
      <c r="C104" s="58" t="s">
        <v>1752</v>
      </c>
      <c r="D104" s="60"/>
      <c r="E104" s="62">
        <v>1</v>
      </c>
    </row>
    <row r="105" spans="1:5" x14ac:dyDescent="0.35">
      <c r="A105" s="11" t="s">
        <v>292</v>
      </c>
      <c r="B105" s="58" t="s">
        <v>1752</v>
      </c>
      <c r="C105" s="58" t="s">
        <v>1752</v>
      </c>
      <c r="D105" s="60"/>
      <c r="E105" s="62">
        <v>1</v>
      </c>
    </row>
    <row r="106" spans="1:5" x14ac:dyDescent="0.35">
      <c r="A106" s="10" t="s">
        <v>293</v>
      </c>
      <c r="B106" s="58" t="s">
        <v>1752</v>
      </c>
      <c r="C106" s="58" t="s">
        <v>1752</v>
      </c>
      <c r="D106" s="60"/>
      <c r="E106" s="62">
        <v>1</v>
      </c>
    </row>
    <row r="107" spans="1:5" x14ac:dyDescent="0.35">
      <c r="A107" s="11" t="s">
        <v>294</v>
      </c>
      <c r="B107" s="58" t="s">
        <v>1752</v>
      </c>
      <c r="C107" s="58" t="s">
        <v>1752</v>
      </c>
      <c r="D107" s="60"/>
      <c r="E107" s="62">
        <v>1</v>
      </c>
    </row>
    <row r="108" spans="1:5" x14ac:dyDescent="0.35">
      <c r="A108" s="11" t="s">
        <v>295</v>
      </c>
      <c r="B108" s="58" t="s">
        <v>1752</v>
      </c>
      <c r="C108" s="58" t="s">
        <v>1752</v>
      </c>
      <c r="D108" s="60"/>
      <c r="E108" s="62">
        <v>1</v>
      </c>
    </row>
    <row r="109" spans="1:5" x14ac:dyDescent="0.35">
      <c r="A109" s="10" t="s">
        <v>296</v>
      </c>
      <c r="B109" s="58" t="s">
        <v>1752</v>
      </c>
      <c r="C109" s="58" t="s">
        <v>1752</v>
      </c>
      <c r="D109" s="60"/>
      <c r="E109" s="62">
        <v>1</v>
      </c>
    </row>
    <row r="110" spans="1:5" x14ac:dyDescent="0.35">
      <c r="A110" s="11" t="s">
        <v>297</v>
      </c>
      <c r="B110" s="58" t="s">
        <v>1752</v>
      </c>
      <c r="C110" s="58" t="s">
        <v>1752</v>
      </c>
      <c r="D110" s="60"/>
      <c r="E110" s="62">
        <v>1</v>
      </c>
    </row>
    <row r="111" spans="1:5" x14ac:dyDescent="0.35">
      <c r="A111" s="10" t="s">
        <v>298</v>
      </c>
      <c r="B111" s="58" t="s">
        <v>1752</v>
      </c>
      <c r="C111" s="58" t="s">
        <v>1752</v>
      </c>
      <c r="D111" s="60"/>
      <c r="E111" s="62">
        <v>1</v>
      </c>
    </row>
    <row r="112" spans="1:5" x14ac:dyDescent="0.35">
      <c r="A112" s="11" t="s">
        <v>299</v>
      </c>
      <c r="B112" s="58" t="s">
        <v>1752</v>
      </c>
      <c r="C112" s="58" t="s">
        <v>1752</v>
      </c>
      <c r="D112" s="60"/>
      <c r="E112" s="62">
        <v>1</v>
      </c>
    </row>
    <row r="113" spans="1:5" x14ac:dyDescent="0.35">
      <c r="A113" s="11" t="s">
        <v>300</v>
      </c>
      <c r="B113" s="58" t="s">
        <v>1752</v>
      </c>
      <c r="C113" s="58" t="s">
        <v>1752</v>
      </c>
      <c r="D113" s="60"/>
      <c r="E113" s="62">
        <v>1</v>
      </c>
    </row>
    <row r="114" spans="1:5" x14ac:dyDescent="0.35">
      <c r="A114" s="11" t="s">
        <v>301</v>
      </c>
      <c r="B114" s="58" t="s">
        <v>1752</v>
      </c>
      <c r="C114" s="58" t="s">
        <v>1752</v>
      </c>
      <c r="D114" s="60"/>
      <c r="E114" s="62">
        <v>1</v>
      </c>
    </row>
    <row r="115" spans="1:5" x14ac:dyDescent="0.35">
      <c r="A115" s="10" t="s">
        <v>302</v>
      </c>
      <c r="B115" s="58" t="s">
        <v>1752</v>
      </c>
      <c r="C115" s="58" t="s">
        <v>1752</v>
      </c>
      <c r="D115" s="60"/>
      <c r="E115" s="62">
        <v>1</v>
      </c>
    </row>
    <row r="116" spans="1:5" x14ac:dyDescent="0.35">
      <c r="A116" s="10" t="s">
        <v>303</v>
      </c>
      <c r="B116" s="58" t="s">
        <v>1752</v>
      </c>
      <c r="C116" s="58" t="s">
        <v>1752</v>
      </c>
      <c r="D116" s="60"/>
      <c r="E116" s="62">
        <v>1</v>
      </c>
    </row>
    <row r="117" spans="1:5" x14ac:dyDescent="0.35">
      <c r="A117" s="11" t="s">
        <v>304</v>
      </c>
      <c r="B117" s="58" t="s">
        <v>1752</v>
      </c>
      <c r="C117" s="58" t="s">
        <v>1752</v>
      </c>
      <c r="D117" s="60"/>
      <c r="E117" s="62">
        <v>1</v>
      </c>
    </row>
    <row r="118" spans="1:5" x14ac:dyDescent="0.35">
      <c r="A118" s="11" t="s">
        <v>305</v>
      </c>
      <c r="B118" s="58" t="s">
        <v>1752</v>
      </c>
      <c r="C118" s="58" t="s">
        <v>1752</v>
      </c>
      <c r="D118" s="60"/>
      <c r="E118" s="62">
        <v>1</v>
      </c>
    </row>
    <row r="119" spans="1:5" x14ac:dyDescent="0.35">
      <c r="A119" s="10" t="s">
        <v>306</v>
      </c>
      <c r="B119" s="58" t="s">
        <v>1752</v>
      </c>
      <c r="C119" s="58" t="s">
        <v>1752</v>
      </c>
      <c r="D119" s="60"/>
      <c r="E119" s="62">
        <v>1</v>
      </c>
    </row>
    <row r="120" spans="1:5" x14ac:dyDescent="0.35">
      <c r="A120" s="11" t="s">
        <v>307</v>
      </c>
      <c r="B120" s="58" t="s">
        <v>1752</v>
      </c>
      <c r="C120" s="58" t="s">
        <v>1752</v>
      </c>
      <c r="D120" s="60"/>
      <c r="E120" s="62">
        <v>1</v>
      </c>
    </row>
    <row r="121" spans="1:5" x14ac:dyDescent="0.35">
      <c r="A121" s="10" t="s">
        <v>308</v>
      </c>
      <c r="B121" s="58" t="s">
        <v>1752</v>
      </c>
      <c r="C121" s="58" t="s">
        <v>1752</v>
      </c>
      <c r="D121" s="60"/>
      <c r="E121" s="62">
        <v>1</v>
      </c>
    </row>
    <row r="122" spans="1:5" x14ac:dyDescent="0.35">
      <c r="A122" s="10" t="s">
        <v>309</v>
      </c>
      <c r="B122" s="58" t="s">
        <v>1752</v>
      </c>
      <c r="C122" s="58" t="s">
        <v>1752</v>
      </c>
      <c r="D122" s="60"/>
      <c r="E122" s="62">
        <v>1</v>
      </c>
    </row>
    <row r="123" spans="1:5" x14ac:dyDescent="0.35">
      <c r="A123" s="11" t="s">
        <v>310</v>
      </c>
      <c r="B123" s="58" t="s">
        <v>1752</v>
      </c>
      <c r="C123" s="58" t="s">
        <v>1752</v>
      </c>
      <c r="D123" s="60"/>
      <c r="E123" s="62">
        <v>1</v>
      </c>
    </row>
    <row r="124" spans="1:5" x14ac:dyDescent="0.35">
      <c r="A124" s="10" t="s">
        <v>311</v>
      </c>
      <c r="B124" s="58" t="s">
        <v>1752</v>
      </c>
      <c r="C124" s="58" t="s">
        <v>1752</v>
      </c>
      <c r="D124" s="60"/>
      <c r="E124" s="62">
        <v>1</v>
      </c>
    </row>
    <row r="125" spans="1:5" x14ac:dyDescent="0.35">
      <c r="A125" s="11" t="s">
        <v>312</v>
      </c>
      <c r="B125" s="58" t="s">
        <v>1752</v>
      </c>
      <c r="C125" s="58" t="s">
        <v>1752</v>
      </c>
      <c r="D125" s="60"/>
      <c r="E125" s="62">
        <v>1</v>
      </c>
    </row>
    <row r="126" spans="1:5" x14ac:dyDescent="0.35">
      <c r="A126" s="10" t="s">
        <v>313</v>
      </c>
      <c r="B126" s="58" t="s">
        <v>1752</v>
      </c>
      <c r="C126" s="58" t="s">
        <v>1752</v>
      </c>
      <c r="D126" s="60"/>
      <c r="E126" s="62">
        <v>1</v>
      </c>
    </row>
    <row r="127" spans="1:5" x14ac:dyDescent="0.35">
      <c r="A127" s="11" t="s">
        <v>314</v>
      </c>
      <c r="B127" s="58" t="s">
        <v>1752</v>
      </c>
      <c r="C127" s="58" t="s">
        <v>1752</v>
      </c>
      <c r="D127" s="60"/>
      <c r="E127" s="62">
        <v>1</v>
      </c>
    </row>
    <row r="128" spans="1:5" x14ac:dyDescent="0.35">
      <c r="A128" s="11" t="s">
        <v>315</v>
      </c>
      <c r="B128" s="58" t="s">
        <v>1752</v>
      </c>
      <c r="C128" s="58" t="s">
        <v>1752</v>
      </c>
      <c r="D128" s="60"/>
      <c r="E128" s="62">
        <v>1</v>
      </c>
    </row>
    <row r="129" spans="1:5" x14ac:dyDescent="0.35">
      <c r="A129" s="10" t="s">
        <v>316</v>
      </c>
      <c r="B129" s="58" t="s">
        <v>1752</v>
      </c>
      <c r="C129" s="58" t="s">
        <v>1752</v>
      </c>
      <c r="D129" s="60"/>
      <c r="E129" s="62">
        <v>1</v>
      </c>
    </row>
    <row r="130" spans="1:5" x14ac:dyDescent="0.35">
      <c r="A130" s="10" t="s">
        <v>317</v>
      </c>
      <c r="B130" s="58" t="s">
        <v>1752</v>
      </c>
      <c r="C130" s="58" t="s">
        <v>1752</v>
      </c>
      <c r="D130" s="60"/>
      <c r="E130" s="62">
        <v>1</v>
      </c>
    </row>
    <row r="131" spans="1:5" x14ac:dyDescent="0.35">
      <c r="A131" s="11" t="s">
        <v>318</v>
      </c>
      <c r="B131" s="58" t="s">
        <v>1752</v>
      </c>
      <c r="C131" s="58" t="s">
        <v>1752</v>
      </c>
      <c r="D131" s="60"/>
      <c r="E131" s="62">
        <v>1</v>
      </c>
    </row>
    <row r="132" spans="1:5" x14ac:dyDescent="0.35">
      <c r="A132" s="11" t="s">
        <v>319</v>
      </c>
      <c r="B132" s="58" t="s">
        <v>1752</v>
      </c>
      <c r="C132" s="58" t="s">
        <v>1752</v>
      </c>
      <c r="D132" s="60"/>
      <c r="E132" s="62">
        <v>1</v>
      </c>
    </row>
    <row r="133" spans="1:5" x14ac:dyDescent="0.35">
      <c r="A133" s="10" t="s">
        <v>320</v>
      </c>
      <c r="B133" s="58" t="s">
        <v>1752</v>
      </c>
      <c r="C133" s="58" t="s">
        <v>1752</v>
      </c>
      <c r="D133" s="60"/>
      <c r="E133" s="62">
        <v>1</v>
      </c>
    </row>
    <row r="134" spans="1:5" x14ac:dyDescent="0.35">
      <c r="A134" s="10" t="s">
        <v>321</v>
      </c>
      <c r="B134" s="58" t="s">
        <v>1752</v>
      </c>
      <c r="C134" s="58" t="s">
        <v>1752</v>
      </c>
      <c r="D134" s="60"/>
      <c r="E134" s="62">
        <v>1</v>
      </c>
    </row>
    <row r="135" spans="1:5" x14ac:dyDescent="0.35">
      <c r="A135" s="11" t="s">
        <v>322</v>
      </c>
      <c r="B135" s="58" t="s">
        <v>1752</v>
      </c>
      <c r="C135" s="58" t="s">
        <v>1752</v>
      </c>
      <c r="D135" s="60"/>
      <c r="E135" s="62">
        <v>1</v>
      </c>
    </row>
    <row r="136" spans="1:5" x14ac:dyDescent="0.35">
      <c r="A136" s="11" t="s">
        <v>323</v>
      </c>
      <c r="B136" s="58" t="s">
        <v>1752</v>
      </c>
      <c r="C136" s="58" t="s">
        <v>1752</v>
      </c>
      <c r="D136" s="60"/>
      <c r="E136" s="62">
        <v>1</v>
      </c>
    </row>
    <row r="137" spans="1:5" x14ac:dyDescent="0.35">
      <c r="A137" s="10" t="s">
        <v>324</v>
      </c>
      <c r="B137" s="58" t="s">
        <v>1752</v>
      </c>
      <c r="C137" s="58" t="s">
        <v>1752</v>
      </c>
      <c r="D137" s="60"/>
      <c r="E137" s="62">
        <v>1</v>
      </c>
    </row>
    <row r="138" spans="1:5" x14ac:dyDescent="0.35">
      <c r="A138" s="10" t="s">
        <v>325</v>
      </c>
      <c r="B138" s="58" t="s">
        <v>1752</v>
      </c>
      <c r="C138" s="58" t="s">
        <v>1752</v>
      </c>
      <c r="D138" s="60"/>
      <c r="E138" s="62">
        <v>1</v>
      </c>
    </row>
    <row r="139" spans="1:5" x14ac:dyDescent="0.35">
      <c r="A139" s="10" t="s">
        <v>326</v>
      </c>
      <c r="B139" s="58" t="s">
        <v>1752</v>
      </c>
      <c r="C139" s="58" t="s">
        <v>1752</v>
      </c>
      <c r="D139" s="60"/>
      <c r="E139" s="62">
        <v>1</v>
      </c>
    </row>
    <row r="140" spans="1:5" x14ac:dyDescent="0.35">
      <c r="A140" s="10" t="s">
        <v>327</v>
      </c>
      <c r="B140" s="58" t="s">
        <v>1752</v>
      </c>
      <c r="C140" s="58" t="s">
        <v>1752</v>
      </c>
      <c r="D140" s="60"/>
      <c r="E140" s="62">
        <v>1</v>
      </c>
    </row>
    <row r="141" spans="1:5" x14ac:dyDescent="0.35">
      <c r="A141" s="10" t="s">
        <v>328</v>
      </c>
      <c r="B141" s="58" t="s">
        <v>1752</v>
      </c>
      <c r="C141" s="58" t="s">
        <v>1752</v>
      </c>
      <c r="D141" s="60"/>
      <c r="E141" s="62">
        <v>1</v>
      </c>
    </row>
    <row r="142" spans="1:5" x14ac:dyDescent="0.35">
      <c r="A142" s="11" t="s">
        <v>329</v>
      </c>
      <c r="B142" s="58" t="s">
        <v>1752</v>
      </c>
      <c r="C142" s="58" t="s">
        <v>1752</v>
      </c>
      <c r="D142" s="60"/>
      <c r="E142" s="62">
        <v>1</v>
      </c>
    </row>
    <row r="143" spans="1:5" x14ac:dyDescent="0.35">
      <c r="A143" s="10" t="s">
        <v>330</v>
      </c>
      <c r="B143" s="58" t="s">
        <v>1752</v>
      </c>
      <c r="C143" s="58" t="s">
        <v>1752</v>
      </c>
      <c r="D143" s="60"/>
      <c r="E143" s="62">
        <v>1</v>
      </c>
    </row>
    <row r="144" spans="1:5" x14ac:dyDescent="0.35">
      <c r="A144" s="10" t="s">
        <v>331</v>
      </c>
      <c r="B144" s="58" t="s">
        <v>1752</v>
      </c>
      <c r="C144" s="58" t="s">
        <v>1752</v>
      </c>
      <c r="D144" s="60"/>
      <c r="E144" s="62">
        <v>1</v>
      </c>
    </row>
    <row r="145" spans="1:5" x14ac:dyDescent="0.35">
      <c r="A145" s="11" t="s">
        <v>332</v>
      </c>
      <c r="B145" s="58" t="s">
        <v>1752</v>
      </c>
      <c r="C145" s="58" t="s">
        <v>1752</v>
      </c>
      <c r="D145" s="60"/>
      <c r="E145" s="62">
        <v>1</v>
      </c>
    </row>
    <row r="146" spans="1:5" x14ac:dyDescent="0.35">
      <c r="A146" s="10" t="s">
        <v>333</v>
      </c>
      <c r="B146" s="58" t="s">
        <v>1752</v>
      </c>
      <c r="C146" s="58" t="s">
        <v>1752</v>
      </c>
      <c r="D146" s="60"/>
      <c r="E146" s="62">
        <v>1</v>
      </c>
    </row>
    <row r="147" spans="1:5" x14ac:dyDescent="0.35">
      <c r="A147" s="10" t="s">
        <v>334</v>
      </c>
      <c r="B147" s="58" t="s">
        <v>1752</v>
      </c>
      <c r="C147" s="58" t="s">
        <v>1752</v>
      </c>
      <c r="D147" s="60"/>
      <c r="E147" s="62">
        <v>1</v>
      </c>
    </row>
    <row r="148" spans="1:5" x14ac:dyDescent="0.35">
      <c r="A148" s="10" t="s">
        <v>335</v>
      </c>
      <c r="B148" s="58" t="s">
        <v>1752</v>
      </c>
      <c r="C148" s="58" t="s">
        <v>1752</v>
      </c>
      <c r="D148" s="60"/>
      <c r="E148" s="62">
        <v>1</v>
      </c>
    </row>
    <row r="149" spans="1:5" x14ac:dyDescent="0.35">
      <c r="A149" s="10" t="s">
        <v>336</v>
      </c>
      <c r="B149" s="58" t="s">
        <v>1752</v>
      </c>
      <c r="C149" s="58" t="s">
        <v>1752</v>
      </c>
      <c r="D149" s="60"/>
      <c r="E149" s="62">
        <v>1</v>
      </c>
    </row>
    <row r="150" spans="1:5" x14ac:dyDescent="0.35">
      <c r="A150" s="10" t="s">
        <v>337</v>
      </c>
      <c r="B150" s="58" t="s">
        <v>1752</v>
      </c>
      <c r="C150" s="58" t="s">
        <v>1752</v>
      </c>
      <c r="D150" s="60"/>
      <c r="E150" s="62">
        <v>1</v>
      </c>
    </row>
    <row r="151" spans="1:5" x14ac:dyDescent="0.35">
      <c r="A151" s="11" t="s">
        <v>338</v>
      </c>
      <c r="B151" s="58" t="s">
        <v>1752</v>
      </c>
      <c r="C151" s="58" t="s">
        <v>1752</v>
      </c>
      <c r="D151" s="60"/>
      <c r="E151" s="62">
        <v>1</v>
      </c>
    </row>
    <row r="152" spans="1:5" x14ac:dyDescent="0.35">
      <c r="A152" s="11" t="s">
        <v>339</v>
      </c>
      <c r="B152" s="58" t="s">
        <v>1752</v>
      </c>
      <c r="C152" s="58" t="s">
        <v>1752</v>
      </c>
      <c r="D152" s="60"/>
      <c r="E152" s="62">
        <v>1</v>
      </c>
    </row>
    <row r="153" spans="1:5" x14ac:dyDescent="0.35">
      <c r="A153" s="10" t="s">
        <v>340</v>
      </c>
      <c r="B153" s="58" t="s">
        <v>1752</v>
      </c>
      <c r="C153" s="58" t="s">
        <v>1752</v>
      </c>
      <c r="D153" s="60"/>
      <c r="E153" s="62">
        <v>1</v>
      </c>
    </row>
    <row r="154" spans="1:5" x14ac:dyDescent="0.35">
      <c r="A154" s="10" t="s">
        <v>341</v>
      </c>
      <c r="B154" s="58" t="s">
        <v>1752</v>
      </c>
      <c r="C154" s="58" t="s">
        <v>1752</v>
      </c>
      <c r="D154" s="60"/>
      <c r="E154" s="62">
        <v>1</v>
      </c>
    </row>
    <row r="155" spans="1:5" x14ac:dyDescent="0.35">
      <c r="A155" s="10" t="s">
        <v>342</v>
      </c>
      <c r="B155" s="58" t="s">
        <v>1752</v>
      </c>
      <c r="C155" s="58" t="s">
        <v>1752</v>
      </c>
      <c r="D155" s="60"/>
      <c r="E155" s="62">
        <v>1</v>
      </c>
    </row>
    <row r="156" spans="1:5" x14ac:dyDescent="0.35">
      <c r="A156" s="10" t="s">
        <v>343</v>
      </c>
      <c r="B156" s="58" t="s">
        <v>1752</v>
      </c>
      <c r="C156" s="58" t="s">
        <v>1752</v>
      </c>
      <c r="D156" s="60"/>
      <c r="E156" s="62">
        <v>1</v>
      </c>
    </row>
    <row r="157" spans="1:5" x14ac:dyDescent="0.35">
      <c r="A157" s="11" t="s">
        <v>344</v>
      </c>
      <c r="B157" s="58" t="s">
        <v>1752</v>
      </c>
      <c r="C157" s="58" t="s">
        <v>1752</v>
      </c>
      <c r="D157" s="60"/>
      <c r="E157" s="62">
        <v>1</v>
      </c>
    </row>
    <row r="158" spans="1:5" x14ac:dyDescent="0.35">
      <c r="A158" s="11" t="s">
        <v>345</v>
      </c>
      <c r="B158" s="58" t="s">
        <v>1752</v>
      </c>
      <c r="C158" s="58" t="s">
        <v>1752</v>
      </c>
      <c r="D158" s="60"/>
      <c r="E158" s="62">
        <v>1</v>
      </c>
    </row>
    <row r="159" spans="1:5" x14ac:dyDescent="0.35">
      <c r="A159" s="11" t="s">
        <v>346</v>
      </c>
      <c r="B159" s="58" t="s">
        <v>1752</v>
      </c>
      <c r="C159" s="58" t="s">
        <v>1752</v>
      </c>
      <c r="D159" s="60"/>
      <c r="E159" s="62">
        <v>1</v>
      </c>
    </row>
    <row r="160" spans="1:5" x14ac:dyDescent="0.35">
      <c r="A160" s="10" t="s">
        <v>347</v>
      </c>
      <c r="B160" s="58" t="s">
        <v>1752</v>
      </c>
      <c r="C160" s="58" t="s">
        <v>1752</v>
      </c>
      <c r="D160" s="60"/>
      <c r="E160" s="62">
        <v>1</v>
      </c>
    </row>
    <row r="161" spans="1:5" x14ac:dyDescent="0.35">
      <c r="A161" s="10" t="s">
        <v>348</v>
      </c>
      <c r="B161" s="58" t="s">
        <v>1752</v>
      </c>
      <c r="C161" s="58" t="s">
        <v>1752</v>
      </c>
      <c r="D161" s="60"/>
      <c r="E161" s="62">
        <v>1</v>
      </c>
    </row>
    <row r="162" spans="1:5" x14ac:dyDescent="0.35">
      <c r="A162" s="11" t="s">
        <v>349</v>
      </c>
      <c r="B162" s="58" t="s">
        <v>1752</v>
      </c>
      <c r="C162" s="58" t="s">
        <v>1752</v>
      </c>
      <c r="D162" s="60"/>
      <c r="E162" s="62">
        <v>1</v>
      </c>
    </row>
    <row r="163" spans="1:5" x14ac:dyDescent="0.35">
      <c r="A163" s="10" t="s">
        <v>350</v>
      </c>
      <c r="B163" s="58" t="s">
        <v>1752</v>
      </c>
      <c r="C163" s="58" t="s">
        <v>1752</v>
      </c>
      <c r="D163" s="60"/>
      <c r="E163" s="62">
        <v>1</v>
      </c>
    </row>
    <row r="164" spans="1:5" x14ac:dyDescent="0.35">
      <c r="A164" s="11" t="s">
        <v>351</v>
      </c>
      <c r="B164" s="58" t="s">
        <v>1752</v>
      </c>
      <c r="C164" s="58" t="s">
        <v>1752</v>
      </c>
      <c r="D164" s="60"/>
      <c r="E164" s="62">
        <v>1</v>
      </c>
    </row>
    <row r="165" spans="1:5" x14ac:dyDescent="0.35">
      <c r="A165" s="10" t="s">
        <v>352</v>
      </c>
      <c r="B165" s="58" t="s">
        <v>1752</v>
      </c>
      <c r="C165" s="58" t="s">
        <v>1752</v>
      </c>
      <c r="D165" s="60"/>
      <c r="E165" s="62">
        <v>1</v>
      </c>
    </row>
    <row r="166" spans="1:5" x14ac:dyDescent="0.35">
      <c r="A166" s="11" t="s">
        <v>353</v>
      </c>
      <c r="B166" s="58" t="s">
        <v>1752</v>
      </c>
      <c r="C166" s="58" t="s">
        <v>1752</v>
      </c>
      <c r="D166" s="60"/>
      <c r="E166" s="62">
        <v>1</v>
      </c>
    </row>
    <row r="167" spans="1:5" x14ac:dyDescent="0.35">
      <c r="A167" s="10" t="s">
        <v>354</v>
      </c>
      <c r="B167" s="58" t="s">
        <v>1752</v>
      </c>
      <c r="C167" s="58" t="s">
        <v>1752</v>
      </c>
      <c r="D167" s="60"/>
      <c r="E167" s="62">
        <v>1</v>
      </c>
    </row>
    <row r="168" spans="1:5" x14ac:dyDescent="0.35">
      <c r="A168" s="11" t="s">
        <v>355</v>
      </c>
      <c r="B168" s="58" t="s">
        <v>1752</v>
      </c>
      <c r="C168" s="58" t="s">
        <v>1752</v>
      </c>
      <c r="D168" s="60"/>
      <c r="E168" s="62">
        <v>1</v>
      </c>
    </row>
    <row r="169" spans="1:5" x14ac:dyDescent="0.35">
      <c r="A169" s="10" t="s">
        <v>356</v>
      </c>
      <c r="B169" s="58" t="s">
        <v>1752</v>
      </c>
      <c r="C169" s="58" t="s">
        <v>1752</v>
      </c>
      <c r="D169" s="60"/>
      <c r="E169" s="62">
        <v>1</v>
      </c>
    </row>
    <row r="170" spans="1:5" x14ac:dyDescent="0.35">
      <c r="A170" s="11" t="s">
        <v>357</v>
      </c>
      <c r="B170" s="58" t="s">
        <v>1752</v>
      </c>
      <c r="C170" s="58" t="s">
        <v>1752</v>
      </c>
      <c r="D170" s="60"/>
      <c r="E170" s="62">
        <v>1</v>
      </c>
    </row>
    <row r="171" spans="1:5" x14ac:dyDescent="0.35">
      <c r="A171" s="11" t="s">
        <v>358</v>
      </c>
      <c r="B171" s="58" t="s">
        <v>1752</v>
      </c>
      <c r="C171" s="58" t="s">
        <v>1752</v>
      </c>
      <c r="D171" s="60"/>
      <c r="E171" s="62">
        <v>1</v>
      </c>
    </row>
    <row r="172" spans="1:5" x14ac:dyDescent="0.35">
      <c r="A172" s="10" t="s">
        <v>359</v>
      </c>
      <c r="B172" s="58" t="s">
        <v>1752</v>
      </c>
      <c r="C172" s="58" t="s">
        <v>1752</v>
      </c>
      <c r="D172" s="60"/>
      <c r="E172" s="62">
        <v>1</v>
      </c>
    </row>
    <row r="173" spans="1:5" x14ac:dyDescent="0.35">
      <c r="A173" s="10" t="s">
        <v>360</v>
      </c>
      <c r="B173" s="58" t="s">
        <v>1752</v>
      </c>
      <c r="C173" s="58" t="s">
        <v>1752</v>
      </c>
      <c r="D173" s="60"/>
      <c r="E173" s="62">
        <v>1</v>
      </c>
    </row>
    <row r="174" spans="1:5" x14ac:dyDescent="0.35">
      <c r="A174" s="10" t="s">
        <v>361</v>
      </c>
      <c r="B174" s="58" t="s">
        <v>1752</v>
      </c>
      <c r="C174" s="58" t="s">
        <v>1752</v>
      </c>
      <c r="D174" s="60"/>
      <c r="E174" s="62">
        <v>1</v>
      </c>
    </row>
    <row r="175" spans="1:5" x14ac:dyDescent="0.35">
      <c r="A175" s="11" t="s">
        <v>362</v>
      </c>
      <c r="B175" s="58" t="s">
        <v>1752</v>
      </c>
      <c r="C175" s="58" t="s">
        <v>1752</v>
      </c>
      <c r="D175" s="60"/>
      <c r="E175" s="62">
        <v>1</v>
      </c>
    </row>
    <row r="176" spans="1:5" x14ac:dyDescent="0.35">
      <c r="A176" s="10" t="s">
        <v>363</v>
      </c>
      <c r="B176" s="58" t="s">
        <v>1752</v>
      </c>
      <c r="C176" s="58" t="s">
        <v>1752</v>
      </c>
      <c r="D176" s="60"/>
      <c r="E176" s="62">
        <v>1</v>
      </c>
    </row>
    <row r="177" spans="1:5" x14ac:dyDescent="0.35">
      <c r="A177" s="11" t="s">
        <v>364</v>
      </c>
      <c r="B177" s="58" t="s">
        <v>1752</v>
      </c>
      <c r="C177" s="58" t="s">
        <v>1752</v>
      </c>
      <c r="D177" s="60"/>
      <c r="E177" s="62">
        <v>1</v>
      </c>
    </row>
    <row r="178" spans="1:5" x14ac:dyDescent="0.35">
      <c r="A178" s="11" t="s">
        <v>365</v>
      </c>
      <c r="B178" s="58" t="s">
        <v>1752</v>
      </c>
      <c r="C178" s="58" t="s">
        <v>1752</v>
      </c>
      <c r="D178" s="60"/>
      <c r="E178" s="62">
        <v>1</v>
      </c>
    </row>
    <row r="179" spans="1:5" x14ac:dyDescent="0.35">
      <c r="A179" s="10" t="s">
        <v>366</v>
      </c>
      <c r="B179" s="58" t="s">
        <v>1752</v>
      </c>
      <c r="C179" s="58" t="s">
        <v>1752</v>
      </c>
      <c r="D179" s="60"/>
      <c r="E179" s="62">
        <v>1</v>
      </c>
    </row>
    <row r="180" spans="1:5" x14ac:dyDescent="0.35">
      <c r="A180" s="10" t="s">
        <v>367</v>
      </c>
      <c r="B180" s="58" t="s">
        <v>1752</v>
      </c>
      <c r="C180" s="58" t="s">
        <v>1752</v>
      </c>
      <c r="D180" s="60"/>
      <c r="E180" s="62">
        <v>1</v>
      </c>
    </row>
    <row r="181" spans="1:5" x14ac:dyDescent="0.35">
      <c r="A181" s="10" t="s">
        <v>368</v>
      </c>
      <c r="B181" s="58" t="s">
        <v>1752</v>
      </c>
      <c r="C181" s="58" t="s">
        <v>1752</v>
      </c>
      <c r="D181" s="60"/>
      <c r="E181" s="62">
        <v>1</v>
      </c>
    </row>
    <row r="182" spans="1:5" x14ac:dyDescent="0.35">
      <c r="A182" s="10" t="s">
        <v>369</v>
      </c>
      <c r="B182" s="58" t="s">
        <v>1752</v>
      </c>
      <c r="C182" s="58" t="s">
        <v>1752</v>
      </c>
      <c r="D182" s="60"/>
      <c r="E182" s="62">
        <v>1</v>
      </c>
    </row>
    <row r="183" spans="1:5" x14ac:dyDescent="0.35">
      <c r="A183" s="11" t="s">
        <v>370</v>
      </c>
      <c r="B183" s="58" t="s">
        <v>1752</v>
      </c>
      <c r="C183" s="58" t="s">
        <v>1752</v>
      </c>
      <c r="D183" s="60"/>
      <c r="E183" s="62">
        <v>1</v>
      </c>
    </row>
    <row r="184" spans="1:5" x14ac:dyDescent="0.35">
      <c r="A184" s="10" t="s">
        <v>371</v>
      </c>
      <c r="B184" s="58" t="s">
        <v>1752</v>
      </c>
      <c r="C184" s="58" t="s">
        <v>1752</v>
      </c>
      <c r="D184" s="60"/>
      <c r="E184" s="62">
        <v>1</v>
      </c>
    </row>
    <row r="185" spans="1:5" x14ac:dyDescent="0.35">
      <c r="A185" s="11" t="s">
        <v>372</v>
      </c>
      <c r="B185" s="58" t="s">
        <v>1752</v>
      </c>
      <c r="C185" s="58" t="s">
        <v>1752</v>
      </c>
      <c r="D185" s="60"/>
      <c r="E185" s="62">
        <v>1</v>
      </c>
    </row>
    <row r="186" spans="1:5" x14ac:dyDescent="0.35">
      <c r="A186" s="10" t="s">
        <v>373</v>
      </c>
      <c r="B186" s="58" t="s">
        <v>1752</v>
      </c>
      <c r="C186" s="58" t="s">
        <v>1752</v>
      </c>
      <c r="D186" s="60"/>
      <c r="E186" s="62">
        <v>1</v>
      </c>
    </row>
    <row r="187" spans="1:5" x14ac:dyDescent="0.35">
      <c r="A187" s="11" t="s">
        <v>374</v>
      </c>
      <c r="B187" s="58" t="s">
        <v>1752</v>
      </c>
      <c r="C187" s="58" t="s">
        <v>1752</v>
      </c>
      <c r="D187" s="60"/>
      <c r="E187" s="62">
        <v>1</v>
      </c>
    </row>
    <row r="188" spans="1:5" x14ac:dyDescent="0.35">
      <c r="A188" s="11" t="s">
        <v>375</v>
      </c>
      <c r="B188" s="58" t="s">
        <v>1752</v>
      </c>
      <c r="C188" s="58" t="s">
        <v>1752</v>
      </c>
      <c r="D188" s="60"/>
      <c r="E188" s="62">
        <v>1</v>
      </c>
    </row>
    <row r="189" spans="1:5" x14ac:dyDescent="0.35">
      <c r="A189" s="11" t="s">
        <v>376</v>
      </c>
      <c r="B189" s="58" t="s">
        <v>1752</v>
      </c>
      <c r="C189" s="58" t="s">
        <v>1752</v>
      </c>
      <c r="D189" s="60"/>
      <c r="E189" s="62">
        <v>1</v>
      </c>
    </row>
    <row r="190" spans="1:5" x14ac:dyDescent="0.35">
      <c r="A190" s="10" t="s">
        <v>377</v>
      </c>
      <c r="B190" s="58" t="s">
        <v>1752</v>
      </c>
      <c r="C190" s="58" t="s">
        <v>1752</v>
      </c>
      <c r="D190" s="60"/>
      <c r="E190" s="62">
        <v>1</v>
      </c>
    </row>
    <row r="191" spans="1:5" x14ac:dyDescent="0.35">
      <c r="A191" s="11" t="s">
        <v>378</v>
      </c>
      <c r="B191" s="58" t="s">
        <v>1752</v>
      </c>
      <c r="C191" s="58" t="s">
        <v>1752</v>
      </c>
      <c r="D191" s="60"/>
      <c r="E191" s="62">
        <v>1</v>
      </c>
    </row>
    <row r="192" spans="1:5" x14ac:dyDescent="0.35">
      <c r="A192" s="11" t="s">
        <v>379</v>
      </c>
      <c r="B192" s="58" t="s">
        <v>1752</v>
      </c>
      <c r="C192" s="58" t="s">
        <v>1752</v>
      </c>
      <c r="D192" s="60"/>
      <c r="E192" s="62">
        <v>1</v>
      </c>
    </row>
    <row r="193" spans="1:5" x14ac:dyDescent="0.35">
      <c r="A193" s="10" t="s">
        <v>380</v>
      </c>
      <c r="B193" s="58" t="s">
        <v>1752</v>
      </c>
      <c r="C193" s="58" t="s">
        <v>1752</v>
      </c>
      <c r="D193" s="60"/>
      <c r="E193" s="62">
        <v>1</v>
      </c>
    </row>
    <row r="194" spans="1:5" x14ac:dyDescent="0.35">
      <c r="A194" s="11" t="s">
        <v>381</v>
      </c>
      <c r="B194" s="58" t="s">
        <v>1752</v>
      </c>
      <c r="C194" s="58" t="s">
        <v>1752</v>
      </c>
      <c r="D194" s="60"/>
      <c r="E194" s="62">
        <v>1</v>
      </c>
    </row>
    <row r="195" spans="1:5" x14ac:dyDescent="0.35">
      <c r="A195" s="11" t="s">
        <v>382</v>
      </c>
      <c r="B195" s="58" t="s">
        <v>1752</v>
      </c>
      <c r="C195" s="58" t="s">
        <v>1752</v>
      </c>
      <c r="D195" s="60"/>
      <c r="E195" s="62">
        <v>1</v>
      </c>
    </row>
    <row r="196" spans="1:5" x14ac:dyDescent="0.35">
      <c r="A196" s="11" t="s">
        <v>383</v>
      </c>
      <c r="B196" s="58" t="s">
        <v>1752</v>
      </c>
      <c r="C196" s="58" t="s">
        <v>1752</v>
      </c>
      <c r="D196" s="60"/>
      <c r="E196" s="62">
        <v>1</v>
      </c>
    </row>
    <row r="197" spans="1:5" x14ac:dyDescent="0.35">
      <c r="A197" s="10" t="s">
        <v>384</v>
      </c>
      <c r="B197" s="58" t="s">
        <v>1752</v>
      </c>
      <c r="C197" s="58" t="s">
        <v>1752</v>
      </c>
      <c r="D197" s="60"/>
      <c r="E197" s="62">
        <v>1</v>
      </c>
    </row>
    <row r="198" spans="1:5" x14ac:dyDescent="0.35">
      <c r="A198" s="11" t="s">
        <v>385</v>
      </c>
      <c r="B198" s="58" t="s">
        <v>1752</v>
      </c>
      <c r="C198" s="58" t="s">
        <v>1752</v>
      </c>
      <c r="D198" s="60"/>
      <c r="E198" s="62">
        <v>1</v>
      </c>
    </row>
    <row r="199" spans="1:5" x14ac:dyDescent="0.35">
      <c r="A199" s="10" t="s">
        <v>386</v>
      </c>
      <c r="B199" s="58" t="s">
        <v>1752</v>
      </c>
      <c r="C199" s="58" t="s">
        <v>1752</v>
      </c>
      <c r="D199" s="60"/>
      <c r="E199" s="62">
        <v>1</v>
      </c>
    </row>
    <row r="200" spans="1:5" x14ac:dyDescent="0.35">
      <c r="A200" s="10" t="s">
        <v>387</v>
      </c>
      <c r="B200" s="58" t="s">
        <v>1752</v>
      </c>
      <c r="C200" s="58" t="s">
        <v>1752</v>
      </c>
      <c r="D200" s="60"/>
      <c r="E200" s="62">
        <v>1</v>
      </c>
    </row>
    <row r="201" spans="1:5" x14ac:dyDescent="0.35">
      <c r="A201" s="11" t="s">
        <v>388</v>
      </c>
      <c r="B201" s="58" t="s">
        <v>1752</v>
      </c>
      <c r="C201" s="58" t="s">
        <v>1752</v>
      </c>
      <c r="D201" s="60"/>
      <c r="E201" s="62">
        <v>1</v>
      </c>
    </row>
    <row r="202" spans="1:5" x14ac:dyDescent="0.35">
      <c r="A202" s="10" t="s">
        <v>389</v>
      </c>
      <c r="B202" s="58" t="s">
        <v>1752</v>
      </c>
      <c r="C202" s="58" t="s">
        <v>1752</v>
      </c>
      <c r="D202" s="60"/>
      <c r="E202" s="62">
        <v>1</v>
      </c>
    </row>
    <row r="203" spans="1:5" x14ac:dyDescent="0.35">
      <c r="A203" s="10" t="s">
        <v>390</v>
      </c>
      <c r="B203" s="58" t="s">
        <v>1827</v>
      </c>
      <c r="C203" s="58" t="s">
        <v>1752</v>
      </c>
      <c r="D203" s="60"/>
      <c r="E203" s="62">
        <v>1</v>
      </c>
    </row>
    <row r="204" spans="1:5" x14ac:dyDescent="0.35">
      <c r="A204" s="11" t="s">
        <v>391</v>
      </c>
      <c r="B204" s="58" t="s">
        <v>1752</v>
      </c>
      <c r="C204" s="58" t="s">
        <v>1752</v>
      </c>
      <c r="D204" s="60"/>
      <c r="E204" s="62">
        <v>1</v>
      </c>
    </row>
    <row r="205" spans="1:5" x14ac:dyDescent="0.35">
      <c r="A205" s="11" t="s">
        <v>392</v>
      </c>
      <c r="B205" s="58" t="s">
        <v>1752</v>
      </c>
      <c r="C205" s="58" t="s">
        <v>1752</v>
      </c>
      <c r="D205" s="60"/>
      <c r="E205" s="62">
        <v>1</v>
      </c>
    </row>
    <row r="206" spans="1:5" x14ac:dyDescent="0.35">
      <c r="A206" s="10" t="s">
        <v>393</v>
      </c>
      <c r="B206" s="58" t="s">
        <v>1752</v>
      </c>
      <c r="C206" s="58" t="s">
        <v>1752</v>
      </c>
      <c r="D206" s="60"/>
      <c r="E206" s="62">
        <v>1</v>
      </c>
    </row>
    <row r="207" spans="1:5" x14ac:dyDescent="0.35">
      <c r="A207" s="10" t="s">
        <v>394</v>
      </c>
      <c r="B207" s="58" t="s">
        <v>1827</v>
      </c>
      <c r="C207" s="58" t="s">
        <v>1752</v>
      </c>
      <c r="D207" s="60"/>
      <c r="E207" s="62">
        <v>1</v>
      </c>
    </row>
    <row r="208" spans="1:5" x14ac:dyDescent="0.35">
      <c r="A208" s="11" t="s">
        <v>395</v>
      </c>
      <c r="B208" s="58" t="s">
        <v>1752</v>
      </c>
      <c r="C208" s="58" t="s">
        <v>1752</v>
      </c>
      <c r="D208" s="60"/>
      <c r="E208" s="62">
        <v>1</v>
      </c>
    </row>
    <row r="209" spans="1:5" x14ac:dyDescent="0.35">
      <c r="A209" s="11" t="s">
        <v>396</v>
      </c>
      <c r="B209" s="58" t="s">
        <v>1752</v>
      </c>
      <c r="C209" s="58" t="s">
        <v>1752</v>
      </c>
      <c r="D209" s="60"/>
      <c r="E209" s="62">
        <v>1</v>
      </c>
    </row>
    <row r="210" spans="1:5" x14ac:dyDescent="0.35">
      <c r="A210" s="11" t="s">
        <v>397</v>
      </c>
      <c r="B210" s="58" t="s">
        <v>1752</v>
      </c>
      <c r="C210" s="58" t="s">
        <v>1752</v>
      </c>
      <c r="D210" s="60"/>
      <c r="E210" s="62">
        <v>1</v>
      </c>
    </row>
    <row r="211" spans="1:5" x14ac:dyDescent="0.35">
      <c r="A211" s="10" t="s">
        <v>398</v>
      </c>
      <c r="B211" s="58" t="s">
        <v>1752</v>
      </c>
      <c r="C211" s="58" t="s">
        <v>1752</v>
      </c>
      <c r="D211" s="60"/>
      <c r="E211" s="62">
        <v>1</v>
      </c>
    </row>
    <row r="212" spans="1:5" x14ac:dyDescent="0.35">
      <c r="A212" s="10" t="s">
        <v>399</v>
      </c>
      <c r="B212" s="58" t="s">
        <v>1752</v>
      </c>
      <c r="C212" s="58" t="s">
        <v>1752</v>
      </c>
      <c r="D212" s="60"/>
      <c r="E212" s="62">
        <v>1</v>
      </c>
    </row>
    <row r="213" spans="1:5" x14ac:dyDescent="0.35">
      <c r="A213" s="11" t="s">
        <v>400</v>
      </c>
      <c r="B213" s="58" t="s">
        <v>1827</v>
      </c>
      <c r="C213" s="58" t="s">
        <v>1752</v>
      </c>
      <c r="D213" s="60"/>
      <c r="E213" s="62">
        <v>1</v>
      </c>
    </row>
    <row r="214" spans="1:5" x14ac:dyDescent="0.35">
      <c r="A214" s="11" t="s">
        <v>401</v>
      </c>
      <c r="B214" s="58" t="s">
        <v>1752</v>
      </c>
      <c r="C214" s="58" t="s">
        <v>1752</v>
      </c>
      <c r="D214" s="60"/>
      <c r="E214" s="62">
        <v>1</v>
      </c>
    </row>
    <row r="215" spans="1:5" x14ac:dyDescent="0.35">
      <c r="A215" s="10" t="s">
        <v>402</v>
      </c>
      <c r="B215" s="58" t="s">
        <v>1752</v>
      </c>
      <c r="C215" s="58" t="s">
        <v>1752</v>
      </c>
      <c r="D215" s="60"/>
      <c r="E215" s="62">
        <v>1</v>
      </c>
    </row>
    <row r="216" spans="1:5" x14ac:dyDescent="0.35">
      <c r="A216" s="11" t="s">
        <v>403</v>
      </c>
      <c r="B216" s="58" t="s">
        <v>1752</v>
      </c>
      <c r="C216" s="58" t="s">
        <v>1752</v>
      </c>
      <c r="D216" s="60"/>
      <c r="E216" s="62">
        <v>1</v>
      </c>
    </row>
    <row r="217" spans="1:5" x14ac:dyDescent="0.35">
      <c r="A217" s="11" t="s">
        <v>404</v>
      </c>
      <c r="B217" s="58" t="s">
        <v>1752</v>
      </c>
      <c r="C217" s="58" t="s">
        <v>1752</v>
      </c>
      <c r="D217" s="60"/>
      <c r="E217" s="62">
        <v>1</v>
      </c>
    </row>
    <row r="218" spans="1:5" x14ac:dyDescent="0.35">
      <c r="A218" s="10" t="s">
        <v>405</v>
      </c>
      <c r="B218" s="58" t="s">
        <v>1827</v>
      </c>
      <c r="C218" s="58" t="s">
        <v>1752</v>
      </c>
      <c r="D218" s="60"/>
      <c r="E218" s="62">
        <v>1</v>
      </c>
    </row>
    <row r="219" spans="1:5" x14ac:dyDescent="0.35">
      <c r="A219" s="11" t="s">
        <v>406</v>
      </c>
      <c r="B219" s="58" t="s">
        <v>1827</v>
      </c>
      <c r="C219" s="58" t="s">
        <v>1752</v>
      </c>
      <c r="D219" s="60"/>
      <c r="E219" s="62">
        <v>1</v>
      </c>
    </row>
    <row r="220" spans="1:5" x14ac:dyDescent="0.35">
      <c r="A220" s="11" t="s">
        <v>407</v>
      </c>
      <c r="B220" s="58" t="s">
        <v>1752</v>
      </c>
      <c r="C220" s="58" t="s">
        <v>1752</v>
      </c>
      <c r="D220" s="60"/>
      <c r="E220" s="62">
        <v>1</v>
      </c>
    </row>
    <row r="221" spans="1:5" x14ac:dyDescent="0.35">
      <c r="A221" s="10" t="s">
        <v>408</v>
      </c>
      <c r="B221" s="58" t="s">
        <v>1752</v>
      </c>
      <c r="C221" s="58" t="s">
        <v>1752</v>
      </c>
      <c r="D221" s="60"/>
      <c r="E221" s="62">
        <v>1</v>
      </c>
    </row>
    <row r="222" spans="1:5" x14ac:dyDescent="0.35">
      <c r="A222" s="11" t="s">
        <v>409</v>
      </c>
      <c r="B222" s="58" t="s">
        <v>1827</v>
      </c>
      <c r="C222" s="58" t="s">
        <v>1752</v>
      </c>
      <c r="D222" s="60"/>
      <c r="E222" s="62">
        <v>1</v>
      </c>
    </row>
    <row r="223" spans="1:5" x14ac:dyDescent="0.35">
      <c r="A223" s="10" t="s">
        <v>410</v>
      </c>
      <c r="B223" s="58" t="s">
        <v>1827</v>
      </c>
      <c r="C223" s="58" t="s">
        <v>1752</v>
      </c>
      <c r="D223" s="60"/>
      <c r="E223" s="62">
        <v>1</v>
      </c>
    </row>
    <row r="224" spans="1:5" x14ac:dyDescent="0.35">
      <c r="A224" s="11" t="s">
        <v>411</v>
      </c>
      <c r="B224" s="58" t="s">
        <v>1752</v>
      </c>
      <c r="C224" s="58" t="s">
        <v>1752</v>
      </c>
      <c r="D224" s="60"/>
      <c r="E224" s="62">
        <v>1</v>
      </c>
    </row>
    <row r="225" spans="1:5" x14ac:dyDescent="0.35">
      <c r="A225" s="10" t="s">
        <v>412</v>
      </c>
      <c r="B225" s="58" t="s">
        <v>1752</v>
      </c>
      <c r="C225" s="58" t="s">
        <v>1752</v>
      </c>
      <c r="D225" s="60"/>
      <c r="E225" s="62">
        <v>1</v>
      </c>
    </row>
    <row r="226" spans="1:5" x14ac:dyDescent="0.35">
      <c r="A226" s="11" t="s">
        <v>413</v>
      </c>
      <c r="B226" s="58" t="s">
        <v>1752</v>
      </c>
      <c r="C226" s="58" t="s">
        <v>1752</v>
      </c>
      <c r="D226" s="60"/>
      <c r="E226" s="62">
        <v>1</v>
      </c>
    </row>
    <row r="227" spans="1:5" x14ac:dyDescent="0.35">
      <c r="A227" s="10" t="s">
        <v>414</v>
      </c>
      <c r="B227" s="58" t="s">
        <v>1752</v>
      </c>
      <c r="C227" s="58" t="s">
        <v>1752</v>
      </c>
      <c r="D227" s="60"/>
      <c r="E227" s="62">
        <v>1</v>
      </c>
    </row>
    <row r="228" spans="1:5" x14ac:dyDescent="0.35">
      <c r="A228" s="11" t="s">
        <v>415</v>
      </c>
      <c r="B228" s="58" t="s">
        <v>1752</v>
      </c>
      <c r="C228" s="58" t="s">
        <v>1752</v>
      </c>
      <c r="D228" s="60"/>
      <c r="E228" s="62">
        <v>1</v>
      </c>
    </row>
    <row r="229" spans="1:5" x14ac:dyDescent="0.35">
      <c r="A229" s="10" t="s">
        <v>416</v>
      </c>
      <c r="B229" s="58" t="s">
        <v>1752</v>
      </c>
      <c r="C229" s="58" t="s">
        <v>1752</v>
      </c>
      <c r="D229" s="60"/>
      <c r="E229" s="62">
        <v>1</v>
      </c>
    </row>
    <row r="230" spans="1:5" x14ac:dyDescent="0.35">
      <c r="A230" s="10" t="s">
        <v>417</v>
      </c>
      <c r="B230" s="58" t="s">
        <v>1752</v>
      </c>
      <c r="C230" s="58" t="s">
        <v>1752</v>
      </c>
      <c r="D230" s="60"/>
      <c r="E230" s="62">
        <v>1</v>
      </c>
    </row>
    <row r="231" spans="1:5" x14ac:dyDescent="0.35">
      <c r="A231" s="10" t="s">
        <v>418</v>
      </c>
      <c r="B231" s="58" t="s">
        <v>1752</v>
      </c>
      <c r="C231" s="58" t="s">
        <v>1752</v>
      </c>
      <c r="D231" s="60"/>
      <c r="E231" s="62">
        <v>1</v>
      </c>
    </row>
    <row r="232" spans="1:5" x14ac:dyDescent="0.35">
      <c r="A232" s="10" t="s">
        <v>419</v>
      </c>
      <c r="B232" s="58" t="s">
        <v>1827</v>
      </c>
      <c r="C232" s="58" t="s">
        <v>1752</v>
      </c>
      <c r="D232" s="60"/>
      <c r="E232" s="62">
        <v>1</v>
      </c>
    </row>
    <row r="233" spans="1:5" x14ac:dyDescent="0.35">
      <c r="A233" s="11" t="s">
        <v>420</v>
      </c>
      <c r="B233" s="58" t="s">
        <v>1752</v>
      </c>
      <c r="C233" s="58" t="s">
        <v>1752</v>
      </c>
      <c r="D233" s="60"/>
      <c r="E233" s="62">
        <v>1</v>
      </c>
    </row>
    <row r="234" spans="1:5" x14ac:dyDescent="0.35">
      <c r="A234" s="11" t="s">
        <v>421</v>
      </c>
      <c r="B234" s="58" t="s">
        <v>1752</v>
      </c>
      <c r="C234" s="58" t="s">
        <v>1752</v>
      </c>
      <c r="D234" s="60"/>
      <c r="E234" s="62">
        <v>1</v>
      </c>
    </row>
    <row r="235" spans="1:5" x14ac:dyDescent="0.35">
      <c r="A235" s="11" t="s">
        <v>422</v>
      </c>
      <c r="B235" s="58" t="s">
        <v>1752</v>
      </c>
      <c r="C235" s="58" t="s">
        <v>1752</v>
      </c>
      <c r="D235" s="60"/>
      <c r="E235" s="62">
        <v>1</v>
      </c>
    </row>
    <row r="236" spans="1:5" x14ac:dyDescent="0.35">
      <c r="A236" s="10" t="s">
        <v>423</v>
      </c>
      <c r="B236" s="58" t="s">
        <v>1752</v>
      </c>
      <c r="C236" s="58" t="s">
        <v>1752</v>
      </c>
      <c r="D236" s="60"/>
      <c r="E236" s="62">
        <v>1</v>
      </c>
    </row>
    <row r="237" spans="1:5" x14ac:dyDescent="0.35">
      <c r="A237" s="11" t="s">
        <v>424</v>
      </c>
      <c r="B237" s="58" t="s">
        <v>1752</v>
      </c>
      <c r="C237" s="58" t="s">
        <v>1752</v>
      </c>
      <c r="D237" s="60"/>
      <c r="E237" s="62">
        <v>1</v>
      </c>
    </row>
    <row r="238" spans="1:5" x14ac:dyDescent="0.35">
      <c r="A238" s="11" t="s">
        <v>425</v>
      </c>
      <c r="B238" s="58" t="s">
        <v>1752</v>
      </c>
      <c r="C238" s="58" t="s">
        <v>1752</v>
      </c>
      <c r="D238" s="60"/>
      <c r="E238" s="62">
        <v>1</v>
      </c>
    </row>
    <row r="239" spans="1:5" x14ac:dyDescent="0.35">
      <c r="A239" s="11" t="s">
        <v>426</v>
      </c>
      <c r="B239" s="58" t="s">
        <v>1752</v>
      </c>
      <c r="C239" s="58" t="s">
        <v>1752</v>
      </c>
      <c r="D239" s="60"/>
      <c r="E239" s="62">
        <v>1</v>
      </c>
    </row>
    <row r="240" spans="1:5" x14ac:dyDescent="0.35">
      <c r="A240" s="10" t="s">
        <v>427</v>
      </c>
      <c r="B240" s="58" t="s">
        <v>1752</v>
      </c>
      <c r="C240" s="58" t="s">
        <v>1752</v>
      </c>
      <c r="D240" s="60"/>
      <c r="E240" s="62">
        <v>1</v>
      </c>
    </row>
    <row r="241" spans="1:5" x14ac:dyDescent="0.35">
      <c r="A241" s="11" t="s">
        <v>428</v>
      </c>
      <c r="B241" s="58" t="s">
        <v>1752</v>
      </c>
      <c r="C241" s="58" t="s">
        <v>1752</v>
      </c>
      <c r="D241" s="60"/>
      <c r="E241" s="62">
        <v>1</v>
      </c>
    </row>
    <row r="242" spans="1:5" x14ac:dyDescent="0.35">
      <c r="A242" s="11" t="s">
        <v>429</v>
      </c>
      <c r="B242" s="58" t="s">
        <v>1752</v>
      </c>
      <c r="C242" s="58" t="s">
        <v>1752</v>
      </c>
      <c r="D242" s="60"/>
      <c r="E242" s="62">
        <v>1</v>
      </c>
    </row>
    <row r="243" spans="1:5" x14ac:dyDescent="0.35">
      <c r="A243" s="11" t="s">
        <v>430</v>
      </c>
      <c r="B243" s="58" t="s">
        <v>1752</v>
      </c>
      <c r="C243" s="58" t="s">
        <v>1752</v>
      </c>
      <c r="D243" s="60"/>
      <c r="E243" s="62">
        <v>1</v>
      </c>
    </row>
    <row r="244" spans="1:5" x14ac:dyDescent="0.35">
      <c r="A244" s="10" t="s">
        <v>431</v>
      </c>
      <c r="B244" s="58" t="s">
        <v>1752</v>
      </c>
      <c r="C244" s="58" t="s">
        <v>1752</v>
      </c>
      <c r="D244" s="60"/>
      <c r="E244" s="62">
        <v>1</v>
      </c>
    </row>
    <row r="245" spans="1:5" x14ac:dyDescent="0.35">
      <c r="A245" s="10" t="s">
        <v>432</v>
      </c>
      <c r="B245" s="58" t="s">
        <v>1752</v>
      </c>
      <c r="C245" s="58" t="s">
        <v>1752</v>
      </c>
      <c r="D245" s="60"/>
      <c r="E245" s="62">
        <v>1</v>
      </c>
    </row>
    <row r="246" spans="1:5" x14ac:dyDescent="0.35">
      <c r="A246" s="10" t="s">
        <v>433</v>
      </c>
      <c r="B246" s="58" t="s">
        <v>1752</v>
      </c>
      <c r="C246" s="58" t="s">
        <v>1752</v>
      </c>
      <c r="D246" s="60"/>
      <c r="E246" s="62">
        <v>1</v>
      </c>
    </row>
    <row r="247" spans="1:5" x14ac:dyDescent="0.35">
      <c r="A247" s="10" t="s">
        <v>434</v>
      </c>
      <c r="B247" s="58" t="s">
        <v>1752</v>
      </c>
      <c r="C247" s="58" t="s">
        <v>1752</v>
      </c>
      <c r="D247" s="60"/>
      <c r="E247" s="62">
        <v>1</v>
      </c>
    </row>
    <row r="248" spans="1:5" x14ac:dyDescent="0.35">
      <c r="A248" s="11" t="s">
        <v>435</v>
      </c>
      <c r="B248" s="58" t="s">
        <v>1752</v>
      </c>
      <c r="C248" s="58" t="s">
        <v>1752</v>
      </c>
      <c r="D248" s="60"/>
      <c r="E248" s="62">
        <v>1</v>
      </c>
    </row>
    <row r="249" spans="1:5" x14ac:dyDescent="0.35">
      <c r="A249" s="10" t="s">
        <v>436</v>
      </c>
      <c r="B249" s="58" t="s">
        <v>1827</v>
      </c>
      <c r="C249" s="58" t="s">
        <v>1752</v>
      </c>
      <c r="D249" s="60"/>
      <c r="E249" s="62">
        <v>1</v>
      </c>
    </row>
    <row r="250" spans="1:5" x14ac:dyDescent="0.35">
      <c r="A250" s="11" t="s">
        <v>437</v>
      </c>
      <c r="B250" s="58" t="s">
        <v>1752</v>
      </c>
      <c r="C250" s="58" t="s">
        <v>1752</v>
      </c>
      <c r="D250" s="60"/>
      <c r="E250" s="62">
        <v>1</v>
      </c>
    </row>
    <row r="251" spans="1:5" x14ac:dyDescent="0.35">
      <c r="A251" s="10" t="s">
        <v>438</v>
      </c>
      <c r="B251" s="58" t="s">
        <v>1752</v>
      </c>
      <c r="C251" s="58" t="s">
        <v>1752</v>
      </c>
      <c r="D251" s="60"/>
      <c r="E251" s="62">
        <v>1</v>
      </c>
    </row>
    <row r="252" spans="1:5" x14ac:dyDescent="0.35">
      <c r="A252" s="11" t="s">
        <v>439</v>
      </c>
      <c r="B252" s="58" t="s">
        <v>1752</v>
      </c>
      <c r="C252" s="58" t="s">
        <v>1752</v>
      </c>
      <c r="D252" s="60"/>
      <c r="E252" s="62">
        <v>1</v>
      </c>
    </row>
    <row r="253" spans="1:5" x14ac:dyDescent="0.35">
      <c r="A253" s="10" t="s">
        <v>440</v>
      </c>
      <c r="B253" s="58" t="s">
        <v>1752</v>
      </c>
      <c r="C253" s="58" t="s">
        <v>1752</v>
      </c>
      <c r="D253" s="60"/>
      <c r="E253" s="62">
        <v>1</v>
      </c>
    </row>
    <row r="254" spans="1:5" x14ac:dyDescent="0.35">
      <c r="A254" s="10" t="s">
        <v>441</v>
      </c>
      <c r="B254" s="58" t="s">
        <v>1752</v>
      </c>
      <c r="C254" s="58" t="s">
        <v>1752</v>
      </c>
      <c r="D254" s="60"/>
      <c r="E254" s="62">
        <v>1</v>
      </c>
    </row>
    <row r="255" spans="1:5" x14ac:dyDescent="0.35">
      <c r="A255" s="11" t="s">
        <v>442</v>
      </c>
      <c r="B255" s="58" t="s">
        <v>1752</v>
      </c>
      <c r="C255" s="58" t="s">
        <v>1752</v>
      </c>
      <c r="D255" s="60"/>
      <c r="E255" s="62">
        <v>1</v>
      </c>
    </row>
    <row r="256" spans="1:5" x14ac:dyDescent="0.35">
      <c r="A256" s="10" t="s">
        <v>443</v>
      </c>
      <c r="B256" s="58" t="s">
        <v>1752</v>
      </c>
      <c r="C256" s="58" t="s">
        <v>1752</v>
      </c>
      <c r="D256" s="60"/>
      <c r="E256" s="62">
        <v>1</v>
      </c>
    </row>
    <row r="257" spans="1:5" x14ac:dyDescent="0.35">
      <c r="A257" s="11" t="s">
        <v>444</v>
      </c>
      <c r="B257" s="58" t="s">
        <v>1752</v>
      </c>
      <c r="C257" s="58" t="s">
        <v>1752</v>
      </c>
      <c r="D257" s="60"/>
      <c r="E257" s="62">
        <v>1</v>
      </c>
    </row>
    <row r="258" spans="1:5" x14ac:dyDescent="0.35">
      <c r="A258" s="10" t="s">
        <v>445</v>
      </c>
      <c r="B258" s="58" t="s">
        <v>1752</v>
      </c>
      <c r="C258" s="58" t="s">
        <v>1752</v>
      </c>
      <c r="D258" s="60"/>
      <c r="E258" s="62">
        <v>1</v>
      </c>
    </row>
    <row r="259" spans="1:5" x14ac:dyDescent="0.35">
      <c r="A259" s="11" t="s">
        <v>446</v>
      </c>
      <c r="B259" s="58" t="s">
        <v>1752</v>
      </c>
      <c r="C259" s="58" t="s">
        <v>1752</v>
      </c>
      <c r="D259" s="60"/>
      <c r="E259" s="62">
        <v>1</v>
      </c>
    </row>
    <row r="260" spans="1:5" x14ac:dyDescent="0.35">
      <c r="A260" s="10" t="s">
        <v>447</v>
      </c>
      <c r="B260" s="58" t="s">
        <v>1752</v>
      </c>
      <c r="C260" s="58" t="s">
        <v>1752</v>
      </c>
      <c r="D260" s="60"/>
      <c r="E260" s="62">
        <v>1</v>
      </c>
    </row>
    <row r="261" spans="1:5" x14ac:dyDescent="0.35">
      <c r="A261" s="11" t="s">
        <v>448</v>
      </c>
      <c r="B261" s="58" t="s">
        <v>1752</v>
      </c>
      <c r="C261" s="58" t="s">
        <v>1752</v>
      </c>
      <c r="D261" s="60"/>
      <c r="E261" s="62">
        <v>1</v>
      </c>
    </row>
    <row r="262" spans="1:5" x14ac:dyDescent="0.35">
      <c r="A262" s="10" t="s">
        <v>449</v>
      </c>
      <c r="B262" s="58" t="s">
        <v>1752</v>
      </c>
      <c r="C262" s="58" t="s">
        <v>1752</v>
      </c>
      <c r="D262" s="60"/>
      <c r="E262" s="62">
        <v>1</v>
      </c>
    </row>
    <row r="263" spans="1:5" x14ac:dyDescent="0.35">
      <c r="A263" s="11" t="s">
        <v>450</v>
      </c>
      <c r="B263" s="58" t="s">
        <v>1752</v>
      </c>
      <c r="C263" s="58" t="s">
        <v>1752</v>
      </c>
      <c r="D263" s="60"/>
      <c r="E263" s="62">
        <v>1</v>
      </c>
    </row>
    <row r="264" spans="1:5" x14ac:dyDescent="0.35">
      <c r="A264" s="11" t="s">
        <v>451</v>
      </c>
      <c r="B264" s="58" t="s">
        <v>1752</v>
      </c>
      <c r="C264" s="58" t="s">
        <v>1752</v>
      </c>
      <c r="D264" s="60"/>
      <c r="E264" s="62">
        <v>1</v>
      </c>
    </row>
    <row r="265" spans="1:5" x14ac:dyDescent="0.35">
      <c r="A265" s="10" t="s">
        <v>452</v>
      </c>
      <c r="B265" s="58" t="s">
        <v>1752</v>
      </c>
      <c r="C265" s="58" t="s">
        <v>1752</v>
      </c>
      <c r="D265" s="60"/>
      <c r="E265" s="62">
        <v>1</v>
      </c>
    </row>
    <row r="266" spans="1:5" x14ac:dyDescent="0.35">
      <c r="A266" s="10" t="s">
        <v>453</v>
      </c>
      <c r="B266" s="58" t="s">
        <v>1752</v>
      </c>
      <c r="C266" s="58" t="s">
        <v>1752</v>
      </c>
      <c r="D266" s="60"/>
      <c r="E266" s="62">
        <v>1</v>
      </c>
    </row>
    <row r="267" spans="1:5" x14ac:dyDescent="0.35">
      <c r="A267" s="11" t="s">
        <v>454</v>
      </c>
      <c r="B267" s="58" t="s">
        <v>1752</v>
      </c>
      <c r="C267" s="58" t="s">
        <v>1752</v>
      </c>
      <c r="D267" s="60"/>
      <c r="E267" s="62">
        <v>1</v>
      </c>
    </row>
    <row r="268" spans="1:5" x14ac:dyDescent="0.35">
      <c r="A268" s="11" t="s">
        <v>455</v>
      </c>
      <c r="B268" s="58" t="s">
        <v>1752</v>
      </c>
      <c r="C268" s="58" t="s">
        <v>1752</v>
      </c>
      <c r="D268" s="60"/>
      <c r="E268" s="62">
        <v>1</v>
      </c>
    </row>
    <row r="269" spans="1:5" x14ac:dyDescent="0.35">
      <c r="A269" s="11" t="s">
        <v>456</v>
      </c>
      <c r="B269" s="58" t="s">
        <v>1752</v>
      </c>
      <c r="C269" s="58" t="s">
        <v>1752</v>
      </c>
      <c r="D269" s="60"/>
      <c r="E269" s="62">
        <v>1</v>
      </c>
    </row>
    <row r="270" spans="1:5" x14ac:dyDescent="0.35">
      <c r="A270" s="10" t="s">
        <v>457</v>
      </c>
      <c r="B270" s="58" t="s">
        <v>1752</v>
      </c>
      <c r="C270" s="58" t="s">
        <v>1752</v>
      </c>
      <c r="D270" s="60"/>
      <c r="E270" s="62">
        <v>1</v>
      </c>
    </row>
    <row r="271" spans="1:5" x14ac:dyDescent="0.35">
      <c r="A271" s="10" t="s">
        <v>458</v>
      </c>
      <c r="B271" s="58" t="s">
        <v>1752</v>
      </c>
      <c r="C271" s="58" t="s">
        <v>1752</v>
      </c>
      <c r="D271" s="60"/>
      <c r="E271" s="62">
        <v>1</v>
      </c>
    </row>
    <row r="272" spans="1:5" x14ac:dyDescent="0.35">
      <c r="A272" s="11" t="s">
        <v>459</v>
      </c>
      <c r="B272" s="58" t="s">
        <v>1752</v>
      </c>
      <c r="C272" s="58" t="s">
        <v>1752</v>
      </c>
      <c r="D272" s="60"/>
      <c r="E272" s="62">
        <v>1</v>
      </c>
    </row>
    <row r="273" spans="1:5" x14ac:dyDescent="0.35">
      <c r="A273" s="11" t="s">
        <v>460</v>
      </c>
      <c r="B273" s="58" t="s">
        <v>1752</v>
      </c>
      <c r="C273" s="58" t="s">
        <v>1752</v>
      </c>
      <c r="D273" s="60"/>
      <c r="E273" s="62">
        <v>1</v>
      </c>
    </row>
    <row r="274" spans="1:5" x14ac:dyDescent="0.35">
      <c r="A274" s="10" t="s">
        <v>461</v>
      </c>
      <c r="B274" s="58" t="s">
        <v>1752</v>
      </c>
      <c r="C274" s="58" t="s">
        <v>1752</v>
      </c>
      <c r="D274" s="60"/>
      <c r="E274" s="62">
        <v>1</v>
      </c>
    </row>
    <row r="275" spans="1:5" x14ac:dyDescent="0.35">
      <c r="A275" s="11" t="s">
        <v>462</v>
      </c>
      <c r="B275" s="58" t="s">
        <v>1752</v>
      </c>
      <c r="C275" s="58" t="s">
        <v>1752</v>
      </c>
      <c r="D275" s="60"/>
      <c r="E275" s="62">
        <v>1</v>
      </c>
    </row>
    <row r="276" spans="1:5" x14ac:dyDescent="0.35">
      <c r="A276" s="10" t="s">
        <v>463</v>
      </c>
      <c r="B276" s="58" t="s">
        <v>1752</v>
      </c>
      <c r="C276" s="58" t="s">
        <v>1752</v>
      </c>
      <c r="D276" s="60"/>
      <c r="E276" s="62">
        <v>1</v>
      </c>
    </row>
    <row r="277" spans="1:5" x14ac:dyDescent="0.35">
      <c r="A277" s="11" t="s">
        <v>464</v>
      </c>
      <c r="B277" s="58" t="s">
        <v>1752</v>
      </c>
      <c r="C277" s="58" t="s">
        <v>1752</v>
      </c>
      <c r="D277" s="60"/>
      <c r="E277" s="62">
        <v>1</v>
      </c>
    </row>
    <row r="278" spans="1:5" x14ac:dyDescent="0.35">
      <c r="A278" s="10" t="s">
        <v>465</v>
      </c>
      <c r="B278" s="58" t="s">
        <v>1752</v>
      </c>
      <c r="C278" s="58" t="s">
        <v>1752</v>
      </c>
      <c r="D278" s="60"/>
      <c r="E278" s="62">
        <v>1</v>
      </c>
    </row>
    <row r="279" spans="1:5" x14ac:dyDescent="0.35">
      <c r="A279" s="11" t="s">
        <v>466</v>
      </c>
      <c r="B279" s="58" t="s">
        <v>1752</v>
      </c>
      <c r="C279" s="58" t="s">
        <v>1752</v>
      </c>
      <c r="D279" s="60"/>
      <c r="E279" s="62">
        <v>1</v>
      </c>
    </row>
    <row r="280" spans="1:5" x14ac:dyDescent="0.35">
      <c r="A280" s="10" t="s">
        <v>467</v>
      </c>
      <c r="B280" s="58" t="s">
        <v>1752</v>
      </c>
      <c r="C280" s="58" t="s">
        <v>1752</v>
      </c>
      <c r="D280" s="60"/>
      <c r="E280" s="62">
        <v>1</v>
      </c>
    </row>
    <row r="281" spans="1:5" x14ac:dyDescent="0.35">
      <c r="A281" s="11" t="s">
        <v>468</v>
      </c>
      <c r="B281" s="58" t="s">
        <v>1752</v>
      </c>
      <c r="C281" s="58" t="s">
        <v>1752</v>
      </c>
      <c r="D281" s="60"/>
      <c r="E281" s="62">
        <v>1</v>
      </c>
    </row>
    <row r="282" spans="1:5" x14ac:dyDescent="0.35">
      <c r="A282" s="10" t="s">
        <v>469</v>
      </c>
      <c r="B282" s="58" t="s">
        <v>1752</v>
      </c>
      <c r="C282" s="58" t="s">
        <v>1752</v>
      </c>
      <c r="D282" s="60"/>
      <c r="E282" s="62">
        <v>1</v>
      </c>
    </row>
    <row r="283" spans="1:5" x14ac:dyDescent="0.35">
      <c r="A283" s="11" t="s">
        <v>470</v>
      </c>
      <c r="B283" s="58" t="s">
        <v>1752</v>
      </c>
      <c r="C283" s="58" t="s">
        <v>1752</v>
      </c>
      <c r="D283" s="60"/>
      <c r="E283" s="62">
        <v>1</v>
      </c>
    </row>
    <row r="284" spans="1:5" x14ac:dyDescent="0.35">
      <c r="A284" s="10" t="s">
        <v>471</v>
      </c>
      <c r="B284" s="58" t="s">
        <v>1752</v>
      </c>
      <c r="C284" s="58" t="s">
        <v>1752</v>
      </c>
      <c r="D284" s="60"/>
      <c r="E284" s="62">
        <v>1</v>
      </c>
    </row>
    <row r="285" spans="1:5" x14ac:dyDescent="0.35">
      <c r="A285" s="10" t="s">
        <v>472</v>
      </c>
      <c r="B285" s="58" t="s">
        <v>1752</v>
      </c>
      <c r="C285" s="58" t="s">
        <v>1752</v>
      </c>
      <c r="D285" s="60"/>
      <c r="E285" s="62">
        <v>1</v>
      </c>
    </row>
    <row r="286" spans="1:5" x14ac:dyDescent="0.35">
      <c r="A286" s="11" t="s">
        <v>473</v>
      </c>
      <c r="B286" s="58" t="s">
        <v>1752</v>
      </c>
      <c r="C286" s="58" t="s">
        <v>1752</v>
      </c>
      <c r="D286" s="60"/>
      <c r="E286" s="62">
        <v>1</v>
      </c>
    </row>
    <row r="287" spans="1:5" x14ac:dyDescent="0.35">
      <c r="A287" s="11" t="s">
        <v>474</v>
      </c>
      <c r="B287" s="58" t="s">
        <v>1752</v>
      </c>
      <c r="C287" s="58" t="s">
        <v>1752</v>
      </c>
      <c r="D287" s="60"/>
      <c r="E287" s="62">
        <v>1</v>
      </c>
    </row>
    <row r="288" spans="1:5" x14ac:dyDescent="0.35">
      <c r="A288" s="10" t="s">
        <v>475</v>
      </c>
      <c r="B288" s="58" t="s">
        <v>1752</v>
      </c>
      <c r="C288" s="58" t="s">
        <v>1752</v>
      </c>
      <c r="D288" s="60"/>
      <c r="E288" s="62">
        <v>1</v>
      </c>
    </row>
    <row r="289" spans="1:5" x14ac:dyDescent="0.35">
      <c r="A289" s="11" t="s">
        <v>476</v>
      </c>
      <c r="B289" s="58" t="s">
        <v>1752</v>
      </c>
      <c r="C289" s="58" t="s">
        <v>1752</v>
      </c>
      <c r="D289" s="60"/>
      <c r="E289" s="62">
        <v>1</v>
      </c>
    </row>
    <row r="290" spans="1:5" x14ac:dyDescent="0.35">
      <c r="A290" s="10" t="s">
        <v>477</v>
      </c>
      <c r="B290" s="58" t="s">
        <v>1752</v>
      </c>
      <c r="C290" s="58" t="s">
        <v>1752</v>
      </c>
      <c r="D290" s="60"/>
      <c r="E290" s="62">
        <v>1</v>
      </c>
    </row>
    <row r="291" spans="1:5" x14ac:dyDescent="0.35">
      <c r="A291" s="11" t="s">
        <v>478</v>
      </c>
      <c r="B291" s="58" t="s">
        <v>1752</v>
      </c>
      <c r="C291" s="58" t="s">
        <v>1752</v>
      </c>
      <c r="D291" s="60"/>
      <c r="E291" s="62">
        <v>1</v>
      </c>
    </row>
    <row r="292" spans="1:5" x14ac:dyDescent="0.35">
      <c r="A292" s="10" t="s">
        <v>479</v>
      </c>
      <c r="B292" s="58" t="s">
        <v>1752</v>
      </c>
      <c r="C292" s="58" t="s">
        <v>1752</v>
      </c>
      <c r="D292" s="60"/>
      <c r="E292" s="62">
        <v>1</v>
      </c>
    </row>
    <row r="293" spans="1:5" x14ac:dyDescent="0.35">
      <c r="A293" s="11" t="s">
        <v>480</v>
      </c>
      <c r="B293" s="58" t="s">
        <v>1752</v>
      </c>
      <c r="C293" s="58" t="s">
        <v>1752</v>
      </c>
      <c r="D293" s="60"/>
      <c r="E293" s="62">
        <v>1</v>
      </c>
    </row>
    <row r="294" spans="1:5" x14ac:dyDescent="0.35">
      <c r="A294" s="10" t="s">
        <v>481</v>
      </c>
      <c r="B294" s="58" t="s">
        <v>1752</v>
      </c>
      <c r="C294" s="58" t="s">
        <v>1752</v>
      </c>
      <c r="D294" s="60"/>
      <c r="E294" s="62">
        <v>1</v>
      </c>
    </row>
    <row r="295" spans="1:5" x14ac:dyDescent="0.35">
      <c r="A295" s="10" t="s">
        <v>482</v>
      </c>
      <c r="B295" s="58" t="s">
        <v>1752</v>
      </c>
      <c r="C295" s="58" t="s">
        <v>1752</v>
      </c>
      <c r="D295" s="60"/>
      <c r="E295" s="62">
        <v>1</v>
      </c>
    </row>
    <row r="296" spans="1:5" x14ac:dyDescent="0.35">
      <c r="A296" s="10" t="s">
        <v>483</v>
      </c>
      <c r="B296" s="58" t="s">
        <v>1752</v>
      </c>
      <c r="C296" s="58" t="s">
        <v>1752</v>
      </c>
      <c r="D296" s="60"/>
      <c r="E296" s="62">
        <v>1</v>
      </c>
    </row>
    <row r="297" spans="1:5" x14ac:dyDescent="0.35">
      <c r="A297" s="11" t="s">
        <v>484</v>
      </c>
      <c r="B297" s="58" t="s">
        <v>1752</v>
      </c>
      <c r="C297" s="58" t="s">
        <v>1752</v>
      </c>
      <c r="D297" s="60"/>
      <c r="E297" s="62">
        <v>1</v>
      </c>
    </row>
    <row r="298" spans="1:5" x14ac:dyDescent="0.35">
      <c r="A298" s="10" t="s">
        <v>485</v>
      </c>
      <c r="B298" s="58" t="s">
        <v>1752</v>
      </c>
      <c r="C298" s="58" t="s">
        <v>1752</v>
      </c>
      <c r="D298" s="60"/>
      <c r="E298" s="62">
        <v>1</v>
      </c>
    </row>
    <row r="299" spans="1:5" x14ac:dyDescent="0.35">
      <c r="A299" s="11" t="s">
        <v>486</v>
      </c>
      <c r="B299" s="58" t="s">
        <v>1752</v>
      </c>
      <c r="C299" s="58" t="s">
        <v>1752</v>
      </c>
      <c r="D299" s="60"/>
      <c r="E299" s="62">
        <v>1</v>
      </c>
    </row>
    <row r="300" spans="1:5" x14ac:dyDescent="0.35">
      <c r="A300" s="11" t="s">
        <v>487</v>
      </c>
      <c r="B300" s="58" t="s">
        <v>1752</v>
      </c>
      <c r="C300" s="58" t="s">
        <v>1752</v>
      </c>
      <c r="D300" s="60"/>
      <c r="E300" s="62">
        <v>1</v>
      </c>
    </row>
    <row r="301" spans="1:5" x14ac:dyDescent="0.35">
      <c r="A301" s="11" t="s">
        <v>488</v>
      </c>
      <c r="B301" s="58" t="s">
        <v>1752</v>
      </c>
      <c r="C301" s="58" t="s">
        <v>1752</v>
      </c>
      <c r="D301" s="60"/>
      <c r="E301" s="62">
        <v>1</v>
      </c>
    </row>
    <row r="302" spans="1:5" x14ac:dyDescent="0.35">
      <c r="A302" s="10" t="s">
        <v>489</v>
      </c>
      <c r="B302" s="58" t="s">
        <v>1752</v>
      </c>
      <c r="C302" s="58" t="s">
        <v>1752</v>
      </c>
      <c r="D302" s="60"/>
      <c r="E302" s="62">
        <v>1</v>
      </c>
    </row>
    <row r="303" spans="1:5" x14ac:dyDescent="0.35">
      <c r="A303" s="11" t="s">
        <v>490</v>
      </c>
      <c r="B303" s="58" t="s">
        <v>1752</v>
      </c>
      <c r="C303" s="58" t="s">
        <v>1752</v>
      </c>
      <c r="D303" s="60"/>
      <c r="E303" s="62">
        <v>1</v>
      </c>
    </row>
    <row r="304" spans="1:5" x14ac:dyDescent="0.35">
      <c r="A304" s="11" t="s">
        <v>491</v>
      </c>
      <c r="B304" s="58" t="s">
        <v>1752</v>
      </c>
      <c r="C304" s="58" t="s">
        <v>1752</v>
      </c>
      <c r="D304" s="60"/>
      <c r="E304" s="62">
        <v>1</v>
      </c>
    </row>
    <row r="305" spans="1:5" x14ac:dyDescent="0.35">
      <c r="A305" s="10" t="s">
        <v>492</v>
      </c>
      <c r="B305" s="58" t="s">
        <v>1752</v>
      </c>
      <c r="C305" s="58" t="s">
        <v>1752</v>
      </c>
      <c r="D305" s="60"/>
      <c r="E305" s="62">
        <v>1</v>
      </c>
    </row>
    <row r="306" spans="1:5" x14ac:dyDescent="0.35">
      <c r="A306" s="11" t="s">
        <v>493</v>
      </c>
      <c r="B306" s="58" t="s">
        <v>1752</v>
      </c>
      <c r="C306" s="58" t="s">
        <v>1752</v>
      </c>
      <c r="D306" s="60"/>
      <c r="E306" s="62">
        <v>1</v>
      </c>
    </row>
    <row r="307" spans="1:5" x14ac:dyDescent="0.35">
      <c r="A307" s="10" t="s">
        <v>494</v>
      </c>
      <c r="B307" s="58" t="s">
        <v>1752</v>
      </c>
      <c r="C307" s="58" t="s">
        <v>1752</v>
      </c>
      <c r="D307" s="60"/>
      <c r="E307" s="62">
        <v>1</v>
      </c>
    </row>
    <row r="308" spans="1:5" x14ac:dyDescent="0.35">
      <c r="A308" s="11" t="s">
        <v>495</v>
      </c>
      <c r="B308" s="58" t="s">
        <v>1752</v>
      </c>
      <c r="C308" s="58" t="s">
        <v>1752</v>
      </c>
      <c r="D308" s="60"/>
      <c r="E308" s="62">
        <v>1</v>
      </c>
    </row>
    <row r="309" spans="1:5" x14ac:dyDescent="0.35">
      <c r="A309" s="10" t="s">
        <v>496</v>
      </c>
      <c r="B309" s="58" t="s">
        <v>1752</v>
      </c>
      <c r="C309" s="58" t="s">
        <v>1752</v>
      </c>
      <c r="D309" s="60"/>
      <c r="E309" s="62">
        <v>1</v>
      </c>
    </row>
    <row r="310" spans="1:5" x14ac:dyDescent="0.35">
      <c r="A310" s="11" t="s">
        <v>497</v>
      </c>
      <c r="B310" s="58" t="s">
        <v>1752</v>
      </c>
      <c r="C310" s="58" t="s">
        <v>1752</v>
      </c>
      <c r="D310" s="60"/>
      <c r="E310" s="62">
        <v>1</v>
      </c>
    </row>
    <row r="311" spans="1:5" x14ac:dyDescent="0.35">
      <c r="A311" s="10" t="s">
        <v>498</v>
      </c>
      <c r="B311" s="58" t="s">
        <v>1752</v>
      </c>
      <c r="C311" s="58" t="s">
        <v>1752</v>
      </c>
      <c r="D311" s="60"/>
      <c r="E311" s="62">
        <v>1</v>
      </c>
    </row>
    <row r="312" spans="1:5" x14ac:dyDescent="0.35">
      <c r="A312" s="11" t="s">
        <v>499</v>
      </c>
      <c r="B312" s="58" t="s">
        <v>1752</v>
      </c>
      <c r="C312" s="58" t="s">
        <v>1752</v>
      </c>
      <c r="D312" s="60"/>
      <c r="E312" s="62">
        <v>1</v>
      </c>
    </row>
    <row r="313" spans="1:5" x14ac:dyDescent="0.35">
      <c r="A313" s="11" t="s">
        <v>500</v>
      </c>
      <c r="B313" s="58" t="s">
        <v>1752</v>
      </c>
      <c r="C313" s="58" t="s">
        <v>1752</v>
      </c>
      <c r="D313" s="60"/>
      <c r="E313" s="62">
        <v>1</v>
      </c>
    </row>
    <row r="314" spans="1:5" x14ac:dyDescent="0.35">
      <c r="A314" s="11" t="s">
        <v>501</v>
      </c>
      <c r="B314" s="58" t="s">
        <v>1827</v>
      </c>
      <c r="C314" s="58" t="s">
        <v>1752</v>
      </c>
      <c r="D314" s="60"/>
      <c r="E314" s="62">
        <v>1</v>
      </c>
    </row>
    <row r="315" spans="1:5" x14ac:dyDescent="0.35">
      <c r="A315" s="10" t="s">
        <v>502</v>
      </c>
      <c r="B315" s="58" t="s">
        <v>1752</v>
      </c>
      <c r="C315" s="58" t="s">
        <v>1752</v>
      </c>
      <c r="D315" s="60"/>
      <c r="E315" s="62">
        <v>1</v>
      </c>
    </row>
    <row r="316" spans="1:5" x14ac:dyDescent="0.35">
      <c r="A316" s="11" t="s">
        <v>503</v>
      </c>
      <c r="B316" s="58" t="s">
        <v>1752</v>
      </c>
      <c r="C316" s="58" t="s">
        <v>1752</v>
      </c>
      <c r="D316" s="60"/>
      <c r="E316" s="62">
        <v>1</v>
      </c>
    </row>
    <row r="317" spans="1:5" x14ac:dyDescent="0.35">
      <c r="A317" s="10" t="s">
        <v>504</v>
      </c>
      <c r="B317" s="58" t="s">
        <v>1752</v>
      </c>
      <c r="C317" s="58" t="s">
        <v>1752</v>
      </c>
      <c r="D317" s="60"/>
      <c r="E317" s="62">
        <v>1</v>
      </c>
    </row>
    <row r="318" spans="1:5" x14ac:dyDescent="0.35">
      <c r="A318" s="11" t="s">
        <v>505</v>
      </c>
      <c r="B318" s="58" t="s">
        <v>1752</v>
      </c>
      <c r="C318" s="58" t="s">
        <v>1752</v>
      </c>
      <c r="D318" s="60"/>
      <c r="E318" s="62">
        <v>1</v>
      </c>
    </row>
    <row r="319" spans="1:5" x14ac:dyDescent="0.35">
      <c r="A319" s="11" t="s">
        <v>506</v>
      </c>
      <c r="B319" s="58" t="s">
        <v>1752</v>
      </c>
      <c r="C319" s="58" t="s">
        <v>1752</v>
      </c>
      <c r="D319" s="60"/>
      <c r="E319" s="62">
        <v>1</v>
      </c>
    </row>
    <row r="320" spans="1:5" x14ac:dyDescent="0.35">
      <c r="A320" s="10" t="s">
        <v>507</v>
      </c>
      <c r="B320" s="58" t="s">
        <v>1752</v>
      </c>
      <c r="C320" s="58" t="s">
        <v>1752</v>
      </c>
      <c r="D320" s="60"/>
      <c r="E320" s="62">
        <v>1</v>
      </c>
    </row>
    <row r="321" spans="1:5" x14ac:dyDescent="0.35">
      <c r="A321" s="10" t="s">
        <v>508</v>
      </c>
      <c r="B321" s="58" t="s">
        <v>1752</v>
      </c>
      <c r="C321" s="58" t="s">
        <v>1752</v>
      </c>
      <c r="D321" s="60"/>
      <c r="E321" s="62">
        <v>1</v>
      </c>
    </row>
    <row r="322" spans="1:5" x14ac:dyDescent="0.35">
      <c r="A322" s="11" t="s">
        <v>509</v>
      </c>
      <c r="B322" s="58" t="s">
        <v>1752</v>
      </c>
      <c r="C322" s="58" t="s">
        <v>1752</v>
      </c>
      <c r="D322" s="60"/>
      <c r="E322" s="62">
        <v>1</v>
      </c>
    </row>
    <row r="323" spans="1:5" x14ac:dyDescent="0.35">
      <c r="A323" s="11" t="s">
        <v>510</v>
      </c>
      <c r="B323" s="58" t="s">
        <v>1752</v>
      </c>
      <c r="C323" s="58" t="s">
        <v>1752</v>
      </c>
      <c r="D323" s="60"/>
      <c r="E323" s="62">
        <v>1</v>
      </c>
    </row>
    <row r="324" spans="1:5" x14ac:dyDescent="0.35">
      <c r="A324" s="11" t="s">
        <v>511</v>
      </c>
      <c r="B324" s="58" t="s">
        <v>1752</v>
      </c>
      <c r="C324" s="58" t="s">
        <v>1752</v>
      </c>
      <c r="D324" s="60"/>
      <c r="E324" s="62">
        <v>1</v>
      </c>
    </row>
    <row r="325" spans="1:5" x14ac:dyDescent="0.35">
      <c r="A325" s="10" t="s">
        <v>512</v>
      </c>
      <c r="B325" s="58" t="s">
        <v>1752</v>
      </c>
      <c r="C325" s="58" t="s">
        <v>1752</v>
      </c>
      <c r="D325" s="60"/>
      <c r="E325" s="62">
        <v>1</v>
      </c>
    </row>
    <row r="326" spans="1:5" x14ac:dyDescent="0.35">
      <c r="A326" s="10" t="s">
        <v>513</v>
      </c>
      <c r="B326" s="58" t="s">
        <v>1752</v>
      </c>
      <c r="C326" s="58" t="s">
        <v>1752</v>
      </c>
      <c r="D326" s="60"/>
      <c r="E326" s="62">
        <v>1</v>
      </c>
    </row>
    <row r="327" spans="1:5" x14ac:dyDescent="0.35">
      <c r="A327" s="10" t="s">
        <v>514</v>
      </c>
      <c r="B327" s="58" t="s">
        <v>1752</v>
      </c>
      <c r="C327" s="58" t="s">
        <v>1752</v>
      </c>
      <c r="D327" s="60"/>
      <c r="E327" s="62">
        <v>1</v>
      </c>
    </row>
    <row r="328" spans="1:5" x14ac:dyDescent="0.35">
      <c r="A328" s="10" t="s">
        <v>515</v>
      </c>
      <c r="B328" s="58" t="s">
        <v>1752</v>
      </c>
      <c r="C328" s="58" t="s">
        <v>1752</v>
      </c>
      <c r="D328" s="60"/>
      <c r="E328" s="62">
        <v>1</v>
      </c>
    </row>
    <row r="329" spans="1:5" x14ac:dyDescent="0.35">
      <c r="A329" s="11" t="s">
        <v>516</v>
      </c>
      <c r="B329" s="58" t="s">
        <v>1752</v>
      </c>
      <c r="C329" s="58" t="s">
        <v>1752</v>
      </c>
      <c r="D329" s="60"/>
      <c r="E329" s="62">
        <v>1</v>
      </c>
    </row>
    <row r="330" spans="1:5" x14ac:dyDescent="0.35">
      <c r="A330" s="10" t="s">
        <v>517</v>
      </c>
      <c r="B330" s="58" t="s">
        <v>1752</v>
      </c>
      <c r="C330" s="58" t="s">
        <v>1752</v>
      </c>
      <c r="D330" s="60"/>
      <c r="E330" s="62">
        <v>1</v>
      </c>
    </row>
    <row r="331" spans="1:5" x14ac:dyDescent="0.35">
      <c r="A331" s="11" t="s">
        <v>518</v>
      </c>
      <c r="B331" s="58" t="s">
        <v>1752</v>
      </c>
      <c r="C331" s="58" t="s">
        <v>1752</v>
      </c>
      <c r="D331" s="60"/>
      <c r="E331" s="62">
        <v>1</v>
      </c>
    </row>
    <row r="332" spans="1:5" x14ac:dyDescent="0.35">
      <c r="A332" s="11" t="s">
        <v>519</v>
      </c>
      <c r="B332" s="58" t="s">
        <v>1752</v>
      </c>
      <c r="C332" s="58" t="s">
        <v>1752</v>
      </c>
      <c r="D332" s="60"/>
      <c r="E332" s="62">
        <v>1</v>
      </c>
    </row>
    <row r="333" spans="1:5" x14ac:dyDescent="0.35">
      <c r="A333" s="10" t="s">
        <v>520</v>
      </c>
      <c r="B333" s="58" t="s">
        <v>1752</v>
      </c>
      <c r="C333" s="58" t="s">
        <v>1752</v>
      </c>
      <c r="D333" s="60"/>
      <c r="E333" s="62">
        <v>1</v>
      </c>
    </row>
    <row r="334" spans="1:5" x14ac:dyDescent="0.35">
      <c r="A334" s="11" t="s">
        <v>521</v>
      </c>
      <c r="B334" s="58" t="s">
        <v>1752</v>
      </c>
      <c r="C334" s="58" t="s">
        <v>1752</v>
      </c>
      <c r="D334" s="60"/>
      <c r="E334" s="62">
        <v>1</v>
      </c>
    </row>
    <row r="335" spans="1:5" x14ac:dyDescent="0.35">
      <c r="A335" s="11" t="s">
        <v>522</v>
      </c>
      <c r="B335" s="58" t="s">
        <v>1752</v>
      </c>
      <c r="C335" s="58" t="s">
        <v>1752</v>
      </c>
      <c r="D335" s="60"/>
      <c r="E335" s="62">
        <v>1</v>
      </c>
    </row>
    <row r="336" spans="1:5" x14ac:dyDescent="0.35">
      <c r="A336" s="10" t="s">
        <v>523</v>
      </c>
      <c r="B336" s="58" t="s">
        <v>1752</v>
      </c>
      <c r="C336" s="58" t="s">
        <v>1752</v>
      </c>
      <c r="D336" s="60"/>
      <c r="E336" s="62">
        <v>1</v>
      </c>
    </row>
    <row r="337" spans="1:5" x14ac:dyDescent="0.35">
      <c r="A337" s="11" t="s">
        <v>524</v>
      </c>
      <c r="B337" s="58" t="s">
        <v>1752</v>
      </c>
      <c r="C337" s="58" t="s">
        <v>1752</v>
      </c>
      <c r="D337" s="60"/>
      <c r="E337" s="62">
        <v>1</v>
      </c>
    </row>
    <row r="338" spans="1:5" x14ac:dyDescent="0.35">
      <c r="A338" s="11" t="s">
        <v>525</v>
      </c>
      <c r="B338" s="58" t="s">
        <v>1752</v>
      </c>
      <c r="C338" s="58" t="s">
        <v>1752</v>
      </c>
      <c r="D338" s="60"/>
      <c r="E338" s="62">
        <v>1</v>
      </c>
    </row>
    <row r="339" spans="1:5" x14ac:dyDescent="0.35">
      <c r="A339" s="11" t="s">
        <v>526</v>
      </c>
      <c r="B339" s="58" t="s">
        <v>1752</v>
      </c>
      <c r="C339" s="58" t="s">
        <v>1752</v>
      </c>
      <c r="D339" s="60"/>
      <c r="E339" s="62">
        <v>1</v>
      </c>
    </row>
    <row r="340" spans="1:5" x14ac:dyDescent="0.35">
      <c r="A340" s="11" t="s">
        <v>527</v>
      </c>
      <c r="B340" s="58" t="s">
        <v>1752</v>
      </c>
      <c r="C340" s="58" t="s">
        <v>1752</v>
      </c>
      <c r="D340" s="60"/>
      <c r="E340" s="62">
        <v>1</v>
      </c>
    </row>
    <row r="341" spans="1:5" x14ac:dyDescent="0.35">
      <c r="A341" s="11" t="s">
        <v>528</v>
      </c>
      <c r="B341" s="58" t="s">
        <v>1752</v>
      </c>
      <c r="C341" s="58" t="s">
        <v>1752</v>
      </c>
      <c r="D341" s="60"/>
      <c r="E341" s="62">
        <v>1</v>
      </c>
    </row>
    <row r="342" spans="1:5" x14ac:dyDescent="0.35">
      <c r="A342" s="11" t="s">
        <v>529</v>
      </c>
      <c r="B342" s="58" t="s">
        <v>1752</v>
      </c>
      <c r="C342" s="58" t="s">
        <v>1752</v>
      </c>
      <c r="D342" s="60"/>
      <c r="E342" s="62">
        <v>1</v>
      </c>
    </row>
    <row r="343" spans="1:5" x14ac:dyDescent="0.35">
      <c r="A343" s="10" t="s">
        <v>530</v>
      </c>
      <c r="B343" s="58" t="s">
        <v>1752</v>
      </c>
      <c r="C343" s="58" t="s">
        <v>1752</v>
      </c>
      <c r="D343" s="60"/>
      <c r="E343" s="62">
        <v>1</v>
      </c>
    </row>
    <row r="344" spans="1:5" x14ac:dyDescent="0.35">
      <c r="A344" s="11" t="s">
        <v>531</v>
      </c>
      <c r="B344" s="58" t="s">
        <v>1752</v>
      </c>
      <c r="C344" s="58" t="s">
        <v>1752</v>
      </c>
      <c r="D344" s="60"/>
      <c r="E344" s="62">
        <v>1</v>
      </c>
    </row>
    <row r="345" spans="1:5" x14ac:dyDescent="0.35">
      <c r="A345" s="10" t="s">
        <v>532</v>
      </c>
      <c r="B345" s="58" t="s">
        <v>1752</v>
      </c>
      <c r="C345" s="58" t="s">
        <v>1752</v>
      </c>
      <c r="D345" s="60"/>
      <c r="E345" s="62">
        <v>1</v>
      </c>
    </row>
    <row r="346" spans="1:5" x14ac:dyDescent="0.35">
      <c r="A346" s="10" t="s">
        <v>533</v>
      </c>
      <c r="B346" s="58" t="s">
        <v>1752</v>
      </c>
      <c r="C346" s="58" t="s">
        <v>1752</v>
      </c>
      <c r="D346" s="60"/>
      <c r="E346" s="62">
        <v>1</v>
      </c>
    </row>
    <row r="347" spans="1:5" x14ac:dyDescent="0.35">
      <c r="A347" s="11" t="s">
        <v>534</v>
      </c>
      <c r="B347" s="58" t="s">
        <v>1752</v>
      </c>
      <c r="C347" s="58" t="s">
        <v>1752</v>
      </c>
      <c r="D347" s="60"/>
      <c r="E347" s="62">
        <v>1</v>
      </c>
    </row>
    <row r="348" spans="1:5" x14ac:dyDescent="0.35">
      <c r="A348" s="11" t="s">
        <v>535</v>
      </c>
      <c r="B348" s="58" t="s">
        <v>1752</v>
      </c>
      <c r="C348" s="58" t="s">
        <v>1752</v>
      </c>
      <c r="D348" s="60"/>
      <c r="E348" s="62">
        <v>1</v>
      </c>
    </row>
    <row r="349" spans="1:5" x14ac:dyDescent="0.35">
      <c r="A349" s="10" t="s">
        <v>536</v>
      </c>
      <c r="B349" s="58" t="s">
        <v>1752</v>
      </c>
      <c r="C349" s="58" t="s">
        <v>1752</v>
      </c>
      <c r="D349" s="60"/>
      <c r="E349" s="62">
        <v>1</v>
      </c>
    </row>
    <row r="350" spans="1:5" x14ac:dyDescent="0.35">
      <c r="A350" s="10" t="s">
        <v>537</v>
      </c>
      <c r="B350" s="58" t="s">
        <v>1752</v>
      </c>
      <c r="C350" s="58" t="s">
        <v>1752</v>
      </c>
      <c r="D350" s="60"/>
      <c r="E350" s="62">
        <v>1</v>
      </c>
    </row>
    <row r="351" spans="1:5" x14ac:dyDescent="0.35">
      <c r="A351" s="10" t="s">
        <v>538</v>
      </c>
      <c r="B351" s="58" t="s">
        <v>1752</v>
      </c>
      <c r="C351" s="58" t="s">
        <v>1752</v>
      </c>
      <c r="D351" s="60"/>
      <c r="E351" s="62">
        <v>1</v>
      </c>
    </row>
    <row r="352" spans="1:5" x14ac:dyDescent="0.35">
      <c r="A352" s="10" t="s">
        <v>539</v>
      </c>
      <c r="B352" s="58" t="s">
        <v>1752</v>
      </c>
      <c r="C352" s="58" t="s">
        <v>1752</v>
      </c>
      <c r="D352" s="60"/>
      <c r="E352" s="62">
        <v>1</v>
      </c>
    </row>
    <row r="353" spans="1:5" x14ac:dyDescent="0.35">
      <c r="A353" s="11" t="s">
        <v>540</v>
      </c>
      <c r="B353" s="58" t="s">
        <v>1752</v>
      </c>
      <c r="C353" s="58" t="s">
        <v>1752</v>
      </c>
      <c r="D353" s="60"/>
      <c r="E353" s="62">
        <v>1</v>
      </c>
    </row>
    <row r="354" spans="1:5" x14ac:dyDescent="0.35">
      <c r="A354" s="11" t="s">
        <v>541</v>
      </c>
      <c r="B354" s="58" t="s">
        <v>1752</v>
      </c>
      <c r="C354" s="58" t="s">
        <v>1752</v>
      </c>
      <c r="D354" s="60"/>
      <c r="E354" s="62">
        <v>1</v>
      </c>
    </row>
    <row r="355" spans="1:5" x14ac:dyDescent="0.35">
      <c r="A355" s="11" t="s">
        <v>542</v>
      </c>
      <c r="B355" s="58" t="s">
        <v>1752</v>
      </c>
      <c r="C355" s="58" t="s">
        <v>1752</v>
      </c>
      <c r="D355" s="60"/>
      <c r="E355" s="62">
        <v>1</v>
      </c>
    </row>
    <row r="356" spans="1:5" x14ac:dyDescent="0.35">
      <c r="A356" s="11" t="s">
        <v>543</v>
      </c>
      <c r="B356" s="58" t="s">
        <v>1752</v>
      </c>
      <c r="C356" s="58" t="s">
        <v>1752</v>
      </c>
      <c r="D356" s="60"/>
      <c r="E356" s="62">
        <v>1</v>
      </c>
    </row>
    <row r="357" spans="1:5" x14ac:dyDescent="0.35">
      <c r="A357" s="11" t="s">
        <v>544</v>
      </c>
      <c r="B357" s="58" t="s">
        <v>1752</v>
      </c>
      <c r="C357" s="58" t="s">
        <v>1752</v>
      </c>
      <c r="D357" s="60"/>
      <c r="E357" s="62">
        <v>1</v>
      </c>
    </row>
    <row r="358" spans="1:5" x14ac:dyDescent="0.35">
      <c r="A358" s="11" t="s">
        <v>545</v>
      </c>
      <c r="B358" s="58" t="s">
        <v>1752</v>
      </c>
      <c r="C358" s="58" t="s">
        <v>1752</v>
      </c>
      <c r="D358" s="60"/>
      <c r="E358" s="62">
        <v>1</v>
      </c>
    </row>
    <row r="359" spans="1:5" x14ac:dyDescent="0.35">
      <c r="A359" s="10" t="s">
        <v>546</v>
      </c>
      <c r="B359" s="58" t="s">
        <v>1752</v>
      </c>
      <c r="C359" s="58" t="s">
        <v>1752</v>
      </c>
      <c r="D359" s="60"/>
      <c r="E359" s="62">
        <v>1</v>
      </c>
    </row>
    <row r="360" spans="1:5" x14ac:dyDescent="0.35">
      <c r="A360" s="10" t="s">
        <v>547</v>
      </c>
      <c r="B360" s="58" t="s">
        <v>1752</v>
      </c>
      <c r="C360" s="58" t="s">
        <v>1752</v>
      </c>
      <c r="D360" s="60"/>
      <c r="E360" s="62">
        <v>1</v>
      </c>
    </row>
    <row r="361" spans="1:5" x14ac:dyDescent="0.35">
      <c r="A361" s="11" t="s">
        <v>548</v>
      </c>
      <c r="B361" s="58" t="s">
        <v>1752</v>
      </c>
      <c r="C361" s="58" t="s">
        <v>1752</v>
      </c>
      <c r="D361" s="60"/>
      <c r="E361" s="62">
        <v>1</v>
      </c>
    </row>
    <row r="362" spans="1:5" x14ac:dyDescent="0.35">
      <c r="A362" s="10" t="s">
        <v>549</v>
      </c>
      <c r="B362" s="58" t="s">
        <v>1752</v>
      </c>
      <c r="C362" s="58" t="s">
        <v>1752</v>
      </c>
      <c r="D362" s="60"/>
      <c r="E362" s="62">
        <v>1</v>
      </c>
    </row>
    <row r="363" spans="1:5" x14ac:dyDescent="0.35">
      <c r="A363" s="10" t="s">
        <v>550</v>
      </c>
      <c r="B363" s="58" t="s">
        <v>1752</v>
      </c>
      <c r="C363" s="58" t="s">
        <v>1752</v>
      </c>
      <c r="D363" s="60"/>
      <c r="E363" s="62">
        <v>1</v>
      </c>
    </row>
    <row r="364" spans="1:5" x14ac:dyDescent="0.35">
      <c r="A364" s="10" t="s">
        <v>551</v>
      </c>
      <c r="B364" s="58" t="s">
        <v>1752</v>
      </c>
      <c r="C364" s="58" t="s">
        <v>1752</v>
      </c>
      <c r="D364" s="60"/>
      <c r="E364" s="62">
        <v>1</v>
      </c>
    </row>
    <row r="365" spans="1:5" x14ac:dyDescent="0.35">
      <c r="A365" s="10" t="s">
        <v>552</v>
      </c>
      <c r="B365" s="58" t="s">
        <v>1752</v>
      </c>
      <c r="C365" s="58" t="s">
        <v>1752</v>
      </c>
      <c r="D365" s="60"/>
      <c r="E365" s="62">
        <v>1</v>
      </c>
    </row>
    <row r="366" spans="1:5" x14ac:dyDescent="0.35">
      <c r="A366" s="11" t="s">
        <v>553</v>
      </c>
      <c r="B366" s="58" t="s">
        <v>1752</v>
      </c>
      <c r="C366" s="58" t="s">
        <v>1752</v>
      </c>
      <c r="D366" s="60"/>
      <c r="E366" s="62">
        <v>1</v>
      </c>
    </row>
    <row r="367" spans="1:5" x14ac:dyDescent="0.35">
      <c r="A367" s="10" t="s">
        <v>554</v>
      </c>
      <c r="B367" s="58" t="s">
        <v>1752</v>
      </c>
      <c r="C367" s="58" t="s">
        <v>1752</v>
      </c>
      <c r="D367" s="60"/>
      <c r="E367" s="62">
        <v>1</v>
      </c>
    </row>
    <row r="368" spans="1:5" x14ac:dyDescent="0.35">
      <c r="A368" s="11" t="s">
        <v>555</v>
      </c>
      <c r="B368" s="58" t="s">
        <v>1752</v>
      </c>
      <c r="C368" s="58" t="s">
        <v>1752</v>
      </c>
      <c r="D368" s="60"/>
      <c r="E368" s="62">
        <v>1</v>
      </c>
    </row>
    <row r="369" spans="1:5" x14ac:dyDescent="0.35">
      <c r="A369" s="11" t="s">
        <v>556</v>
      </c>
      <c r="B369" s="58" t="s">
        <v>1752</v>
      </c>
      <c r="C369" s="58" t="s">
        <v>1752</v>
      </c>
      <c r="D369" s="60"/>
      <c r="E369" s="62">
        <v>1</v>
      </c>
    </row>
    <row r="370" spans="1:5" x14ac:dyDescent="0.35">
      <c r="A370" s="10" t="s">
        <v>557</v>
      </c>
      <c r="B370" s="58" t="s">
        <v>1752</v>
      </c>
      <c r="C370" s="58" t="s">
        <v>1752</v>
      </c>
      <c r="D370" s="60"/>
      <c r="E370" s="62">
        <v>1</v>
      </c>
    </row>
    <row r="371" spans="1:5" x14ac:dyDescent="0.35">
      <c r="A371" s="11" t="s">
        <v>558</v>
      </c>
      <c r="B371" s="58" t="s">
        <v>1752</v>
      </c>
      <c r="C371" s="58" t="s">
        <v>1752</v>
      </c>
      <c r="D371" s="60"/>
      <c r="E371" s="62">
        <v>1</v>
      </c>
    </row>
    <row r="372" spans="1:5" x14ac:dyDescent="0.35">
      <c r="A372" s="10" t="s">
        <v>559</v>
      </c>
      <c r="B372" s="58" t="s">
        <v>1752</v>
      </c>
      <c r="C372" s="58" t="s">
        <v>1752</v>
      </c>
      <c r="D372" s="60"/>
      <c r="E372" s="62">
        <v>1</v>
      </c>
    </row>
    <row r="373" spans="1:5" x14ac:dyDescent="0.35">
      <c r="A373" s="10" t="s">
        <v>560</v>
      </c>
      <c r="B373" s="58" t="s">
        <v>1752</v>
      </c>
      <c r="C373" s="58" t="s">
        <v>1752</v>
      </c>
      <c r="D373" s="60"/>
      <c r="E373" s="62">
        <v>1</v>
      </c>
    </row>
    <row r="374" spans="1:5" x14ac:dyDescent="0.35">
      <c r="A374" s="11" t="s">
        <v>561</v>
      </c>
      <c r="B374" s="58" t="s">
        <v>1752</v>
      </c>
      <c r="C374" s="58" t="s">
        <v>1752</v>
      </c>
      <c r="D374" s="60"/>
      <c r="E374" s="62">
        <v>1</v>
      </c>
    </row>
    <row r="375" spans="1:5" x14ac:dyDescent="0.35">
      <c r="A375" s="11" t="s">
        <v>562</v>
      </c>
      <c r="B375" s="58" t="s">
        <v>1752</v>
      </c>
      <c r="C375" s="58" t="s">
        <v>1752</v>
      </c>
      <c r="D375" s="60"/>
      <c r="E375" s="62">
        <v>1</v>
      </c>
    </row>
    <row r="376" spans="1:5" x14ac:dyDescent="0.35">
      <c r="A376" s="11" t="s">
        <v>563</v>
      </c>
      <c r="B376" s="58" t="s">
        <v>1752</v>
      </c>
      <c r="C376" s="58" t="s">
        <v>1752</v>
      </c>
      <c r="D376" s="60"/>
      <c r="E376" s="62">
        <v>1</v>
      </c>
    </row>
    <row r="377" spans="1:5" x14ac:dyDescent="0.35">
      <c r="A377" s="11" t="s">
        <v>564</v>
      </c>
      <c r="B377" s="58" t="s">
        <v>1752</v>
      </c>
      <c r="C377" s="58" t="s">
        <v>1752</v>
      </c>
      <c r="D377" s="60"/>
      <c r="E377" s="62">
        <v>1</v>
      </c>
    </row>
    <row r="378" spans="1:5" x14ac:dyDescent="0.35">
      <c r="A378" s="10" t="s">
        <v>565</v>
      </c>
      <c r="B378" s="58" t="s">
        <v>1752</v>
      </c>
      <c r="C378" s="58" t="s">
        <v>1752</v>
      </c>
      <c r="D378" s="60"/>
      <c r="E378" s="62">
        <v>1</v>
      </c>
    </row>
    <row r="379" spans="1:5" x14ac:dyDescent="0.35">
      <c r="A379" s="10" t="s">
        <v>566</v>
      </c>
      <c r="B379" s="58" t="s">
        <v>1752</v>
      </c>
      <c r="C379" s="58" t="s">
        <v>1752</v>
      </c>
      <c r="D379" s="60"/>
      <c r="E379" s="62">
        <v>1</v>
      </c>
    </row>
    <row r="380" spans="1:5" x14ac:dyDescent="0.35">
      <c r="A380" s="11" t="s">
        <v>567</v>
      </c>
      <c r="B380" s="58" t="s">
        <v>1752</v>
      </c>
      <c r="C380" s="58" t="s">
        <v>1752</v>
      </c>
      <c r="D380" s="60"/>
      <c r="E380" s="62">
        <v>1</v>
      </c>
    </row>
    <row r="381" spans="1:5" x14ac:dyDescent="0.35">
      <c r="A381" s="10" t="s">
        <v>568</v>
      </c>
      <c r="B381" s="58" t="s">
        <v>1752</v>
      </c>
      <c r="C381" s="58" t="s">
        <v>1752</v>
      </c>
      <c r="D381" s="60"/>
      <c r="E381" s="62">
        <v>1</v>
      </c>
    </row>
    <row r="382" spans="1:5" x14ac:dyDescent="0.35">
      <c r="A382" s="11" t="s">
        <v>569</v>
      </c>
      <c r="B382" s="58" t="s">
        <v>1752</v>
      </c>
      <c r="C382" s="58" t="s">
        <v>1752</v>
      </c>
      <c r="D382" s="60"/>
      <c r="E382" s="62">
        <v>1</v>
      </c>
    </row>
    <row r="383" spans="1:5" x14ac:dyDescent="0.35">
      <c r="A383" s="10" t="s">
        <v>570</v>
      </c>
      <c r="B383" s="58" t="s">
        <v>1752</v>
      </c>
      <c r="C383" s="58" t="s">
        <v>1752</v>
      </c>
      <c r="D383" s="60"/>
      <c r="E383" s="62">
        <v>1</v>
      </c>
    </row>
    <row r="384" spans="1:5" x14ac:dyDescent="0.35">
      <c r="A384" s="11" t="s">
        <v>571</v>
      </c>
      <c r="B384" s="58" t="s">
        <v>1752</v>
      </c>
      <c r="C384" s="58" t="s">
        <v>1752</v>
      </c>
      <c r="D384" s="60"/>
      <c r="E384" s="62">
        <v>1</v>
      </c>
    </row>
    <row r="385" spans="1:5" x14ac:dyDescent="0.35">
      <c r="A385" s="10" t="s">
        <v>572</v>
      </c>
      <c r="B385" s="58" t="s">
        <v>1752</v>
      </c>
      <c r="C385" s="58" t="s">
        <v>1752</v>
      </c>
      <c r="D385" s="60"/>
      <c r="E385" s="62">
        <v>1</v>
      </c>
    </row>
    <row r="386" spans="1:5" x14ac:dyDescent="0.35">
      <c r="A386" s="11" t="s">
        <v>573</v>
      </c>
      <c r="B386" s="58" t="s">
        <v>1752</v>
      </c>
      <c r="C386" s="58" t="s">
        <v>1752</v>
      </c>
      <c r="D386" s="60"/>
      <c r="E386" s="62">
        <v>1</v>
      </c>
    </row>
    <row r="387" spans="1:5" x14ac:dyDescent="0.35">
      <c r="A387" s="10" t="s">
        <v>574</v>
      </c>
      <c r="B387" s="58" t="s">
        <v>1827</v>
      </c>
      <c r="C387" s="58" t="s">
        <v>1752</v>
      </c>
      <c r="D387" s="60"/>
      <c r="E387" s="62">
        <v>1</v>
      </c>
    </row>
    <row r="388" spans="1:5" x14ac:dyDescent="0.35">
      <c r="A388" s="11" t="s">
        <v>575</v>
      </c>
      <c r="B388" s="58" t="s">
        <v>1752</v>
      </c>
      <c r="C388" s="58" t="s">
        <v>1752</v>
      </c>
      <c r="D388" s="60"/>
      <c r="E388" s="62">
        <v>1</v>
      </c>
    </row>
    <row r="389" spans="1:5" x14ac:dyDescent="0.35">
      <c r="A389" s="11" t="s">
        <v>576</v>
      </c>
      <c r="B389" s="58" t="s">
        <v>1752</v>
      </c>
      <c r="C389" s="58" t="s">
        <v>1752</v>
      </c>
      <c r="D389" s="60"/>
      <c r="E389" s="62">
        <v>1</v>
      </c>
    </row>
    <row r="390" spans="1:5" x14ac:dyDescent="0.35">
      <c r="A390" s="11" t="s">
        <v>577</v>
      </c>
      <c r="B390" s="58" t="s">
        <v>1752</v>
      </c>
      <c r="C390" s="58" t="s">
        <v>1752</v>
      </c>
      <c r="D390" s="60"/>
      <c r="E390" s="62">
        <v>1</v>
      </c>
    </row>
    <row r="391" spans="1:5" x14ac:dyDescent="0.35">
      <c r="A391" s="10" t="s">
        <v>578</v>
      </c>
      <c r="B391" s="58" t="s">
        <v>1752</v>
      </c>
      <c r="C391" s="58" t="s">
        <v>1752</v>
      </c>
      <c r="D391" s="60"/>
      <c r="E391" s="62">
        <v>1</v>
      </c>
    </row>
    <row r="392" spans="1:5" x14ac:dyDescent="0.35">
      <c r="A392" s="11" t="s">
        <v>579</v>
      </c>
      <c r="B392" s="58" t="s">
        <v>1752</v>
      </c>
      <c r="C392" s="58" t="s">
        <v>1752</v>
      </c>
      <c r="D392" s="60"/>
      <c r="E392" s="62">
        <v>1</v>
      </c>
    </row>
    <row r="393" spans="1:5" x14ac:dyDescent="0.35">
      <c r="A393" s="10" t="s">
        <v>580</v>
      </c>
      <c r="B393" s="58" t="s">
        <v>1827</v>
      </c>
      <c r="C393" s="58" t="s">
        <v>1752</v>
      </c>
      <c r="D393" s="60"/>
      <c r="E393" s="62">
        <v>1</v>
      </c>
    </row>
    <row r="394" spans="1:5" x14ac:dyDescent="0.35">
      <c r="A394" s="10" t="s">
        <v>581</v>
      </c>
      <c r="B394" s="58" t="s">
        <v>1752</v>
      </c>
      <c r="C394" s="58" t="s">
        <v>1752</v>
      </c>
      <c r="D394" s="60"/>
      <c r="E394" s="62">
        <v>1</v>
      </c>
    </row>
    <row r="395" spans="1:5" x14ac:dyDescent="0.35">
      <c r="A395" s="11" t="s">
        <v>582</v>
      </c>
      <c r="B395" s="58" t="s">
        <v>1752</v>
      </c>
      <c r="C395" s="58" t="s">
        <v>1752</v>
      </c>
      <c r="D395" s="60"/>
      <c r="E395" s="62">
        <v>1</v>
      </c>
    </row>
    <row r="396" spans="1:5" x14ac:dyDescent="0.35">
      <c r="A396" s="10" t="s">
        <v>583</v>
      </c>
      <c r="B396" s="58" t="s">
        <v>1752</v>
      </c>
      <c r="C396" s="58" t="s">
        <v>1752</v>
      </c>
      <c r="D396" s="60"/>
      <c r="E396" s="62">
        <v>1</v>
      </c>
    </row>
    <row r="397" spans="1:5" x14ac:dyDescent="0.35">
      <c r="A397" s="10" t="s">
        <v>584</v>
      </c>
      <c r="B397" s="58" t="s">
        <v>1752</v>
      </c>
      <c r="C397" s="58" t="s">
        <v>1752</v>
      </c>
      <c r="D397" s="60"/>
      <c r="E397" s="62">
        <v>1</v>
      </c>
    </row>
    <row r="398" spans="1:5" x14ac:dyDescent="0.35">
      <c r="A398" s="11" t="s">
        <v>585</v>
      </c>
      <c r="B398" s="58" t="s">
        <v>1752</v>
      </c>
      <c r="C398" s="58" t="s">
        <v>1752</v>
      </c>
      <c r="D398" s="60"/>
      <c r="E398" s="62">
        <v>1</v>
      </c>
    </row>
    <row r="399" spans="1:5" x14ac:dyDescent="0.35">
      <c r="A399" s="10" t="s">
        <v>586</v>
      </c>
      <c r="B399" s="58" t="s">
        <v>1752</v>
      </c>
      <c r="C399" s="58" t="s">
        <v>1752</v>
      </c>
      <c r="D399" s="60"/>
      <c r="E399" s="62">
        <v>1</v>
      </c>
    </row>
    <row r="400" spans="1:5" x14ac:dyDescent="0.35">
      <c r="A400" s="11" t="s">
        <v>587</v>
      </c>
      <c r="B400" s="58" t="s">
        <v>1752</v>
      </c>
      <c r="C400" s="58" t="s">
        <v>1752</v>
      </c>
      <c r="D400" s="60"/>
      <c r="E400" s="62">
        <v>1</v>
      </c>
    </row>
    <row r="401" spans="1:5" x14ac:dyDescent="0.35">
      <c r="A401" s="11" t="s">
        <v>588</v>
      </c>
      <c r="B401" s="58" t="s">
        <v>1752</v>
      </c>
      <c r="C401" s="58" t="s">
        <v>1752</v>
      </c>
      <c r="D401" s="60"/>
      <c r="E401" s="62">
        <v>1</v>
      </c>
    </row>
    <row r="402" spans="1:5" x14ac:dyDescent="0.35">
      <c r="A402" s="11" t="s">
        <v>589</v>
      </c>
      <c r="B402" s="58" t="s">
        <v>1752</v>
      </c>
      <c r="C402" s="58" t="s">
        <v>1752</v>
      </c>
      <c r="D402" s="60"/>
      <c r="E402" s="62">
        <v>1</v>
      </c>
    </row>
    <row r="403" spans="1:5" x14ac:dyDescent="0.35">
      <c r="A403" s="10" t="s">
        <v>590</v>
      </c>
      <c r="B403" s="58" t="s">
        <v>1752</v>
      </c>
      <c r="C403" s="58" t="s">
        <v>1752</v>
      </c>
      <c r="D403" s="60"/>
      <c r="E403" s="62">
        <v>1</v>
      </c>
    </row>
    <row r="404" spans="1:5" x14ac:dyDescent="0.35">
      <c r="A404" s="11" t="s">
        <v>591</v>
      </c>
      <c r="B404" s="58" t="s">
        <v>1827</v>
      </c>
      <c r="C404" s="58" t="s">
        <v>1752</v>
      </c>
      <c r="D404" s="60"/>
      <c r="E404" s="62">
        <v>1</v>
      </c>
    </row>
    <row r="405" spans="1:5" x14ac:dyDescent="0.35">
      <c r="A405" s="10" t="s">
        <v>592</v>
      </c>
      <c r="B405" s="58" t="s">
        <v>1752</v>
      </c>
      <c r="C405" s="58" t="s">
        <v>1752</v>
      </c>
      <c r="D405" s="60"/>
      <c r="E405" s="62">
        <v>1</v>
      </c>
    </row>
    <row r="406" spans="1:5" x14ac:dyDescent="0.35">
      <c r="A406" s="10" t="s">
        <v>593</v>
      </c>
      <c r="B406" s="58" t="s">
        <v>1752</v>
      </c>
      <c r="C406" s="58" t="s">
        <v>1752</v>
      </c>
      <c r="D406" s="60"/>
      <c r="E406" s="62">
        <v>1</v>
      </c>
    </row>
    <row r="407" spans="1:5" x14ac:dyDescent="0.35">
      <c r="A407" s="11" t="s">
        <v>594</v>
      </c>
      <c r="B407" s="58" t="s">
        <v>1752</v>
      </c>
      <c r="C407" s="58" t="s">
        <v>1752</v>
      </c>
      <c r="D407" s="60"/>
      <c r="E407" s="62">
        <v>1</v>
      </c>
    </row>
    <row r="408" spans="1:5" x14ac:dyDescent="0.35">
      <c r="A408" s="10" t="s">
        <v>595</v>
      </c>
      <c r="B408" s="58" t="s">
        <v>1752</v>
      </c>
      <c r="C408" s="58" t="s">
        <v>1752</v>
      </c>
      <c r="D408" s="60"/>
      <c r="E408" s="62">
        <v>1</v>
      </c>
    </row>
    <row r="409" spans="1:5" x14ac:dyDescent="0.35">
      <c r="A409" s="10" t="s">
        <v>596</v>
      </c>
      <c r="B409" s="58" t="s">
        <v>1752</v>
      </c>
      <c r="C409" s="58" t="s">
        <v>1752</v>
      </c>
      <c r="D409" s="60"/>
      <c r="E409" s="62">
        <v>1</v>
      </c>
    </row>
    <row r="410" spans="1:5" x14ac:dyDescent="0.35">
      <c r="A410" s="10" t="s">
        <v>597</v>
      </c>
      <c r="B410" s="58" t="s">
        <v>1752</v>
      </c>
      <c r="C410" s="58" t="s">
        <v>1752</v>
      </c>
      <c r="D410" s="60"/>
      <c r="E410" s="62">
        <v>1</v>
      </c>
    </row>
    <row r="411" spans="1:5" x14ac:dyDescent="0.35">
      <c r="A411" s="10" t="s">
        <v>598</v>
      </c>
      <c r="B411" s="58" t="s">
        <v>1752</v>
      </c>
      <c r="C411" s="58" t="s">
        <v>1752</v>
      </c>
      <c r="D411" s="60"/>
      <c r="E411" s="62">
        <v>1</v>
      </c>
    </row>
    <row r="412" spans="1:5" x14ac:dyDescent="0.35">
      <c r="A412" s="10" t="s">
        <v>599</v>
      </c>
      <c r="B412" s="58" t="s">
        <v>1752</v>
      </c>
      <c r="C412" s="58" t="s">
        <v>1752</v>
      </c>
      <c r="D412" s="60"/>
      <c r="E412" s="62">
        <v>1</v>
      </c>
    </row>
    <row r="413" spans="1:5" x14ac:dyDescent="0.35">
      <c r="A413" s="10" t="s">
        <v>600</v>
      </c>
      <c r="B413" s="58" t="s">
        <v>1752</v>
      </c>
      <c r="C413" s="58" t="s">
        <v>1752</v>
      </c>
      <c r="D413" s="60"/>
      <c r="E413" s="62">
        <v>1</v>
      </c>
    </row>
    <row r="414" spans="1:5" x14ac:dyDescent="0.35">
      <c r="A414" s="11" t="s">
        <v>601</v>
      </c>
      <c r="B414" s="58" t="s">
        <v>1752</v>
      </c>
      <c r="C414" s="58" t="s">
        <v>1752</v>
      </c>
      <c r="D414" s="60"/>
      <c r="E414" s="62">
        <v>1</v>
      </c>
    </row>
    <row r="415" spans="1:5" x14ac:dyDescent="0.35">
      <c r="A415" s="10" t="s">
        <v>602</v>
      </c>
      <c r="B415" s="58" t="s">
        <v>1752</v>
      </c>
      <c r="C415" s="58" t="s">
        <v>1752</v>
      </c>
      <c r="D415" s="60"/>
      <c r="E415" s="62">
        <v>1</v>
      </c>
    </row>
    <row r="416" spans="1:5" x14ac:dyDescent="0.35">
      <c r="A416" s="11" t="s">
        <v>603</v>
      </c>
      <c r="B416" s="58" t="s">
        <v>1752</v>
      </c>
      <c r="C416" s="58" t="s">
        <v>1752</v>
      </c>
      <c r="D416" s="60"/>
      <c r="E416" s="62">
        <v>1</v>
      </c>
    </row>
    <row r="417" spans="1:5" x14ac:dyDescent="0.35">
      <c r="A417" s="10" t="s">
        <v>604</v>
      </c>
      <c r="B417" s="58" t="s">
        <v>1752</v>
      </c>
      <c r="C417" s="58" t="s">
        <v>1752</v>
      </c>
      <c r="D417" s="60"/>
      <c r="E417" s="62">
        <v>1</v>
      </c>
    </row>
    <row r="418" spans="1:5" x14ac:dyDescent="0.35">
      <c r="A418" s="10" t="s">
        <v>605</v>
      </c>
      <c r="B418" s="58" t="s">
        <v>1752</v>
      </c>
      <c r="C418" s="58" t="s">
        <v>1752</v>
      </c>
      <c r="D418" s="60"/>
      <c r="E418" s="62">
        <v>1</v>
      </c>
    </row>
    <row r="419" spans="1:5" x14ac:dyDescent="0.35">
      <c r="A419" s="11" t="s">
        <v>606</v>
      </c>
      <c r="B419" s="58" t="s">
        <v>1752</v>
      </c>
      <c r="C419" s="58" t="s">
        <v>1752</v>
      </c>
      <c r="D419" s="60"/>
      <c r="E419" s="62">
        <v>1</v>
      </c>
    </row>
    <row r="420" spans="1:5" x14ac:dyDescent="0.35">
      <c r="A420" s="11" t="s">
        <v>607</v>
      </c>
      <c r="B420" s="58" t="s">
        <v>1752</v>
      </c>
      <c r="C420" s="58" t="s">
        <v>1752</v>
      </c>
      <c r="D420" s="60"/>
      <c r="E420" s="62">
        <v>1</v>
      </c>
    </row>
    <row r="421" spans="1:5" x14ac:dyDescent="0.35">
      <c r="A421" s="11" t="s">
        <v>608</v>
      </c>
      <c r="B421" s="58" t="s">
        <v>1752</v>
      </c>
      <c r="C421" s="58" t="s">
        <v>1752</v>
      </c>
      <c r="D421" s="60"/>
      <c r="E421" s="62">
        <v>1</v>
      </c>
    </row>
    <row r="422" spans="1:5" x14ac:dyDescent="0.35">
      <c r="A422" s="10" t="s">
        <v>609</v>
      </c>
      <c r="B422" s="58" t="s">
        <v>1752</v>
      </c>
      <c r="C422" s="58" t="s">
        <v>1752</v>
      </c>
      <c r="D422" s="60"/>
      <c r="E422" s="62">
        <v>1</v>
      </c>
    </row>
    <row r="423" spans="1:5" x14ac:dyDescent="0.35">
      <c r="A423" s="11" t="s">
        <v>610</v>
      </c>
      <c r="B423" s="58" t="s">
        <v>1752</v>
      </c>
      <c r="C423" s="58" t="s">
        <v>1752</v>
      </c>
      <c r="D423" s="60"/>
      <c r="E423" s="62">
        <v>1</v>
      </c>
    </row>
    <row r="424" spans="1:5" x14ac:dyDescent="0.35">
      <c r="A424" s="11" t="s">
        <v>611</v>
      </c>
      <c r="B424" s="58" t="s">
        <v>1752</v>
      </c>
      <c r="C424" s="58" t="s">
        <v>1752</v>
      </c>
      <c r="D424" s="60"/>
      <c r="E424" s="62">
        <v>1</v>
      </c>
    </row>
    <row r="425" spans="1:5" x14ac:dyDescent="0.35">
      <c r="A425" s="11" t="s">
        <v>612</v>
      </c>
      <c r="B425" s="58" t="s">
        <v>1752</v>
      </c>
      <c r="C425" s="58" t="s">
        <v>1752</v>
      </c>
      <c r="D425" s="60"/>
      <c r="E425" s="62">
        <v>1</v>
      </c>
    </row>
    <row r="426" spans="1:5" x14ac:dyDescent="0.35">
      <c r="A426" s="10" t="s">
        <v>613</v>
      </c>
      <c r="B426" s="58" t="s">
        <v>1752</v>
      </c>
      <c r="C426" s="58" t="s">
        <v>1752</v>
      </c>
      <c r="D426" s="60"/>
      <c r="E426" s="62">
        <v>1</v>
      </c>
    </row>
    <row r="427" spans="1:5" x14ac:dyDescent="0.35">
      <c r="A427" s="10" t="s">
        <v>614</v>
      </c>
      <c r="B427" s="58" t="s">
        <v>1752</v>
      </c>
      <c r="C427" s="58" t="s">
        <v>1752</v>
      </c>
      <c r="D427" s="60"/>
      <c r="E427" s="62">
        <v>1</v>
      </c>
    </row>
    <row r="428" spans="1:5" x14ac:dyDescent="0.35">
      <c r="A428" s="10" t="s">
        <v>615</v>
      </c>
      <c r="B428" s="58" t="s">
        <v>1752</v>
      </c>
      <c r="C428" s="58" t="s">
        <v>1752</v>
      </c>
      <c r="D428" s="60"/>
      <c r="E428" s="62">
        <v>1</v>
      </c>
    </row>
    <row r="429" spans="1:5" x14ac:dyDescent="0.35">
      <c r="A429" s="10" t="s">
        <v>616</v>
      </c>
      <c r="B429" s="58" t="s">
        <v>1752</v>
      </c>
      <c r="C429" s="58" t="s">
        <v>1752</v>
      </c>
      <c r="D429" s="60"/>
      <c r="E429" s="62">
        <v>1</v>
      </c>
    </row>
    <row r="430" spans="1:5" x14ac:dyDescent="0.35">
      <c r="A430" s="11" t="s">
        <v>617</v>
      </c>
      <c r="B430" s="58" t="s">
        <v>1752</v>
      </c>
      <c r="C430" s="58" t="s">
        <v>1752</v>
      </c>
      <c r="D430" s="60"/>
      <c r="E430" s="62">
        <v>1</v>
      </c>
    </row>
    <row r="431" spans="1:5" x14ac:dyDescent="0.35">
      <c r="A431" s="11" t="s">
        <v>618</v>
      </c>
      <c r="B431" s="58" t="s">
        <v>1752</v>
      </c>
      <c r="C431" s="58" t="s">
        <v>1752</v>
      </c>
      <c r="D431" s="60"/>
      <c r="E431" s="62">
        <v>1</v>
      </c>
    </row>
    <row r="432" spans="1:5" x14ac:dyDescent="0.35">
      <c r="A432" s="11" t="s">
        <v>619</v>
      </c>
      <c r="B432" s="58" t="s">
        <v>1752</v>
      </c>
      <c r="C432" s="58" t="s">
        <v>1752</v>
      </c>
      <c r="D432" s="60"/>
      <c r="E432" s="62">
        <v>1</v>
      </c>
    </row>
    <row r="433" spans="1:5" x14ac:dyDescent="0.35">
      <c r="A433" s="11" t="s">
        <v>620</v>
      </c>
      <c r="B433" s="58" t="s">
        <v>1752</v>
      </c>
      <c r="C433" s="58" t="s">
        <v>1752</v>
      </c>
      <c r="D433" s="60"/>
      <c r="E433" s="62">
        <v>1</v>
      </c>
    </row>
    <row r="434" spans="1:5" x14ac:dyDescent="0.35">
      <c r="A434" s="10" t="s">
        <v>621</v>
      </c>
      <c r="B434" s="58" t="s">
        <v>1752</v>
      </c>
      <c r="C434" s="58" t="s">
        <v>1752</v>
      </c>
      <c r="D434" s="60"/>
      <c r="E434" s="62">
        <v>1</v>
      </c>
    </row>
    <row r="435" spans="1:5" x14ac:dyDescent="0.35">
      <c r="A435" s="10" t="s">
        <v>622</v>
      </c>
      <c r="B435" s="58" t="s">
        <v>1752</v>
      </c>
      <c r="C435" s="58" t="s">
        <v>1752</v>
      </c>
      <c r="D435" s="60"/>
      <c r="E435" s="62">
        <v>1</v>
      </c>
    </row>
    <row r="436" spans="1:5" x14ac:dyDescent="0.35">
      <c r="A436" s="10" t="s">
        <v>623</v>
      </c>
      <c r="B436" s="58" t="s">
        <v>1752</v>
      </c>
      <c r="C436" s="58" t="s">
        <v>1752</v>
      </c>
      <c r="D436" s="60"/>
      <c r="E436" s="62">
        <v>1</v>
      </c>
    </row>
    <row r="437" spans="1:5" x14ac:dyDescent="0.35">
      <c r="A437" s="11" t="s">
        <v>624</v>
      </c>
      <c r="B437" s="58" t="s">
        <v>1752</v>
      </c>
      <c r="C437" s="58" t="s">
        <v>1752</v>
      </c>
      <c r="D437" s="60"/>
      <c r="E437" s="62">
        <v>1</v>
      </c>
    </row>
    <row r="438" spans="1:5" x14ac:dyDescent="0.35">
      <c r="A438" s="10" t="s">
        <v>625</v>
      </c>
      <c r="B438" s="58" t="s">
        <v>1752</v>
      </c>
      <c r="C438" s="58" t="s">
        <v>1752</v>
      </c>
      <c r="D438" s="60"/>
      <c r="E438" s="62">
        <v>1</v>
      </c>
    </row>
    <row r="439" spans="1:5" x14ac:dyDescent="0.35">
      <c r="A439" s="11" t="s">
        <v>626</v>
      </c>
      <c r="B439" s="58" t="s">
        <v>1752</v>
      </c>
      <c r="C439" s="58" t="s">
        <v>1752</v>
      </c>
      <c r="D439" s="60"/>
      <c r="E439" s="62">
        <v>1</v>
      </c>
    </row>
    <row r="440" spans="1:5" x14ac:dyDescent="0.35">
      <c r="A440" s="10" t="s">
        <v>627</v>
      </c>
      <c r="B440" s="58" t="s">
        <v>1752</v>
      </c>
      <c r="C440" s="58" t="s">
        <v>1752</v>
      </c>
      <c r="D440" s="60"/>
      <c r="E440" s="62">
        <v>1</v>
      </c>
    </row>
    <row r="441" spans="1:5" x14ac:dyDescent="0.35">
      <c r="A441" s="11" t="s">
        <v>628</v>
      </c>
      <c r="B441" s="58" t="s">
        <v>1752</v>
      </c>
      <c r="C441" s="58" t="s">
        <v>1752</v>
      </c>
      <c r="D441" s="60"/>
      <c r="E441" s="62">
        <v>1</v>
      </c>
    </row>
    <row r="442" spans="1:5" x14ac:dyDescent="0.35">
      <c r="A442" s="10" t="s">
        <v>629</v>
      </c>
      <c r="B442" s="58" t="s">
        <v>1752</v>
      </c>
      <c r="C442" s="58" t="s">
        <v>1752</v>
      </c>
      <c r="D442" s="60"/>
      <c r="E442" s="62">
        <v>1</v>
      </c>
    </row>
    <row r="443" spans="1:5" x14ac:dyDescent="0.35">
      <c r="A443" s="11" t="s">
        <v>630</v>
      </c>
      <c r="B443" s="58" t="s">
        <v>1752</v>
      </c>
      <c r="C443" s="58" t="s">
        <v>1752</v>
      </c>
      <c r="D443" s="60"/>
      <c r="E443" s="62">
        <v>1</v>
      </c>
    </row>
    <row r="444" spans="1:5" x14ac:dyDescent="0.35">
      <c r="A444" s="10" t="s">
        <v>631</v>
      </c>
      <c r="B444" s="58" t="s">
        <v>1752</v>
      </c>
      <c r="C444" s="58" t="s">
        <v>1752</v>
      </c>
      <c r="D444" s="60"/>
      <c r="E444" s="62">
        <v>1</v>
      </c>
    </row>
    <row r="445" spans="1:5" x14ac:dyDescent="0.35">
      <c r="A445" s="11" t="s">
        <v>632</v>
      </c>
      <c r="B445" s="58" t="s">
        <v>1827</v>
      </c>
      <c r="C445" s="58" t="s">
        <v>1752</v>
      </c>
      <c r="D445" s="60"/>
      <c r="E445" s="62">
        <v>1</v>
      </c>
    </row>
    <row r="446" spans="1:5" x14ac:dyDescent="0.35">
      <c r="A446" s="10" t="s">
        <v>633</v>
      </c>
      <c r="B446" s="58" t="s">
        <v>1752</v>
      </c>
      <c r="C446" s="58" t="s">
        <v>1752</v>
      </c>
      <c r="D446" s="60"/>
      <c r="E446" s="62">
        <v>1</v>
      </c>
    </row>
    <row r="447" spans="1:5" x14ac:dyDescent="0.35">
      <c r="A447" s="11" t="s">
        <v>634</v>
      </c>
      <c r="B447" s="58" t="s">
        <v>1752</v>
      </c>
      <c r="C447" s="58" t="s">
        <v>1752</v>
      </c>
      <c r="D447" s="60"/>
      <c r="E447" s="62">
        <v>1</v>
      </c>
    </row>
    <row r="448" spans="1:5" x14ac:dyDescent="0.35">
      <c r="A448" s="10" t="s">
        <v>635</v>
      </c>
      <c r="B448" s="58" t="s">
        <v>1752</v>
      </c>
      <c r="C448" s="58" t="s">
        <v>1752</v>
      </c>
      <c r="D448" s="60"/>
      <c r="E448" s="62">
        <v>1</v>
      </c>
    </row>
    <row r="449" spans="1:5" x14ac:dyDescent="0.35">
      <c r="A449" s="11" t="s">
        <v>636</v>
      </c>
      <c r="B449" s="58" t="s">
        <v>1752</v>
      </c>
      <c r="C449" s="58" t="s">
        <v>1752</v>
      </c>
      <c r="D449" s="60"/>
      <c r="E449" s="62">
        <v>1</v>
      </c>
    </row>
    <row r="450" spans="1:5" x14ac:dyDescent="0.35">
      <c r="A450" s="11" t="s">
        <v>637</v>
      </c>
      <c r="B450" s="58" t="s">
        <v>1752</v>
      </c>
      <c r="C450" s="58" t="s">
        <v>1752</v>
      </c>
      <c r="D450" s="60"/>
      <c r="E450" s="62">
        <v>1</v>
      </c>
    </row>
    <row r="451" spans="1:5" x14ac:dyDescent="0.35">
      <c r="A451" s="11" t="s">
        <v>638</v>
      </c>
      <c r="B451" s="58" t="s">
        <v>1752</v>
      </c>
      <c r="C451" s="58" t="s">
        <v>1752</v>
      </c>
      <c r="D451" s="60"/>
      <c r="E451" s="62">
        <v>1</v>
      </c>
    </row>
    <row r="452" spans="1:5" x14ac:dyDescent="0.35">
      <c r="A452" s="10" t="s">
        <v>639</v>
      </c>
      <c r="B452" s="58" t="s">
        <v>1752</v>
      </c>
      <c r="C452" s="58" t="s">
        <v>1752</v>
      </c>
      <c r="D452" s="60"/>
      <c r="E452" s="62">
        <v>1</v>
      </c>
    </row>
    <row r="453" spans="1:5" x14ac:dyDescent="0.35">
      <c r="A453" s="10" t="s">
        <v>640</v>
      </c>
      <c r="B453" s="58" t="s">
        <v>1752</v>
      </c>
      <c r="C453" s="58" t="s">
        <v>1752</v>
      </c>
      <c r="D453" s="60"/>
      <c r="E453" s="62">
        <v>1</v>
      </c>
    </row>
    <row r="454" spans="1:5" x14ac:dyDescent="0.35">
      <c r="A454" s="10" t="s">
        <v>641</v>
      </c>
      <c r="B454" s="58" t="s">
        <v>1752</v>
      </c>
      <c r="C454" s="58" t="s">
        <v>1752</v>
      </c>
      <c r="D454" s="60"/>
      <c r="E454" s="62">
        <v>1</v>
      </c>
    </row>
    <row r="455" spans="1:5" x14ac:dyDescent="0.35">
      <c r="A455" s="10" t="s">
        <v>642</v>
      </c>
      <c r="B455" s="58" t="s">
        <v>1752</v>
      </c>
      <c r="C455" s="58" t="s">
        <v>1752</v>
      </c>
      <c r="D455" s="60"/>
      <c r="E455" s="62">
        <v>1</v>
      </c>
    </row>
    <row r="456" spans="1:5" x14ac:dyDescent="0.35">
      <c r="A456" s="11" t="s">
        <v>643</v>
      </c>
      <c r="B456" s="58" t="s">
        <v>1752</v>
      </c>
      <c r="C456" s="58" t="s">
        <v>1752</v>
      </c>
      <c r="D456" s="60"/>
      <c r="E456" s="62">
        <v>1</v>
      </c>
    </row>
    <row r="457" spans="1:5" x14ac:dyDescent="0.35">
      <c r="A457" s="11" t="s">
        <v>644</v>
      </c>
      <c r="B457" s="58" t="s">
        <v>1752</v>
      </c>
      <c r="C457" s="58" t="s">
        <v>1752</v>
      </c>
      <c r="D457" s="60"/>
      <c r="E457" s="62">
        <v>1</v>
      </c>
    </row>
    <row r="458" spans="1:5" x14ac:dyDescent="0.35">
      <c r="A458" s="10" t="s">
        <v>645</v>
      </c>
      <c r="B458" s="58" t="s">
        <v>1752</v>
      </c>
      <c r="C458" s="58" t="s">
        <v>1752</v>
      </c>
      <c r="D458" s="60"/>
      <c r="E458" s="62">
        <v>1</v>
      </c>
    </row>
    <row r="459" spans="1:5" x14ac:dyDescent="0.35">
      <c r="A459" s="10" t="s">
        <v>646</v>
      </c>
      <c r="B459" s="58" t="s">
        <v>1752</v>
      </c>
      <c r="C459" s="58" t="s">
        <v>1752</v>
      </c>
      <c r="D459" s="60"/>
      <c r="E459" s="62">
        <v>1</v>
      </c>
    </row>
    <row r="460" spans="1:5" x14ac:dyDescent="0.35">
      <c r="A460" s="11" t="s">
        <v>647</v>
      </c>
      <c r="B460" s="58" t="s">
        <v>1752</v>
      </c>
      <c r="C460" s="58" t="s">
        <v>1752</v>
      </c>
      <c r="D460" s="60"/>
      <c r="E460" s="62">
        <v>1</v>
      </c>
    </row>
    <row r="461" spans="1:5" x14ac:dyDescent="0.35">
      <c r="A461" s="11" t="s">
        <v>648</v>
      </c>
      <c r="B461" s="58" t="s">
        <v>1752</v>
      </c>
      <c r="C461" s="58" t="s">
        <v>1752</v>
      </c>
      <c r="D461" s="60"/>
      <c r="E461" s="62">
        <v>1</v>
      </c>
    </row>
    <row r="462" spans="1:5" x14ac:dyDescent="0.35">
      <c r="A462" s="10" t="s">
        <v>649</v>
      </c>
      <c r="B462" s="58" t="s">
        <v>1752</v>
      </c>
      <c r="C462" s="58" t="s">
        <v>1752</v>
      </c>
      <c r="D462" s="60"/>
      <c r="E462" s="62">
        <v>1</v>
      </c>
    </row>
    <row r="463" spans="1:5" x14ac:dyDescent="0.35">
      <c r="A463" s="10" t="s">
        <v>650</v>
      </c>
      <c r="B463" s="58" t="s">
        <v>1752</v>
      </c>
      <c r="C463" s="58" t="s">
        <v>1752</v>
      </c>
      <c r="D463" s="60"/>
      <c r="E463" s="62">
        <v>1</v>
      </c>
    </row>
    <row r="464" spans="1:5" x14ac:dyDescent="0.35">
      <c r="A464" s="11" t="s">
        <v>651</v>
      </c>
      <c r="B464" s="58" t="s">
        <v>1752</v>
      </c>
      <c r="C464" s="58" t="s">
        <v>1752</v>
      </c>
      <c r="D464" s="60"/>
      <c r="E464" s="62">
        <v>1</v>
      </c>
    </row>
    <row r="465" spans="1:5" x14ac:dyDescent="0.35">
      <c r="A465" s="11" t="s">
        <v>652</v>
      </c>
      <c r="B465" s="58" t="s">
        <v>1752</v>
      </c>
      <c r="C465" s="58" t="s">
        <v>1752</v>
      </c>
      <c r="D465" s="60"/>
      <c r="E465" s="62">
        <v>1</v>
      </c>
    </row>
    <row r="466" spans="1:5" x14ac:dyDescent="0.35">
      <c r="A466" s="10" t="s">
        <v>653</v>
      </c>
      <c r="B466" s="58" t="s">
        <v>1752</v>
      </c>
      <c r="C466" s="58" t="s">
        <v>1752</v>
      </c>
      <c r="D466" s="60"/>
      <c r="E466" s="62">
        <v>1</v>
      </c>
    </row>
    <row r="467" spans="1:5" x14ac:dyDescent="0.35">
      <c r="A467" s="10" t="s">
        <v>654</v>
      </c>
      <c r="B467" s="58" t="s">
        <v>1752</v>
      </c>
      <c r="C467" s="58" t="s">
        <v>1752</v>
      </c>
      <c r="D467" s="60"/>
      <c r="E467" s="62">
        <v>1</v>
      </c>
    </row>
    <row r="468" spans="1:5" x14ac:dyDescent="0.35">
      <c r="A468" s="11" t="s">
        <v>655</v>
      </c>
      <c r="B468" s="58" t="s">
        <v>1752</v>
      </c>
      <c r="C468" s="58" t="s">
        <v>1752</v>
      </c>
      <c r="D468" s="60"/>
      <c r="E468" s="62">
        <v>1</v>
      </c>
    </row>
    <row r="469" spans="1:5" x14ac:dyDescent="0.35">
      <c r="A469" s="10" t="s">
        <v>656</v>
      </c>
      <c r="B469" s="58" t="s">
        <v>1752</v>
      </c>
      <c r="C469" s="58" t="s">
        <v>1752</v>
      </c>
      <c r="D469" s="60"/>
      <c r="E469" s="62">
        <v>1</v>
      </c>
    </row>
    <row r="470" spans="1:5" x14ac:dyDescent="0.35">
      <c r="A470" s="11" t="s">
        <v>657</v>
      </c>
      <c r="B470" s="58" t="s">
        <v>1752</v>
      </c>
      <c r="C470" s="58" t="s">
        <v>1752</v>
      </c>
      <c r="D470" s="60"/>
      <c r="E470" s="62">
        <v>1</v>
      </c>
    </row>
    <row r="471" spans="1:5" x14ac:dyDescent="0.35">
      <c r="A471" s="10" t="s">
        <v>658</v>
      </c>
      <c r="B471" s="58" t="s">
        <v>1827</v>
      </c>
      <c r="C471" s="58" t="s">
        <v>1752</v>
      </c>
      <c r="D471" s="60"/>
      <c r="E471" s="62">
        <v>1</v>
      </c>
    </row>
    <row r="472" spans="1:5" x14ac:dyDescent="0.35">
      <c r="A472" s="11" t="s">
        <v>659</v>
      </c>
      <c r="B472" s="58" t="s">
        <v>1752</v>
      </c>
      <c r="C472" s="58" t="s">
        <v>1752</v>
      </c>
      <c r="D472" s="60"/>
      <c r="E472" s="62">
        <v>1</v>
      </c>
    </row>
    <row r="473" spans="1:5" x14ac:dyDescent="0.35">
      <c r="A473" s="10" t="s">
        <v>660</v>
      </c>
      <c r="B473" s="58" t="s">
        <v>1752</v>
      </c>
      <c r="C473" s="58" t="s">
        <v>1752</v>
      </c>
      <c r="D473" s="60"/>
      <c r="E473" s="62">
        <v>1</v>
      </c>
    </row>
    <row r="474" spans="1:5" x14ac:dyDescent="0.35">
      <c r="A474" s="10" t="s">
        <v>661</v>
      </c>
      <c r="B474" s="58" t="s">
        <v>1752</v>
      </c>
      <c r="C474" s="58" t="s">
        <v>1752</v>
      </c>
      <c r="D474" s="60"/>
      <c r="E474" s="62">
        <v>1</v>
      </c>
    </row>
    <row r="475" spans="1:5" x14ac:dyDescent="0.35">
      <c r="A475" s="11" t="s">
        <v>662</v>
      </c>
      <c r="B475" s="58" t="s">
        <v>1752</v>
      </c>
      <c r="C475" s="58" t="s">
        <v>1752</v>
      </c>
      <c r="D475" s="60"/>
      <c r="E475" s="62">
        <v>1</v>
      </c>
    </row>
    <row r="476" spans="1:5" x14ac:dyDescent="0.35">
      <c r="A476" s="11" t="s">
        <v>663</v>
      </c>
      <c r="B476" s="58" t="s">
        <v>1752</v>
      </c>
      <c r="C476" s="58" t="s">
        <v>1752</v>
      </c>
      <c r="D476" s="60"/>
      <c r="E476" s="62">
        <v>1</v>
      </c>
    </row>
    <row r="477" spans="1:5" x14ac:dyDescent="0.35">
      <c r="A477" s="10" t="s">
        <v>664</v>
      </c>
      <c r="B477" s="58" t="s">
        <v>1752</v>
      </c>
      <c r="C477" s="58" t="s">
        <v>1752</v>
      </c>
      <c r="D477" s="60"/>
      <c r="E477" s="62">
        <v>1</v>
      </c>
    </row>
    <row r="478" spans="1:5" x14ac:dyDescent="0.35">
      <c r="A478" s="10" t="s">
        <v>665</v>
      </c>
      <c r="B478" s="58" t="s">
        <v>1752</v>
      </c>
      <c r="C478" s="58" t="s">
        <v>1752</v>
      </c>
      <c r="D478" s="60"/>
      <c r="E478" s="62">
        <v>1</v>
      </c>
    </row>
    <row r="479" spans="1:5" x14ac:dyDescent="0.35">
      <c r="A479" s="11" t="s">
        <v>666</v>
      </c>
      <c r="B479" s="58" t="s">
        <v>1752</v>
      </c>
      <c r="C479" s="58" t="s">
        <v>1752</v>
      </c>
      <c r="D479" s="60"/>
      <c r="E479" s="62">
        <v>1</v>
      </c>
    </row>
    <row r="480" spans="1:5" x14ac:dyDescent="0.35">
      <c r="A480" s="10" t="s">
        <v>667</v>
      </c>
      <c r="B480" s="58" t="s">
        <v>1752</v>
      </c>
      <c r="C480" s="58" t="s">
        <v>1752</v>
      </c>
      <c r="D480" s="60"/>
      <c r="E480" s="62">
        <v>1</v>
      </c>
    </row>
    <row r="481" spans="1:5" x14ac:dyDescent="0.35">
      <c r="A481" s="10" t="s">
        <v>668</v>
      </c>
      <c r="B481" s="58" t="s">
        <v>1752</v>
      </c>
      <c r="C481" s="58" t="s">
        <v>1752</v>
      </c>
      <c r="D481" s="60"/>
      <c r="E481" s="62">
        <v>1</v>
      </c>
    </row>
    <row r="482" spans="1:5" x14ac:dyDescent="0.35">
      <c r="A482" s="10" t="s">
        <v>669</v>
      </c>
      <c r="B482" s="58" t="s">
        <v>1752</v>
      </c>
      <c r="C482" s="58" t="s">
        <v>1752</v>
      </c>
      <c r="D482" s="60"/>
      <c r="E482" s="62">
        <v>1</v>
      </c>
    </row>
    <row r="483" spans="1:5" x14ac:dyDescent="0.35">
      <c r="A483" s="11" t="s">
        <v>670</v>
      </c>
      <c r="B483" s="58" t="s">
        <v>1752</v>
      </c>
      <c r="C483" s="58" t="s">
        <v>1752</v>
      </c>
      <c r="D483" s="60"/>
      <c r="E483" s="62">
        <v>1</v>
      </c>
    </row>
    <row r="484" spans="1:5" x14ac:dyDescent="0.35">
      <c r="A484" s="10" t="s">
        <v>671</v>
      </c>
      <c r="B484" s="58" t="s">
        <v>1752</v>
      </c>
      <c r="C484" s="58" t="s">
        <v>1752</v>
      </c>
      <c r="D484" s="60"/>
      <c r="E484" s="62">
        <v>1</v>
      </c>
    </row>
    <row r="485" spans="1:5" x14ac:dyDescent="0.35">
      <c r="A485" s="10" t="s">
        <v>672</v>
      </c>
      <c r="B485" s="58" t="s">
        <v>1752</v>
      </c>
      <c r="C485" s="58" t="s">
        <v>1752</v>
      </c>
      <c r="D485" s="60"/>
      <c r="E485" s="62">
        <v>1</v>
      </c>
    </row>
    <row r="486" spans="1:5" x14ac:dyDescent="0.35">
      <c r="A486" s="11" t="s">
        <v>673</v>
      </c>
      <c r="B486" s="58" t="s">
        <v>1752</v>
      </c>
      <c r="C486" s="58" t="s">
        <v>1752</v>
      </c>
      <c r="D486" s="60"/>
      <c r="E486" s="62">
        <v>1</v>
      </c>
    </row>
    <row r="487" spans="1:5" x14ac:dyDescent="0.35">
      <c r="A487" s="10" t="s">
        <v>674</v>
      </c>
      <c r="B487" s="58" t="s">
        <v>1752</v>
      </c>
      <c r="C487" s="58" t="s">
        <v>1752</v>
      </c>
      <c r="D487" s="60"/>
      <c r="E487" s="62">
        <v>1</v>
      </c>
    </row>
    <row r="488" spans="1:5" x14ac:dyDescent="0.35">
      <c r="A488" s="11" t="s">
        <v>675</v>
      </c>
      <c r="B488" s="58" t="s">
        <v>1752</v>
      </c>
      <c r="C488" s="58" t="s">
        <v>1752</v>
      </c>
      <c r="D488" s="60"/>
      <c r="E488" s="62">
        <v>1</v>
      </c>
    </row>
    <row r="489" spans="1:5" x14ac:dyDescent="0.35">
      <c r="A489" s="11" t="s">
        <v>676</v>
      </c>
      <c r="B489" s="58" t="s">
        <v>1752</v>
      </c>
      <c r="C489" s="58" t="s">
        <v>1752</v>
      </c>
      <c r="D489" s="60"/>
      <c r="E489" s="62">
        <v>1</v>
      </c>
    </row>
    <row r="490" spans="1:5" x14ac:dyDescent="0.35">
      <c r="A490" s="10" t="s">
        <v>677</v>
      </c>
      <c r="B490" s="58" t="s">
        <v>1752</v>
      </c>
      <c r="C490" s="58" t="s">
        <v>1752</v>
      </c>
      <c r="D490" s="60"/>
      <c r="E490" s="62">
        <v>1</v>
      </c>
    </row>
    <row r="491" spans="1:5" x14ac:dyDescent="0.35">
      <c r="A491" s="11" t="s">
        <v>678</v>
      </c>
      <c r="B491" s="58" t="s">
        <v>1752</v>
      </c>
      <c r="C491" s="58" t="s">
        <v>1752</v>
      </c>
      <c r="D491" s="60"/>
      <c r="E491" s="62">
        <v>1</v>
      </c>
    </row>
    <row r="492" spans="1:5" x14ac:dyDescent="0.35">
      <c r="A492" s="10" t="s">
        <v>679</v>
      </c>
      <c r="B492" s="58" t="s">
        <v>1752</v>
      </c>
      <c r="C492" s="58" t="s">
        <v>1752</v>
      </c>
      <c r="D492" s="60"/>
      <c r="E492" s="62">
        <v>1</v>
      </c>
    </row>
    <row r="493" spans="1:5" x14ac:dyDescent="0.35">
      <c r="A493" s="11" t="s">
        <v>680</v>
      </c>
      <c r="B493" s="58" t="s">
        <v>1752</v>
      </c>
      <c r="C493" s="58" t="s">
        <v>1752</v>
      </c>
      <c r="D493" s="60"/>
      <c r="E493" s="62">
        <v>1</v>
      </c>
    </row>
    <row r="494" spans="1:5" x14ac:dyDescent="0.35">
      <c r="A494" s="10" t="s">
        <v>681</v>
      </c>
      <c r="B494" s="58" t="s">
        <v>1752</v>
      </c>
      <c r="C494" s="58" t="s">
        <v>1752</v>
      </c>
      <c r="D494" s="60"/>
      <c r="E494" s="62">
        <v>1</v>
      </c>
    </row>
    <row r="495" spans="1:5" x14ac:dyDescent="0.35">
      <c r="A495" s="10" t="s">
        <v>682</v>
      </c>
      <c r="B495" s="58" t="s">
        <v>1752</v>
      </c>
      <c r="C495" s="58" t="s">
        <v>1752</v>
      </c>
      <c r="D495" s="60"/>
      <c r="E495" s="62">
        <v>1</v>
      </c>
    </row>
    <row r="496" spans="1:5" x14ac:dyDescent="0.35">
      <c r="A496" s="10" t="s">
        <v>683</v>
      </c>
      <c r="B496" s="58" t="s">
        <v>1752</v>
      </c>
      <c r="C496" s="58" t="s">
        <v>1752</v>
      </c>
      <c r="D496" s="60"/>
      <c r="E496" s="62">
        <v>1</v>
      </c>
    </row>
    <row r="497" spans="1:5" x14ac:dyDescent="0.35">
      <c r="A497" s="11" t="s">
        <v>684</v>
      </c>
      <c r="B497" s="58" t="s">
        <v>1752</v>
      </c>
      <c r="C497" s="58" t="s">
        <v>1752</v>
      </c>
      <c r="D497" s="60"/>
      <c r="E497" s="62">
        <v>1</v>
      </c>
    </row>
    <row r="498" spans="1:5" x14ac:dyDescent="0.35">
      <c r="A498" s="11" t="s">
        <v>685</v>
      </c>
      <c r="B498" s="58" t="s">
        <v>1752</v>
      </c>
      <c r="C498" s="58" t="s">
        <v>1752</v>
      </c>
      <c r="D498" s="60"/>
      <c r="E498" s="62">
        <v>1</v>
      </c>
    </row>
    <row r="499" spans="1:5" x14ac:dyDescent="0.35">
      <c r="A499" s="10" t="s">
        <v>686</v>
      </c>
      <c r="B499" s="58" t="s">
        <v>1752</v>
      </c>
      <c r="C499" s="58" t="s">
        <v>1752</v>
      </c>
      <c r="D499" s="60"/>
      <c r="E499" s="62">
        <v>1</v>
      </c>
    </row>
    <row r="500" spans="1:5" x14ac:dyDescent="0.35">
      <c r="A500" s="11" t="s">
        <v>687</v>
      </c>
      <c r="B500" s="58" t="s">
        <v>1752</v>
      </c>
      <c r="C500" s="58" t="s">
        <v>1752</v>
      </c>
      <c r="D500" s="60"/>
      <c r="E500" s="62">
        <v>1</v>
      </c>
    </row>
    <row r="501" spans="1:5" x14ac:dyDescent="0.35">
      <c r="A501" s="10" t="s">
        <v>688</v>
      </c>
      <c r="B501" s="58" t="s">
        <v>1752</v>
      </c>
      <c r="C501" s="58" t="s">
        <v>1752</v>
      </c>
      <c r="D501" s="60"/>
      <c r="E501" s="62">
        <v>1</v>
      </c>
    </row>
    <row r="502" spans="1:5" x14ac:dyDescent="0.35">
      <c r="A502" s="11" t="s">
        <v>689</v>
      </c>
      <c r="B502" s="58" t="s">
        <v>1752</v>
      </c>
      <c r="C502" s="58" t="s">
        <v>1752</v>
      </c>
      <c r="D502" s="60"/>
      <c r="E502" s="62">
        <v>1</v>
      </c>
    </row>
    <row r="503" spans="1:5" x14ac:dyDescent="0.35">
      <c r="A503" s="11" t="s">
        <v>690</v>
      </c>
      <c r="B503" s="58" t="s">
        <v>1752</v>
      </c>
      <c r="C503" s="58" t="s">
        <v>1752</v>
      </c>
      <c r="D503" s="60"/>
      <c r="E503" s="62">
        <v>1</v>
      </c>
    </row>
    <row r="504" spans="1:5" x14ac:dyDescent="0.35">
      <c r="A504" s="11" t="s">
        <v>691</v>
      </c>
      <c r="B504" s="58" t="s">
        <v>1752</v>
      </c>
      <c r="C504" s="58" t="s">
        <v>1752</v>
      </c>
      <c r="D504" s="60"/>
      <c r="E504" s="62">
        <v>1</v>
      </c>
    </row>
    <row r="505" spans="1:5" x14ac:dyDescent="0.35">
      <c r="A505" s="11" t="s">
        <v>692</v>
      </c>
      <c r="B505" s="58" t="s">
        <v>1752</v>
      </c>
      <c r="C505" s="58" t="s">
        <v>1752</v>
      </c>
      <c r="D505" s="60"/>
      <c r="E505" s="62">
        <v>1</v>
      </c>
    </row>
    <row r="506" spans="1:5" x14ac:dyDescent="0.35">
      <c r="A506" s="10" t="s">
        <v>693</v>
      </c>
      <c r="B506" s="58" t="s">
        <v>1752</v>
      </c>
      <c r="C506" s="58" t="s">
        <v>1752</v>
      </c>
      <c r="D506" s="60"/>
      <c r="E506" s="62">
        <v>1</v>
      </c>
    </row>
    <row r="507" spans="1:5" x14ac:dyDescent="0.35">
      <c r="A507" s="11" t="s">
        <v>694</v>
      </c>
      <c r="B507" s="58" t="s">
        <v>1752</v>
      </c>
      <c r="C507" s="58" t="s">
        <v>1752</v>
      </c>
      <c r="D507" s="60"/>
      <c r="E507" s="62">
        <v>1</v>
      </c>
    </row>
    <row r="508" spans="1:5" x14ac:dyDescent="0.35">
      <c r="A508" s="11" t="s">
        <v>695</v>
      </c>
      <c r="B508" s="58" t="s">
        <v>1752</v>
      </c>
      <c r="C508" s="58" t="s">
        <v>1752</v>
      </c>
      <c r="D508" s="60"/>
      <c r="E508" s="62">
        <v>1</v>
      </c>
    </row>
    <row r="509" spans="1:5" x14ac:dyDescent="0.35">
      <c r="A509" s="10" t="s">
        <v>696</v>
      </c>
      <c r="B509" s="58" t="s">
        <v>1752</v>
      </c>
      <c r="C509" s="58" t="s">
        <v>1752</v>
      </c>
      <c r="D509" s="60"/>
      <c r="E509" s="62">
        <v>1</v>
      </c>
    </row>
    <row r="510" spans="1:5" x14ac:dyDescent="0.35">
      <c r="A510" s="11" t="s">
        <v>697</v>
      </c>
      <c r="B510" s="58" t="s">
        <v>1752</v>
      </c>
      <c r="C510" s="58" t="s">
        <v>1752</v>
      </c>
      <c r="D510" s="60"/>
      <c r="E510" s="62">
        <v>1</v>
      </c>
    </row>
    <row r="511" spans="1:5" x14ac:dyDescent="0.35">
      <c r="A511" s="11" t="s">
        <v>698</v>
      </c>
      <c r="B511" s="58" t="s">
        <v>1752</v>
      </c>
      <c r="C511" s="58" t="s">
        <v>1752</v>
      </c>
      <c r="D511" s="60"/>
      <c r="E511" s="62">
        <v>1</v>
      </c>
    </row>
    <row r="512" spans="1:5" x14ac:dyDescent="0.35">
      <c r="A512" s="10" t="s">
        <v>699</v>
      </c>
      <c r="B512" s="58" t="s">
        <v>1752</v>
      </c>
      <c r="C512" s="58" t="s">
        <v>1752</v>
      </c>
      <c r="D512" s="60"/>
      <c r="E512" s="62">
        <v>1</v>
      </c>
    </row>
    <row r="513" spans="1:5" x14ac:dyDescent="0.35">
      <c r="A513" s="11" t="s">
        <v>700</v>
      </c>
      <c r="B513" s="58" t="s">
        <v>1752</v>
      </c>
      <c r="C513" s="58" t="s">
        <v>1752</v>
      </c>
      <c r="D513" s="60"/>
      <c r="E513" s="62">
        <v>1</v>
      </c>
    </row>
    <row r="514" spans="1:5" x14ac:dyDescent="0.35">
      <c r="A514" s="11" t="s">
        <v>701</v>
      </c>
      <c r="B514" s="58" t="s">
        <v>1752</v>
      </c>
      <c r="C514" s="58" t="s">
        <v>1752</v>
      </c>
      <c r="D514" s="60"/>
      <c r="E514" s="62">
        <v>1</v>
      </c>
    </row>
    <row r="515" spans="1:5" x14ac:dyDescent="0.35">
      <c r="A515" s="10" t="s">
        <v>702</v>
      </c>
      <c r="B515" s="58" t="s">
        <v>1752</v>
      </c>
      <c r="C515" s="58" t="s">
        <v>1752</v>
      </c>
      <c r="D515" s="60"/>
      <c r="E515" s="62">
        <v>1</v>
      </c>
    </row>
    <row r="516" spans="1:5" x14ac:dyDescent="0.35">
      <c r="A516" s="10" t="s">
        <v>703</v>
      </c>
      <c r="B516" s="58" t="s">
        <v>1752</v>
      </c>
      <c r="C516" s="58" t="s">
        <v>1752</v>
      </c>
      <c r="D516" s="60"/>
      <c r="E516" s="62">
        <v>1</v>
      </c>
    </row>
    <row r="517" spans="1:5" x14ac:dyDescent="0.35">
      <c r="A517" s="10" t="s">
        <v>704</v>
      </c>
      <c r="B517" s="58" t="s">
        <v>1752</v>
      </c>
      <c r="C517" s="58" t="s">
        <v>1752</v>
      </c>
      <c r="D517" s="60"/>
      <c r="E517" s="62">
        <v>1</v>
      </c>
    </row>
    <row r="518" spans="1:5" x14ac:dyDescent="0.35">
      <c r="A518" s="11" t="s">
        <v>705</v>
      </c>
      <c r="B518" s="58" t="s">
        <v>1752</v>
      </c>
      <c r="C518" s="58" t="s">
        <v>1752</v>
      </c>
      <c r="D518" s="60"/>
      <c r="E518" s="62">
        <v>1</v>
      </c>
    </row>
    <row r="519" spans="1:5" x14ac:dyDescent="0.35">
      <c r="A519" s="10" t="s">
        <v>706</v>
      </c>
      <c r="B519" s="58" t="s">
        <v>1752</v>
      </c>
      <c r="C519" s="58" t="s">
        <v>1752</v>
      </c>
      <c r="D519" s="60"/>
      <c r="E519" s="62">
        <v>1</v>
      </c>
    </row>
    <row r="520" spans="1:5" x14ac:dyDescent="0.35">
      <c r="A520" s="10" t="s">
        <v>707</v>
      </c>
      <c r="B520" s="58" t="s">
        <v>1827</v>
      </c>
      <c r="C520" s="58" t="s">
        <v>1752</v>
      </c>
      <c r="D520" s="60"/>
      <c r="E520" s="62">
        <v>1</v>
      </c>
    </row>
    <row r="521" spans="1:5" x14ac:dyDescent="0.35">
      <c r="A521" s="10" t="s">
        <v>708</v>
      </c>
      <c r="B521" s="58" t="s">
        <v>1752</v>
      </c>
      <c r="C521" s="58" t="s">
        <v>1752</v>
      </c>
      <c r="D521" s="60"/>
      <c r="E521" s="62">
        <v>1</v>
      </c>
    </row>
    <row r="522" spans="1:5" x14ac:dyDescent="0.35">
      <c r="A522" s="11" t="s">
        <v>709</v>
      </c>
      <c r="B522" s="58" t="s">
        <v>1752</v>
      </c>
      <c r="C522" s="58" t="s">
        <v>1752</v>
      </c>
      <c r="D522" s="60"/>
      <c r="E522" s="62">
        <v>1</v>
      </c>
    </row>
    <row r="523" spans="1:5" x14ac:dyDescent="0.35">
      <c r="A523" s="10" t="s">
        <v>710</v>
      </c>
      <c r="B523" s="58" t="s">
        <v>1752</v>
      </c>
      <c r="C523" s="58" t="s">
        <v>1752</v>
      </c>
      <c r="D523" s="60"/>
      <c r="E523" s="62">
        <v>1</v>
      </c>
    </row>
    <row r="524" spans="1:5" x14ac:dyDescent="0.35">
      <c r="A524" s="11" t="s">
        <v>711</v>
      </c>
      <c r="B524" s="58" t="s">
        <v>1752</v>
      </c>
      <c r="C524" s="58" t="s">
        <v>1752</v>
      </c>
      <c r="D524" s="60"/>
      <c r="E524" s="62">
        <v>1</v>
      </c>
    </row>
    <row r="525" spans="1:5" x14ac:dyDescent="0.35">
      <c r="A525" s="10" t="s">
        <v>712</v>
      </c>
      <c r="B525" s="58" t="s">
        <v>1752</v>
      </c>
      <c r="C525" s="58" t="s">
        <v>1752</v>
      </c>
      <c r="D525" s="60"/>
      <c r="E525" s="62">
        <v>1</v>
      </c>
    </row>
    <row r="526" spans="1:5" x14ac:dyDescent="0.35">
      <c r="A526" s="11" t="s">
        <v>713</v>
      </c>
      <c r="B526" s="58" t="s">
        <v>1752</v>
      </c>
      <c r="C526" s="58" t="s">
        <v>1752</v>
      </c>
      <c r="D526" s="60"/>
      <c r="E526" s="62">
        <v>1</v>
      </c>
    </row>
    <row r="527" spans="1:5" x14ac:dyDescent="0.35">
      <c r="A527" s="10" t="s">
        <v>714</v>
      </c>
      <c r="B527" s="58" t="s">
        <v>1752</v>
      </c>
      <c r="C527" s="58" t="s">
        <v>1752</v>
      </c>
      <c r="D527" s="60"/>
      <c r="E527" s="62">
        <v>1</v>
      </c>
    </row>
    <row r="528" spans="1:5" x14ac:dyDescent="0.35">
      <c r="A528" s="11" t="s">
        <v>715</v>
      </c>
      <c r="B528" s="58" t="s">
        <v>1752</v>
      </c>
      <c r="C528" s="58" t="s">
        <v>1752</v>
      </c>
      <c r="D528" s="60"/>
      <c r="E528" s="62">
        <v>1</v>
      </c>
    </row>
    <row r="529" spans="1:5" x14ac:dyDescent="0.35">
      <c r="A529" s="11" t="s">
        <v>716</v>
      </c>
      <c r="B529" s="58" t="s">
        <v>1752</v>
      </c>
      <c r="C529" s="58" t="s">
        <v>1752</v>
      </c>
      <c r="D529" s="60"/>
      <c r="E529" s="62">
        <v>1</v>
      </c>
    </row>
    <row r="530" spans="1:5" x14ac:dyDescent="0.35">
      <c r="A530" s="11" t="s">
        <v>717</v>
      </c>
      <c r="B530" s="58" t="s">
        <v>1752</v>
      </c>
      <c r="C530" s="58" t="s">
        <v>1752</v>
      </c>
      <c r="D530" s="60"/>
      <c r="E530" s="62">
        <v>1</v>
      </c>
    </row>
    <row r="531" spans="1:5" x14ac:dyDescent="0.35">
      <c r="A531" s="10" t="s">
        <v>718</v>
      </c>
      <c r="B531" s="58" t="s">
        <v>1752</v>
      </c>
      <c r="C531" s="58" t="s">
        <v>1752</v>
      </c>
      <c r="D531" s="60"/>
      <c r="E531" s="62">
        <v>1</v>
      </c>
    </row>
    <row r="532" spans="1:5" x14ac:dyDescent="0.35">
      <c r="A532" s="10" t="s">
        <v>719</v>
      </c>
      <c r="B532" s="58" t="s">
        <v>1752</v>
      </c>
      <c r="C532" s="58" t="s">
        <v>1752</v>
      </c>
      <c r="D532" s="60"/>
      <c r="E532" s="62">
        <v>1</v>
      </c>
    </row>
    <row r="533" spans="1:5" x14ac:dyDescent="0.35">
      <c r="A533" s="11" t="s">
        <v>720</v>
      </c>
      <c r="B533" s="58" t="s">
        <v>1752</v>
      </c>
      <c r="C533" s="58" t="s">
        <v>1752</v>
      </c>
      <c r="D533" s="60"/>
      <c r="E533" s="62">
        <v>1</v>
      </c>
    </row>
    <row r="534" spans="1:5" x14ac:dyDescent="0.35">
      <c r="A534" s="11" t="s">
        <v>721</v>
      </c>
      <c r="B534" s="58" t="s">
        <v>1752</v>
      </c>
      <c r="C534" s="58" t="s">
        <v>1752</v>
      </c>
      <c r="D534" s="60"/>
      <c r="E534" s="62">
        <v>1</v>
      </c>
    </row>
    <row r="535" spans="1:5" x14ac:dyDescent="0.35">
      <c r="A535" s="10" t="s">
        <v>722</v>
      </c>
      <c r="B535" s="58" t="s">
        <v>1752</v>
      </c>
      <c r="C535" s="58" t="s">
        <v>1752</v>
      </c>
      <c r="D535" s="60"/>
      <c r="E535" s="62">
        <v>1</v>
      </c>
    </row>
    <row r="536" spans="1:5" x14ac:dyDescent="0.35">
      <c r="A536" s="10" t="s">
        <v>723</v>
      </c>
      <c r="B536" s="58" t="s">
        <v>1752</v>
      </c>
      <c r="C536" s="58" t="s">
        <v>1752</v>
      </c>
      <c r="D536" s="60"/>
      <c r="E536" s="62">
        <v>1</v>
      </c>
    </row>
    <row r="537" spans="1:5" x14ac:dyDescent="0.35">
      <c r="A537" s="11" t="s">
        <v>724</v>
      </c>
      <c r="B537" s="58" t="s">
        <v>1752</v>
      </c>
      <c r="C537" s="58" t="s">
        <v>1752</v>
      </c>
      <c r="D537" s="60"/>
      <c r="E537" s="62">
        <v>1</v>
      </c>
    </row>
    <row r="538" spans="1:5" x14ac:dyDescent="0.35">
      <c r="A538" s="11" t="s">
        <v>725</v>
      </c>
      <c r="B538" s="58" t="s">
        <v>1752</v>
      </c>
      <c r="C538" s="58" t="s">
        <v>1752</v>
      </c>
      <c r="D538" s="60"/>
      <c r="E538" s="62">
        <v>1</v>
      </c>
    </row>
    <row r="539" spans="1:5" x14ac:dyDescent="0.35">
      <c r="A539" s="10" t="s">
        <v>726</v>
      </c>
      <c r="B539" s="58" t="s">
        <v>1752</v>
      </c>
      <c r="C539" s="58" t="s">
        <v>1752</v>
      </c>
      <c r="D539" s="60"/>
      <c r="E539" s="62">
        <v>1</v>
      </c>
    </row>
    <row r="540" spans="1:5" x14ac:dyDescent="0.35">
      <c r="A540" s="11" t="s">
        <v>727</v>
      </c>
      <c r="B540" s="58" t="s">
        <v>1752</v>
      </c>
      <c r="C540" s="58" t="s">
        <v>1752</v>
      </c>
      <c r="D540" s="60"/>
      <c r="E540" s="62">
        <v>1</v>
      </c>
    </row>
    <row r="541" spans="1:5" x14ac:dyDescent="0.35">
      <c r="A541" s="11" t="s">
        <v>728</v>
      </c>
      <c r="B541" s="58" t="s">
        <v>1752</v>
      </c>
      <c r="C541" s="58" t="s">
        <v>1752</v>
      </c>
      <c r="D541" s="60"/>
      <c r="E541" s="62">
        <v>1</v>
      </c>
    </row>
    <row r="542" spans="1:5" x14ac:dyDescent="0.35">
      <c r="A542" s="11" t="s">
        <v>729</v>
      </c>
      <c r="B542" s="58" t="s">
        <v>1752</v>
      </c>
      <c r="C542" s="58" t="s">
        <v>1752</v>
      </c>
      <c r="D542" s="60"/>
      <c r="E542" s="62">
        <v>1</v>
      </c>
    </row>
    <row r="543" spans="1:5" x14ac:dyDescent="0.35">
      <c r="A543" s="10" t="s">
        <v>730</v>
      </c>
      <c r="B543" s="58" t="s">
        <v>1752</v>
      </c>
      <c r="C543" s="58" t="s">
        <v>1752</v>
      </c>
      <c r="D543" s="60"/>
      <c r="E543" s="62">
        <v>1</v>
      </c>
    </row>
    <row r="544" spans="1:5" x14ac:dyDescent="0.35">
      <c r="A544" s="11" t="s">
        <v>731</v>
      </c>
      <c r="B544" s="58" t="s">
        <v>1752</v>
      </c>
      <c r="C544" s="58" t="s">
        <v>1752</v>
      </c>
      <c r="D544" s="60"/>
      <c r="E544" s="62">
        <v>1</v>
      </c>
    </row>
    <row r="545" spans="1:5" x14ac:dyDescent="0.35">
      <c r="A545" s="10" t="s">
        <v>732</v>
      </c>
      <c r="B545" s="58" t="s">
        <v>1752</v>
      </c>
      <c r="C545" s="58" t="s">
        <v>1752</v>
      </c>
      <c r="D545" s="60"/>
      <c r="E545" s="62">
        <v>1</v>
      </c>
    </row>
    <row r="546" spans="1:5" x14ac:dyDescent="0.35">
      <c r="A546" s="11" t="s">
        <v>733</v>
      </c>
      <c r="B546" s="58" t="s">
        <v>1752</v>
      </c>
      <c r="C546" s="58" t="s">
        <v>1752</v>
      </c>
      <c r="D546" s="60"/>
      <c r="E546" s="62">
        <v>1</v>
      </c>
    </row>
    <row r="547" spans="1:5" x14ac:dyDescent="0.35">
      <c r="A547" s="11" t="s">
        <v>734</v>
      </c>
      <c r="B547" s="58" t="s">
        <v>1752</v>
      </c>
      <c r="C547" s="58" t="s">
        <v>1752</v>
      </c>
      <c r="D547" s="60"/>
      <c r="E547" s="62">
        <v>1</v>
      </c>
    </row>
    <row r="548" spans="1:5" x14ac:dyDescent="0.35">
      <c r="A548" s="10" t="s">
        <v>735</v>
      </c>
      <c r="B548" s="58" t="s">
        <v>1752</v>
      </c>
      <c r="C548" s="58" t="s">
        <v>1752</v>
      </c>
      <c r="D548" s="60"/>
      <c r="E548" s="62">
        <v>1</v>
      </c>
    </row>
    <row r="549" spans="1:5" x14ac:dyDescent="0.35">
      <c r="A549" s="11" t="s">
        <v>736</v>
      </c>
      <c r="B549" s="58" t="s">
        <v>1752</v>
      </c>
      <c r="C549" s="58" t="s">
        <v>1752</v>
      </c>
      <c r="D549" s="60"/>
      <c r="E549" s="62">
        <v>1</v>
      </c>
    </row>
    <row r="550" spans="1:5" x14ac:dyDescent="0.35">
      <c r="A550" s="11" t="s">
        <v>737</v>
      </c>
      <c r="B550" s="58" t="s">
        <v>1827</v>
      </c>
      <c r="C550" s="58" t="s">
        <v>1752</v>
      </c>
      <c r="D550" s="60"/>
      <c r="E550" s="62">
        <v>1</v>
      </c>
    </row>
    <row r="551" spans="1:5" x14ac:dyDescent="0.35">
      <c r="A551" s="11" t="s">
        <v>738</v>
      </c>
      <c r="B551" s="58" t="s">
        <v>1752</v>
      </c>
      <c r="C551" s="58" t="s">
        <v>1752</v>
      </c>
      <c r="D551" s="60"/>
      <c r="E551" s="62">
        <v>1</v>
      </c>
    </row>
    <row r="552" spans="1:5" x14ac:dyDescent="0.35">
      <c r="A552" s="11" t="s">
        <v>739</v>
      </c>
      <c r="B552" s="58" t="s">
        <v>1752</v>
      </c>
      <c r="C552" s="58" t="s">
        <v>1752</v>
      </c>
      <c r="D552" s="60"/>
      <c r="E552" s="62">
        <v>1</v>
      </c>
    </row>
    <row r="553" spans="1:5" x14ac:dyDescent="0.35">
      <c r="A553" s="10" t="s">
        <v>740</v>
      </c>
      <c r="B553" s="58" t="s">
        <v>1752</v>
      </c>
      <c r="C553" s="58" t="s">
        <v>1752</v>
      </c>
      <c r="D553" s="60"/>
      <c r="E553" s="62">
        <v>1</v>
      </c>
    </row>
    <row r="554" spans="1:5" x14ac:dyDescent="0.35">
      <c r="A554" s="11" t="s">
        <v>741</v>
      </c>
      <c r="B554" s="58" t="s">
        <v>1752</v>
      </c>
      <c r="C554" s="58" t="s">
        <v>1752</v>
      </c>
      <c r="D554" s="60"/>
      <c r="E554" s="62">
        <v>1</v>
      </c>
    </row>
    <row r="555" spans="1:5" x14ac:dyDescent="0.35">
      <c r="A555" s="11" t="s">
        <v>742</v>
      </c>
      <c r="B555" s="58" t="s">
        <v>1752</v>
      </c>
      <c r="C555" s="58" t="s">
        <v>1752</v>
      </c>
      <c r="D555" s="60"/>
      <c r="E555" s="62">
        <v>1</v>
      </c>
    </row>
    <row r="556" spans="1:5" x14ac:dyDescent="0.35">
      <c r="A556" s="11" t="s">
        <v>743</v>
      </c>
      <c r="B556" s="58" t="s">
        <v>1752</v>
      </c>
      <c r="C556" s="58" t="s">
        <v>1752</v>
      </c>
      <c r="D556" s="60"/>
      <c r="E556" s="62">
        <v>1</v>
      </c>
    </row>
    <row r="557" spans="1:5" x14ac:dyDescent="0.35">
      <c r="A557" s="10" t="s">
        <v>744</v>
      </c>
      <c r="B557" s="58" t="s">
        <v>1752</v>
      </c>
      <c r="C557" s="58" t="s">
        <v>1752</v>
      </c>
      <c r="D557" s="60"/>
      <c r="E557" s="62">
        <v>1</v>
      </c>
    </row>
    <row r="558" spans="1:5" x14ac:dyDescent="0.35">
      <c r="A558" s="11" t="s">
        <v>745</v>
      </c>
      <c r="B558" s="58" t="s">
        <v>1752</v>
      </c>
      <c r="C558" s="58" t="s">
        <v>1752</v>
      </c>
      <c r="D558" s="60"/>
      <c r="E558" s="62">
        <v>1</v>
      </c>
    </row>
    <row r="559" spans="1:5" x14ac:dyDescent="0.35">
      <c r="A559" s="10" t="s">
        <v>746</v>
      </c>
      <c r="B559" s="58" t="s">
        <v>1752</v>
      </c>
      <c r="C559" s="58" t="s">
        <v>1752</v>
      </c>
      <c r="D559" s="60"/>
      <c r="E559" s="62">
        <v>1</v>
      </c>
    </row>
    <row r="560" spans="1:5" x14ac:dyDescent="0.35">
      <c r="A560" s="11" t="s">
        <v>747</v>
      </c>
      <c r="B560" s="58" t="s">
        <v>1752</v>
      </c>
      <c r="C560" s="58" t="s">
        <v>1752</v>
      </c>
      <c r="D560" s="60"/>
      <c r="E560" s="62">
        <v>1</v>
      </c>
    </row>
    <row r="561" spans="1:5" x14ac:dyDescent="0.35">
      <c r="A561" s="11" t="s">
        <v>748</v>
      </c>
      <c r="B561" s="58" t="s">
        <v>1752</v>
      </c>
      <c r="C561" s="58" t="s">
        <v>1752</v>
      </c>
      <c r="D561" s="60"/>
      <c r="E561" s="62">
        <v>1</v>
      </c>
    </row>
    <row r="562" spans="1:5" x14ac:dyDescent="0.35">
      <c r="A562" s="10" t="s">
        <v>749</v>
      </c>
      <c r="B562" s="58" t="s">
        <v>1827</v>
      </c>
      <c r="C562" s="58" t="s">
        <v>1752</v>
      </c>
      <c r="D562" s="60"/>
      <c r="E562" s="62">
        <v>1</v>
      </c>
    </row>
    <row r="563" spans="1:5" x14ac:dyDescent="0.35">
      <c r="A563" s="10" t="s">
        <v>750</v>
      </c>
      <c r="B563" s="58" t="s">
        <v>1752</v>
      </c>
      <c r="C563" s="58" t="s">
        <v>1752</v>
      </c>
      <c r="D563" s="60"/>
      <c r="E563" s="62">
        <v>1</v>
      </c>
    </row>
    <row r="564" spans="1:5" x14ac:dyDescent="0.35">
      <c r="A564" s="10" t="s">
        <v>751</v>
      </c>
      <c r="B564" s="58" t="s">
        <v>1827</v>
      </c>
      <c r="C564" s="58" t="s">
        <v>1752</v>
      </c>
      <c r="D564" s="60"/>
      <c r="E564" s="62">
        <v>1</v>
      </c>
    </row>
    <row r="565" spans="1:5" x14ac:dyDescent="0.35">
      <c r="A565" s="11" t="s">
        <v>752</v>
      </c>
      <c r="B565" s="58" t="s">
        <v>1752</v>
      </c>
      <c r="C565" s="58" t="s">
        <v>1752</v>
      </c>
      <c r="D565" s="60"/>
      <c r="E565" s="62">
        <v>1</v>
      </c>
    </row>
    <row r="566" spans="1:5" x14ac:dyDescent="0.35">
      <c r="A566" s="10" t="s">
        <v>753</v>
      </c>
      <c r="B566" s="58" t="s">
        <v>1752</v>
      </c>
      <c r="C566" s="58" t="s">
        <v>1752</v>
      </c>
      <c r="D566" s="60"/>
      <c r="E566" s="62">
        <v>1</v>
      </c>
    </row>
    <row r="567" spans="1:5" x14ac:dyDescent="0.35">
      <c r="A567" s="11" t="s">
        <v>754</v>
      </c>
      <c r="B567" s="58" t="s">
        <v>1752</v>
      </c>
      <c r="C567" s="58" t="s">
        <v>1752</v>
      </c>
      <c r="D567" s="60"/>
      <c r="E567" s="62">
        <v>1</v>
      </c>
    </row>
    <row r="568" spans="1:5" x14ac:dyDescent="0.35">
      <c r="A568" s="10" t="s">
        <v>755</v>
      </c>
      <c r="B568" s="58" t="s">
        <v>1752</v>
      </c>
      <c r="C568" s="58" t="s">
        <v>1752</v>
      </c>
      <c r="D568" s="60"/>
      <c r="E568" s="62">
        <v>1</v>
      </c>
    </row>
    <row r="569" spans="1:5" x14ac:dyDescent="0.35">
      <c r="A569" s="11" t="s">
        <v>756</v>
      </c>
      <c r="B569" s="58" t="s">
        <v>1752</v>
      </c>
      <c r="C569" s="58" t="s">
        <v>1752</v>
      </c>
      <c r="D569" s="60"/>
      <c r="E569" s="62">
        <v>1</v>
      </c>
    </row>
    <row r="570" spans="1:5" x14ac:dyDescent="0.35">
      <c r="A570" s="11" t="s">
        <v>757</v>
      </c>
      <c r="B570" s="58" t="s">
        <v>1752</v>
      </c>
      <c r="C570" s="58" t="s">
        <v>1752</v>
      </c>
      <c r="D570" s="60"/>
      <c r="E570" s="62">
        <v>1</v>
      </c>
    </row>
    <row r="571" spans="1:5" x14ac:dyDescent="0.35">
      <c r="A571" s="10" t="s">
        <v>758</v>
      </c>
      <c r="B571" s="58" t="s">
        <v>1752</v>
      </c>
      <c r="C571" s="58" t="s">
        <v>1752</v>
      </c>
      <c r="D571" s="60"/>
      <c r="E571" s="62">
        <v>1</v>
      </c>
    </row>
    <row r="572" spans="1:5" x14ac:dyDescent="0.35">
      <c r="A572" s="11" t="s">
        <v>759</v>
      </c>
      <c r="B572" s="58" t="s">
        <v>1752</v>
      </c>
      <c r="C572" s="58" t="s">
        <v>1752</v>
      </c>
      <c r="D572" s="60"/>
      <c r="E572" s="62">
        <v>1</v>
      </c>
    </row>
    <row r="573" spans="1:5" x14ac:dyDescent="0.35">
      <c r="A573" s="10" t="s">
        <v>760</v>
      </c>
      <c r="B573" s="58" t="s">
        <v>1752</v>
      </c>
      <c r="C573" s="58" t="s">
        <v>1752</v>
      </c>
      <c r="D573" s="60"/>
      <c r="E573" s="62">
        <v>1</v>
      </c>
    </row>
    <row r="574" spans="1:5" x14ac:dyDescent="0.35">
      <c r="A574" s="10" t="s">
        <v>761</v>
      </c>
      <c r="B574" s="58" t="s">
        <v>1752</v>
      </c>
      <c r="C574" s="58" t="s">
        <v>1752</v>
      </c>
      <c r="D574" s="60"/>
      <c r="E574" s="62">
        <v>1</v>
      </c>
    </row>
    <row r="575" spans="1:5" x14ac:dyDescent="0.35">
      <c r="A575" s="11" t="s">
        <v>762</v>
      </c>
      <c r="B575" s="58" t="s">
        <v>1752</v>
      </c>
      <c r="C575" s="58" t="s">
        <v>1752</v>
      </c>
      <c r="D575" s="60"/>
      <c r="E575" s="62">
        <v>1</v>
      </c>
    </row>
    <row r="576" spans="1:5" x14ac:dyDescent="0.35">
      <c r="A576" s="10" t="s">
        <v>763</v>
      </c>
      <c r="B576" s="58" t="s">
        <v>1752</v>
      </c>
      <c r="C576" s="58" t="s">
        <v>1752</v>
      </c>
      <c r="D576" s="60"/>
      <c r="E576" s="62">
        <v>1</v>
      </c>
    </row>
    <row r="577" spans="1:5" x14ac:dyDescent="0.35">
      <c r="A577" s="11" t="s">
        <v>764</v>
      </c>
      <c r="B577" s="58" t="s">
        <v>1752</v>
      </c>
      <c r="C577" s="58" t="s">
        <v>1752</v>
      </c>
      <c r="D577" s="60"/>
      <c r="E577" s="62">
        <v>1</v>
      </c>
    </row>
    <row r="578" spans="1:5" x14ac:dyDescent="0.35">
      <c r="A578" s="10" t="s">
        <v>765</v>
      </c>
      <c r="B578" s="58" t="s">
        <v>1752</v>
      </c>
      <c r="C578" s="58" t="s">
        <v>1752</v>
      </c>
      <c r="D578" s="60"/>
      <c r="E578" s="62">
        <v>1</v>
      </c>
    </row>
    <row r="579" spans="1:5" x14ac:dyDescent="0.35">
      <c r="A579" s="11" t="s">
        <v>766</v>
      </c>
      <c r="B579" s="58" t="s">
        <v>1752</v>
      </c>
      <c r="C579" s="58" t="s">
        <v>1752</v>
      </c>
      <c r="D579" s="60"/>
      <c r="E579" s="62">
        <v>1</v>
      </c>
    </row>
    <row r="580" spans="1:5" x14ac:dyDescent="0.35">
      <c r="A580" s="11" t="s">
        <v>767</v>
      </c>
      <c r="B580" s="58" t="s">
        <v>1752</v>
      </c>
      <c r="C580" s="58" t="s">
        <v>1752</v>
      </c>
      <c r="D580" s="60"/>
      <c r="E580" s="62">
        <v>1</v>
      </c>
    </row>
    <row r="581" spans="1:5" x14ac:dyDescent="0.35">
      <c r="A581" s="11" t="s">
        <v>768</v>
      </c>
      <c r="B581" s="58" t="s">
        <v>1752</v>
      </c>
      <c r="C581" s="58" t="s">
        <v>1752</v>
      </c>
      <c r="D581" s="60"/>
      <c r="E581" s="62">
        <v>1</v>
      </c>
    </row>
    <row r="582" spans="1:5" x14ac:dyDescent="0.35">
      <c r="A582" s="11" t="s">
        <v>769</v>
      </c>
      <c r="B582" s="58" t="s">
        <v>1752</v>
      </c>
      <c r="C582" s="58" t="s">
        <v>1752</v>
      </c>
      <c r="D582" s="60"/>
      <c r="E582" s="62">
        <v>1</v>
      </c>
    </row>
    <row r="583" spans="1:5" x14ac:dyDescent="0.35">
      <c r="A583" s="10" t="s">
        <v>770</v>
      </c>
      <c r="B583" s="58" t="s">
        <v>1752</v>
      </c>
      <c r="C583" s="58" t="s">
        <v>1752</v>
      </c>
      <c r="D583" s="60"/>
      <c r="E583" s="62">
        <v>1</v>
      </c>
    </row>
    <row r="584" spans="1:5" x14ac:dyDescent="0.35">
      <c r="A584" s="11" t="s">
        <v>771</v>
      </c>
      <c r="B584" s="58" t="s">
        <v>1752</v>
      </c>
      <c r="C584" s="58" t="s">
        <v>1752</v>
      </c>
      <c r="D584" s="60"/>
      <c r="E584" s="62">
        <v>1</v>
      </c>
    </row>
    <row r="585" spans="1:5" x14ac:dyDescent="0.35">
      <c r="A585" s="11" t="s">
        <v>772</v>
      </c>
      <c r="B585" s="58" t="s">
        <v>1752</v>
      </c>
      <c r="C585" s="58" t="s">
        <v>1752</v>
      </c>
      <c r="D585" s="60"/>
      <c r="E585" s="62">
        <v>1</v>
      </c>
    </row>
    <row r="586" spans="1:5" x14ac:dyDescent="0.35">
      <c r="A586" s="10" t="s">
        <v>773</v>
      </c>
      <c r="B586" s="58" t="s">
        <v>1752</v>
      </c>
      <c r="C586" s="58" t="s">
        <v>1752</v>
      </c>
      <c r="D586" s="60"/>
      <c r="E586" s="62">
        <v>1</v>
      </c>
    </row>
    <row r="587" spans="1:5" x14ac:dyDescent="0.35">
      <c r="A587" s="10" t="s">
        <v>774</v>
      </c>
      <c r="B587" s="58" t="s">
        <v>1752</v>
      </c>
      <c r="C587" s="58" t="s">
        <v>1752</v>
      </c>
      <c r="D587" s="60"/>
      <c r="E587" s="62">
        <v>1</v>
      </c>
    </row>
    <row r="588" spans="1:5" x14ac:dyDescent="0.35">
      <c r="A588" s="10" t="s">
        <v>775</v>
      </c>
      <c r="B588" s="58" t="s">
        <v>1752</v>
      </c>
      <c r="C588" s="58" t="s">
        <v>1752</v>
      </c>
      <c r="D588" s="60"/>
      <c r="E588" s="62">
        <v>1</v>
      </c>
    </row>
    <row r="589" spans="1:5" x14ac:dyDescent="0.35">
      <c r="A589" s="11" t="s">
        <v>776</v>
      </c>
      <c r="B589" s="58" t="s">
        <v>1752</v>
      </c>
      <c r="C589" s="58" t="s">
        <v>1752</v>
      </c>
      <c r="D589" s="60"/>
      <c r="E589" s="62">
        <v>1</v>
      </c>
    </row>
    <row r="590" spans="1:5" x14ac:dyDescent="0.35">
      <c r="A590" s="10" t="s">
        <v>777</v>
      </c>
      <c r="B590" s="58" t="s">
        <v>1752</v>
      </c>
      <c r="C590" s="58" t="s">
        <v>1752</v>
      </c>
      <c r="D590" s="60"/>
      <c r="E590" s="62">
        <v>1</v>
      </c>
    </row>
    <row r="591" spans="1:5" x14ac:dyDescent="0.35">
      <c r="A591" s="11" t="s">
        <v>778</v>
      </c>
      <c r="B591" s="58" t="s">
        <v>1752</v>
      </c>
      <c r="C591" s="58" t="s">
        <v>1752</v>
      </c>
      <c r="D591" s="60"/>
      <c r="E591" s="62">
        <v>1</v>
      </c>
    </row>
    <row r="592" spans="1:5" x14ac:dyDescent="0.35">
      <c r="A592" s="11" t="s">
        <v>779</v>
      </c>
      <c r="B592" s="58" t="s">
        <v>1827</v>
      </c>
      <c r="C592" s="58" t="s">
        <v>1752</v>
      </c>
      <c r="D592" s="60"/>
      <c r="E592" s="62">
        <v>1</v>
      </c>
    </row>
    <row r="593" spans="1:5" x14ac:dyDescent="0.35">
      <c r="A593" s="11" t="s">
        <v>780</v>
      </c>
      <c r="B593" s="58" t="s">
        <v>1752</v>
      </c>
      <c r="C593" s="58" t="s">
        <v>1752</v>
      </c>
      <c r="D593" s="60"/>
      <c r="E593" s="62">
        <v>1</v>
      </c>
    </row>
    <row r="594" spans="1:5" x14ac:dyDescent="0.35">
      <c r="A594" s="11" t="s">
        <v>781</v>
      </c>
      <c r="B594" s="58" t="s">
        <v>1752</v>
      </c>
      <c r="C594" s="58" t="s">
        <v>1752</v>
      </c>
      <c r="D594" s="60"/>
      <c r="E594" s="62">
        <v>1</v>
      </c>
    </row>
    <row r="595" spans="1:5" x14ac:dyDescent="0.35">
      <c r="A595" s="11" t="s">
        <v>782</v>
      </c>
      <c r="B595" s="58" t="s">
        <v>1752</v>
      </c>
      <c r="C595" s="58" t="s">
        <v>1752</v>
      </c>
      <c r="D595" s="60"/>
      <c r="E595" s="62">
        <v>1</v>
      </c>
    </row>
    <row r="596" spans="1:5" x14ac:dyDescent="0.35">
      <c r="A596" s="11" t="s">
        <v>783</v>
      </c>
      <c r="B596" s="58" t="s">
        <v>1752</v>
      </c>
      <c r="C596" s="58" t="s">
        <v>1752</v>
      </c>
      <c r="D596" s="60"/>
      <c r="E596" s="62">
        <v>1</v>
      </c>
    </row>
    <row r="597" spans="1:5" x14ac:dyDescent="0.35">
      <c r="A597" s="10" t="s">
        <v>784</v>
      </c>
      <c r="B597" s="58" t="s">
        <v>1752</v>
      </c>
      <c r="C597" s="58" t="s">
        <v>1752</v>
      </c>
      <c r="D597" s="60"/>
      <c r="E597" s="62">
        <v>1</v>
      </c>
    </row>
    <row r="598" spans="1:5" x14ac:dyDescent="0.35">
      <c r="A598" s="10" t="s">
        <v>785</v>
      </c>
      <c r="B598" s="58" t="s">
        <v>1827</v>
      </c>
      <c r="C598" s="58" t="s">
        <v>1752</v>
      </c>
      <c r="D598" s="60"/>
      <c r="E598" s="62">
        <v>1</v>
      </c>
    </row>
    <row r="599" spans="1:5" x14ac:dyDescent="0.35">
      <c r="A599" s="10" t="s">
        <v>786</v>
      </c>
      <c r="B599" s="58" t="s">
        <v>1752</v>
      </c>
      <c r="C599" s="58" t="s">
        <v>1752</v>
      </c>
      <c r="D599" s="60"/>
      <c r="E599" s="62">
        <v>1</v>
      </c>
    </row>
    <row r="600" spans="1:5" x14ac:dyDescent="0.35">
      <c r="A600" s="11" t="s">
        <v>787</v>
      </c>
      <c r="B600" s="58" t="s">
        <v>1752</v>
      </c>
      <c r="C600" s="58" t="s">
        <v>1752</v>
      </c>
      <c r="D600" s="60"/>
      <c r="E600" s="62">
        <v>1</v>
      </c>
    </row>
    <row r="601" spans="1:5" x14ac:dyDescent="0.35">
      <c r="A601" s="11" t="s">
        <v>788</v>
      </c>
      <c r="B601" s="58" t="s">
        <v>1752</v>
      </c>
      <c r="C601" s="58" t="s">
        <v>1752</v>
      </c>
      <c r="D601" s="60"/>
      <c r="E601" s="62">
        <v>1</v>
      </c>
    </row>
    <row r="602" spans="1:5" x14ac:dyDescent="0.35">
      <c r="A602" s="10" t="s">
        <v>789</v>
      </c>
      <c r="B602" s="58" t="s">
        <v>1752</v>
      </c>
      <c r="C602" s="58" t="s">
        <v>1752</v>
      </c>
      <c r="D602" s="60"/>
      <c r="E602" s="62">
        <v>1</v>
      </c>
    </row>
    <row r="603" spans="1:5" x14ac:dyDescent="0.35">
      <c r="A603" s="10" t="s">
        <v>790</v>
      </c>
      <c r="B603" s="58" t="s">
        <v>1752</v>
      </c>
      <c r="C603" s="58" t="s">
        <v>1752</v>
      </c>
      <c r="D603" s="60"/>
      <c r="E603" s="62">
        <v>1</v>
      </c>
    </row>
    <row r="604" spans="1:5" x14ac:dyDescent="0.35">
      <c r="A604" s="11" t="s">
        <v>791</v>
      </c>
      <c r="B604" s="58" t="s">
        <v>1752</v>
      </c>
      <c r="C604" s="58" t="s">
        <v>1752</v>
      </c>
      <c r="D604" s="60"/>
      <c r="E604" s="62">
        <v>1</v>
      </c>
    </row>
    <row r="605" spans="1:5" x14ac:dyDescent="0.35">
      <c r="A605" s="11" t="s">
        <v>792</v>
      </c>
      <c r="B605" s="58" t="s">
        <v>1752</v>
      </c>
      <c r="C605" s="58" t="s">
        <v>1752</v>
      </c>
      <c r="D605" s="60"/>
      <c r="E605" s="62">
        <v>1</v>
      </c>
    </row>
    <row r="606" spans="1:5" x14ac:dyDescent="0.35">
      <c r="A606" s="10" t="s">
        <v>793</v>
      </c>
      <c r="B606" s="58" t="s">
        <v>1752</v>
      </c>
      <c r="C606" s="58" t="s">
        <v>1752</v>
      </c>
      <c r="D606" s="60"/>
      <c r="E606" s="62">
        <v>1</v>
      </c>
    </row>
    <row r="607" spans="1:5" x14ac:dyDescent="0.35">
      <c r="A607" s="11" t="s">
        <v>794</v>
      </c>
      <c r="B607" s="58" t="s">
        <v>1752</v>
      </c>
      <c r="C607" s="58" t="s">
        <v>1752</v>
      </c>
      <c r="D607" s="60"/>
      <c r="E607" s="62">
        <v>1</v>
      </c>
    </row>
    <row r="608" spans="1:5" x14ac:dyDescent="0.35">
      <c r="A608" s="10" t="s">
        <v>795</v>
      </c>
      <c r="B608" s="58" t="s">
        <v>1752</v>
      </c>
      <c r="C608" s="58" t="s">
        <v>1752</v>
      </c>
      <c r="D608" s="60"/>
      <c r="E608" s="62">
        <v>1</v>
      </c>
    </row>
    <row r="609" spans="1:5" x14ac:dyDescent="0.35">
      <c r="A609" s="11" t="s">
        <v>796</v>
      </c>
      <c r="B609" s="58" t="s">
        <v>1752</v>
      </c>
      <c r="C609" s="58" t="s">
        <v>1752</v>
      </c>
      <c r="D609" s="60"/>
      <c r="E609" s="62">
        <v>1</v>
      </c>
    </row>
    <row r="610" spans="1:5" x14ac:dyDescent="0.35">
      <c r="A610" s="10" t="s">
        <v>797</v>
      </c>
      <c r="B610" s="58" t="s">
        <v>1752</v>
      </c>
      <c r="C610" s="58" t="s">
        <v>1752</v>
      </c>
      <c r="D610" s="60"/>
      <c r="E610" s="62">
        <v>1</v>
      </c>
    </row>
    <row r="611" spans="1:5" x14ac:dyDescent="0.35">
      <c r="A611" s="10" t="s">
        <v>798</v>
      </c>
      <c r="B611" s="58" t="s">
        <v>1752</v>
      </c>
      <c r="C611" s="58" t="s">
        <v>1752</v>
      </c>
      <c r="D611" s="60"/>
      <c r="E611" s="62">
        <v>1</v>
      </c>
    </row>
    <row r="612" spans="1:5" x14ac:dyDescent="0.35">
      <c r="A612" s="11" t="s">
        <v>799</v>
      </c>
      <c r="B612" s="58" t="s">
        <v>1752</v>
      </c>
      <c r="C612" s="58" t="s">
        <v>1752</v>
      </c>
      <c r="D612" s="60"/>
      <c r="E612" s="62">
        <v>1</v>
      </c>
    </row>
    <row r="613" spans="1:5" x14ac:dyDescent="0.35">
      <c r="A613" s="10" t="s">
        <v>800</v>
      </c>
      <c r="B613" s="58" t="s">
        <v>1752</v>
      </c>
      <c r="C613" s="58" t="s">
        <v>1752</v>
      </c>
      <c r="D613" s="60"/>
      <c r="E613" s="62">
        <v>1</v>
      </c>
    </row>
    <row r="614" spans="1:5" x14ac:dyDescent="0.35">
      <c r="A614" s="11" t="s">
        <v>801</v>
      </c>
      <c r="B614" s="58" t="s">
        <v>1752</v>
      </c>
      <c r="C614" s="58" t="s">
        <v>1752</v>
      </c>
      <c r="D614" s="60"/>
      <c r="E614" s="62">
        <v>1</v>
      </c>
    </row>
    <row r="615" spans="1:5" x14ac:dyDescent="0.35">
      <c r="A615" s="11" t="s">
        <v>802</v>
      </c>
      <c r="B615" s="58" t="s">
        <v>1752</v>
      </c>
      <c r="C615" s="58" t="s">
        <v>1752</v>
      </c>
      <c r="D615" s="60"/>
      <c r="E615" s="62">
        <v>1</v>
      </c>
    </row>
    <row r="616" spans="1:5" x14ac:dyDescent="0.35">
      <c r="A616" s="11" t="s">
        <v>803</v>
      </c>
      <c r="B616" s="58" t="s">
        <v>1752</v>
      </c>
      <c r="C616" s="58" t="s">
        <v>1752</v>
      </c>
      <c r="D616" s="60"/>
      <c r="E616" s="62">
        <v>1</v>
      </c>
    </row>
    <row r="617" spans="1:5" x14ac:dyDescent="0.35">
      <c r="A617" s="11" t="s">
        <v>804</v>
      </c>
      <c r="B617" s="58" t="s">
        <v>1752</v>
      </c>
      <c r="C617" s="58" t="s">
        <v>1752</v>
      </c>
      <c r="D617" s="60"/>
      <c r="E617" s="62">
        <v>1</v>
      </c>
    </row>
    <row r="618" spans="1:5" x14ac:dyDescent="0.35">
      <c r="A618" s="10" t="s">
        <v>805</v>
      </c>
      <c r="B618" s="58" t="s">
        <v>1752</v>
      </c>
      <c r="C618" s="58" t="s">
        <v>1752</v>
      </c>
      <c r="D618" s="60"/>
      <c r="E618" s="62">
        <v>1</v>
      </c>
    </row>
    <row r="619" spans="1:5" x14ac:dyDescent="0.35">
      <c r="A619" s="10" t="s">
        <v>806</v>
      </c>
      <c r="B619" s="58" t="s">
        <v>1752</v>
      </c>
      <c r="C619" s="58" t="s">
        <v>1752</v>
      </c>
      <c r="D619" s="60"/>
      <c r="E619" s="62">
        <v>1</v>
      </c>
    </row>
    <row r="620" spans="1:5" x14ac:dyDescent="0.35">
      <c r="A620" s="10" t="s">
        <v>807</v>
      </c>
      <c r="B620" s="58" t="s">
        <v>1752</v>
      </c>
      <c r="C620" s="58" t="s">
        <v>1752</v>
      </c>
      <c r="D620" s="60"/>
      <c r="E620" s="62">
        <v>1</v>
      </c>
    </row>
    <row r="621" spans="1:5" x14ac:dyDescent="0.35">
      <c r="A621" s="11" t="s">
        <v>808</v>
      </c>
      <c r="B621" s="58" t="s">
        <v>1752</v>
      </c>
      <c r="C621" s="58" t="s">
        <v>1752</v>
      </c>
      <c r="D621" s="60"/>
      <c r="E621" s="62">
        <v>1</v>
      </c>
    </row>
    <row r="622" spans="1:5" x14ac:dyDescent="0.35">
      <c r="A622" s="10" t="s">
        <v>809</v>
      </c>
      <c r="B622" s="58" t="s">
        <v>1752</v>
      </c>
      <c r="C622" s="58" t="s">
        <v>1752</v>
      </c>
      <c r="D622" s="60"/>
      <c r="E622" s="62">
        <v>1</v>
      </c>
    </row>
    <row r="623" spans="1:5" x14ac:dyDescent="0.35">
      <c r="A623" s="10" t="s">
        <v>810</v>
      </c>
      <c r="B623" s="58" t="s">
        <v>1752</v>
      </c>
      <c r="C623" s="58" t="s">
        <v>1752</v>
      </c>
      <c r="D623" s="60"/>
      <c r="E623" s="62">
        <v>1</v>
      </c>
    </row>
    <row r="624" spans="1:5" x14ac:dyDescent="0.35">
      <c r="A624" s="11" t="s">
        <v>811</v>
      </c>
      <c r="B624" s="58" t="s">
        <v>1752</v>
      </c>
      <c r="C624" s="58" t="s">
        <v>1752</v>
      </c>
      <c r="D624" s="60"/>
      <c r="E624" s="62">
        <v>1</v>
      </c>
    </row>
    <row r="625" spans="1:5" x14ac:dyDescent="0.35">
      <c r="A625" s="11" t="s">
        <v>812</v>
      </c>
      <c r="B625" s="58" t="s">
        <v>1752</v>
      </c>
      <c r="C625" s="58" t="s">
        <v>1752</v>
      </c>
      <c r="D625" s="60"/>
      <c r="E625" s="62">
        <v>1</v>
      </c>
    </row>
    <row r="626" spans="1:5" x14ac:dyDescent="0.35">
      <c r="A626" s="11" t="s">
        <v>813</v>
      </c>
      <c r="B626" s="58" t="s">
        <v>1752</v>
      </c>
      <c r="C626" s="58" t="s">
        <v>1752</v>
      </c>
      <c r="D626" s="60"/>
      <c r="E626" s="62">
        <v>1</v>
      </c>
    </row>
    <row r="627" spans="1:5" x14ac:dyDescent="0.35">
      <c r="A627" s="10" t="s">
        <v>814</v>
      </c>
      <c r="B627" s="58" t="s">
        <v>1752</v>
      </c>
      <c r="C627" s="58" t="s">
        <v>1752</v>
      </c>
      <c r="D627" s="60"/>
      <c r="E627" s="62">
        <v>1</v>
      </c>
    </row>
    <row r="628" spans="1:5" x14ac:dyDescent="0.35">
      <c r="A628" s="10" t="s">
        <v>815</v>
      </c>
      <c r="B628" s="58" t="s">
        <v>1752</v>
      </c>
      <c r="C628" s="58" t="s">
        <v>1752</v>
      </c>
      <c r="D628" s="60"/>
      <c r="E628" s="62">
        <v>1</v>
      </c>
    </row>
    <row r="629" spans="1:5" x14ac:dyDescent="0.35">
      <c r="A629" s="10" t="s">
        <v>816</v>
      </c>
      <c r="B629" s="58" t="s">
        <v>1752</v>
      </c>
      <c r="C629" s="58" t="s">
        <v>1752</v>
      </c>
      <c r="D629" s="60"/>
      <c r="E629" s="62">
        <v>1</v>
      </c>
    </row>
    <row r="630" spans="1:5" x14ac:dyDescent="0.35">
      <c r="A630" s="11" t="s">
        <v>817</v>
      </c>
      <c r="B630" s="58" t="s">
        <v>1752</v>
      </c>
      <c r="C630" s="58" t="s">
        <v>1752</v>
      </c>
      <c r="D630" s="60"/>
      <c r="E630" s="62">
        <v>1</v>
      </c>
    </row>
    <row r="631" spans="1:5" x14ac:dyDescent="0.35">
      <c r="A631" s="10" t="s">
        <v>818</v>
      </c>
      <c r="B631" s="58" t="s">
        <v>1752</v>
      </c>
      <c r="C631" s="58" t="s">
        <v>1752</v>
      </c>
      <c r="D631" s="60"/>
      <c r="E631" s="62">
        <v>1</v>
      </c>
    </row>
    <row r="632" spans="1:5" x14ac:dyDescent="0.35">
      <c r="A632" s="11" t="s">
        <v>819</v>
      </c>
      <c r="B632" s="58" t="s">
        <v>1752</v>
      </c>
      <c r="C632" s="58" t="s">
        <v>1752</v>
      </c>
      <c r="D632" s="60"/>
      <c r="E632" s="62">
        <v>1</v>
      </c>
    </row>
    <row r="633" spans="1:5" x14ac:dyDescent="0.35">
      <c r="A633" s="11" t="s">
        <v>820</v>
      </c>
      <c r="B633" s="58" t="s">
        <v>1752</v>
      </c>
      <c r="C633" s="58" t="s">
        <v>1752</v>
      </c>
      <c r="D633" s="60"/>
      <c r="E633" s="62">
        <v>1</v>
      </c>
    </row>
    <row r="634" spans="1:5" x14ac:dyDescent="0.35">
      <c r="A634" s="11" t="s">
        <v>821</v>
      </c>
      <c r="B634" s="58" t="s">
        <v>1752</v>
      </c>
      <c r="C634" s="58" t="s">
        <v>1752</v>
      </c>
      <c r="D634" s="60"/>
      <c r="E634" s="62">
        <v>1</v>
      </c>
    </row>
    <row r="635" spans="1:5" x14ac:dyDescent="0.35">
      <c r="A635" s="11" t="s">
        <v>822</v>
      </c>
      <c r="B635" s="58" t="s">
        <v>1752</v>
      </c>
      <c r="C635" s="58" t="s">
        <v>1752</v>
      </c>
      <c r="D635" s="60"/>
      <c r="E635" s="62">
        <v>1</v>
      </c>
    </row>
    <row r="636" spans="1:5" x14ac:dyDescent="0.35">
      <c r="A636" s="11" t="s">
        <v>823</v>
      </c>
      <c r="B636" s="58" t="s">
        <v>1752</v>
      </c>
      <c r="C636" s="58" t="s">
        <v>1752</v>
      </c>
      <c r="D636" s="60"/>
      <c r="E636" s="62">
        <v>1</v>
      </c>
    </row>
    <row r="637" spans="1:5" x14ac:dyDescent="0.35">
      <c r="A637" s="10" t="s">
        <v>824</v>
      </c>
      <c r="B637" s="58" t="s">
        <v>1752</v>
      </c>
      <c r="C637" s="58" t="s">
        <v>1752</v>
      </c>
      <c r="D637" s="60"/>
      <c r="E637" s="62">
        <v>1</v>
      </c>
    </row>
    <row r="638" spans="1:5" x14ac:dyDescent="0.35">
      <c r="A638" s="11" t="s">
        <v>825</v>
      </c>
      <c r="B638" s="58" t="s">
        <v>1752</v>
      </c>
      <c r="C638" s="58" t="s">
        <v>1752</v>
      </c>
      <c r="D638" s="60"/>
      <c r="E638" s="62">
        <v>1</v>
      </c>
    </row>
    <row r="639" spans="1:5" x14ac:dyDescent="0.35">
      <c r="A639" s="10" t="s">
        <v>826</v>
      </c>
      <c r="B639" s="58" t="s">
        <v>1752</v>
      </c>
      <c r="C639" s="58" t="s">
        <v>1752</v>
      </c>
      <c r="D639" s="60"/>
      <c r="E639" s="62">
        <v>1</v>
      </c>
    </row>
    <row r="640" spans="1:5" x14ac:dyDescent="0.35">
      <c r="A640" s="10" t="s">
        <v>827</v>
      </c>
      <c r="B640" s="58" t="s">
        <v>1752</v>
      </c>
      <c r="C640" s="58" t="s">
        <v>1752</v>
      </c>
      <c r="D640" s="60"/>
      <c r="E640" s="62">
        <v>1</v>
      </c>
    </row>
    <row r="641" spans="1:5" x14ac:dyDescent="0.35">
      <c r="A641" s="10" t="s">
        <v>828</v>
      </c>
      <c r="B641" s="58" t="s">
        <v>1752</v>
      </c>
      <c r="C641" s="58" t="s">
        <v>1752</v>
      </c>
      <c r="D641" s="60"/>
      <c r="E641" s="62">
        <v>1</v>
      </c>
    </row>
    <row r="642" spans="1:5" x14ac:dyDescent="0.35">
      <c r="A642" s="10" t="s">
        <v>829</v>
      </c>
      <c r="B642" s="58" t="s">
        <v>1752</v>
      </c>
      <c r="C642" s="58" t="s">
        <v>1752</v>
      </c>
      <c r="D642" s="60"/>
      <c r="E642" s="62">
        <v>1</v>
      </c>
    </row>
    <row r="643" spans="1:5" x14ac:dyDescent="0.35">
      <c r="A643" s="10" t="s">
        <v>830</v>
      </c>
      <c r="B643" s="58" t="s">
        <v>1752</v>
      </c>
      <c r="C643" s="58" t="s">
        <v>1752</v>
      </c>
      <c r="D643" s="60"/>
      <c r="E643" s="62">
        <v>1</v>
      </c>
    </row>
    <row r="644" spans="1:5" x14ac:dyDescent="0.35">
      <c r="A644" s="11" t="s">
        <v>831</v>
      </c>
      <c r="B644" s="58" t="s">
        <v>1752</v>
      </c>
      <c r="C644" s="58" t="s">
        <v>1752</v>
      </c>
      <c r="D644" s="60"/>
      <c r="E644" s="62">
        <v>1</v>
      </c>
    </row>
    <row r="645" spans="1:5" x14ac:dyDescent="0.35">
      <c r="A645" s="10" t="s">
        <v>832</v>
      </c>
      <c r="B645" s="58" t="s">
        <v>1752</v>
      </c>
      <c r="C645" s="58" t="s">
        <v>1752</v>
      </c>
      <c r="D645" s="60"/>
      <c r="E645" s="62">
        <v>1</v>
      </c>
    </row>
    <row r="646" spans="1:5" x14ac:dyDescent="0.35">
      <c r="A646" s="11" t="s">
        <v>833</v>
      </c>
      <c r="B646" s="58" t="s">
        <v>1752</v>
      </c>
      <c r="C646" s="58" t="s">
        <v>1752</v>
      </c>
      <c r="D646" s="60"/>
      <c r="E646" s="62">
        <v>1</v>
      </c>
    </row>
    <row r="647" spans="1:5" x14ac:dyDescent="0.35">
      <c r="A647" s="11" t="s">
        <v>834</v>
      </c>
      <c r="B647" s="58" t="s">
        <v>1752</v>
      </c>
      <c r="C647" s="58" t="s">
        <v>1752</v>
      </c>
      <c r="D647" s="60"/>
      <c r="E647" s="62">
        <v>1</v>
      </c>
    </row>
    <row r="648" spans="1:5" x14ac:dyDescent="0.35">
      <c r="A648" s="10" t="s">
        <v>835</v>
      </c>
      <c r="B648" s="58" t="s">
        <v>1752</v>
      </c>
      <c r="C648" s="58" t="s">
        <v>1752</v>
      </c>
      <c r="D648" s="60"/>
      <c r="E648" s="62">
        <v>1</v>
      </c>
    </row>
    <row r="649" spans="1:5" x14ac:dyDescent="0.35">
      <c r="A649" s="10" t="s">
        <v>836</v>
      </c>
      <c r="B649" s="58" t="s">
        <v>1752</v>
      </c>
      <c r="C649" s="58" t="s">
        <v>1752</v>
      </c>
      <c r="D649" s="60"/>
      <c r="E649" s="62">
        <v>1</v>
      </c>
    </row>
    <row r="650" spans="1:5" x14ac:dyDescent="0.35">
      <c r="A650" s="11" t="s">
        <v>837</v>
      </c>
      <c r="B650" s="58" t="s">
        <v>1752</v>
      </c>
      <c r="C650" s="58" t="s">
        <v>1752</v>
      </c>
      <c r="D650" s="60"/>
      <c r="E650" s="62">
        <v>1</v>
      </c>
    </row>
    <row r="651" spans="1:5" x14ac:dyDescent="0.35">
      <c r="A651" s="10" t="s">
        <v>838</v>
      </c>
      <c r="B651" s="58" t="s">
        <v>1752</v>
      </c>
      <c r="C651" s="58" t="s">
        <v>1752</v>
      </c>
      <c r="D651" s="60"/>
      <c r="E651" s="62">
        <v>1</v>
      </c>
    </row>
    <row r="652" spans="1:5" x14ac:dyDescent="0.35">
      <c r="A652" s="11" t="s">
        <v>839</v>
      </c>
      <c r="B652" s="58" t="s">
        <v>1752</v>
      </c>
      <c r="C652" s="58" t="s">
        <v>1752</v>
      </c>
      <c r="D652" s="60"/>
      <c r="E652" s="62">
        <v>1</v>
      </c>
    </row>
    <row r="653" spans="1:5" x14ac:dyDescent="0.35">
      <c r="A653" s="11" t="s">
        <v>840</v>
      </c>
      <c r="B653" s="58" t="s">
        <v>1752</v>
      </c>
      <c r="C653" s="58" t="s">
        <v>1752</v>
      </c>
      <c r="D653" s="60"/>
      <c r="E653" s="62">
        <v>1</v>
      </c>
    </row>
    <row r="654" spans="1:5" x14ac:dyDescent="0.35">
      <c r="A654" s="11" t="s">
        <v>841</v>
      </c>
      <c r="B654" s="58" t="s">
        <v>1752</v>
      </c>
      <c r="C654" s="58" t="s">
        <v>1752</v>
      </c>
      <c r="D654" s="60"/>
      <c r="E654" s="62">
        <v>1</v>
      </c>
    </row>
    <row r="655" spans="1:5" x14ac:dyDescent="0.35">
      <c r="A655" s="11" t="s">
        <v>842</v>
      </c>
      <c r="B655" s="58" t="s">
        <v>1752</v>
      </c>
      <c r="C655" s="58" t="s">
        <v>1752</v>
      </c>
      <c r="D655" s="60"/>
      <c r="E655" s="62">
        <v>1</v>
      </c>
    </row>
    <row r="656" spans="1:5" x14ac:dyDescent="0.35">
      <c r="A656" s="10" t="s">
        <v>843</v>
      </c>
      <c r="B656" s="58" t="s">
        <v>1752</v>
      </c>
      <c r="C656" s="58" t="s">
        <v>1752</v>
      </c>
      <c r="D656" s="60"/>
      <c r="E656" s="62">
        <v>1</v>
      </c>
    </row>
    <row r="657" spans="1:5" x14ac:dyDescent="0.35">
      <c r="A657" s="10" t="s">
        <v>844</v>
      </c>
      <c r="B657" s="58" t="s">
        <v>1752</v>
      </c>
      <c r="C657" s="58" t="s">
        <v>1752</v>
      </c>
      <c r="D657" s="60"/>
      <c r="E657" s="62">
        <v>1</v>
      </c>
    </row>
    <row r="658" spans="1:5" x14ac:dyDescent="0.35">
      <c r="A658" s="11" t="s">
        <v>845</v>
      </c>
      <c r="B658" s="58" t="s">
        <v>1752</v>
      </c>
      <c r="C658" s="58" t="s">
        <v>1752</v>
      </c>
      <c r="D658" s="60"/>
      <c r="E658" s="62">
        <v>1</v>
      </c>
    </row>
    <row r="659" spans="1:5" x14ac:dyDescent="0.35">
      <c r="A659" s="10" t="s">
        <v>846</v>
      </c>
      <c r="B659" s="58" t="s">
        <v>1752</v>
      </c>
      <c r="C659" s="58" t="s">
        <v>1752</v>
      </c>
      <c r="D659" s="60"/>
      <c r="E659" s="62">
        <v>1</v>
      </c>
    </row>
    <row r="660" spans="1:5" x14ac:dyDescent="0.35">
      <c r="A660" s="10" t="s">
        <v>847</v>
      </c>
      <c r="B660" s="58" t="s">
        <v>1752</v>
      </c>
      <c r="C660" s="58" t="s">
        <v>1752</v>
      </c>
      <c r="D660" s="60"/>
      <c r="E660" s="62">
        <v>1</v>
      </c>
    </row>
    <row r="661" spans="1:5" x14ac:dyDescent="0.35">
      <c r="A661" s="10" t="s">
        <v>848</v>
      </c>
      <c r="B661" s="58" t="s">
        <v>1752</v>
      </c>
      <c r="C661" s="58" t="s">
        <v>1752</v>
      </c>
      <c r="D661" s="60"/>
      <c r="E661" s="62">
        <v>1</v>
      </c>
    </row>
    <row r="662" spans="1:5" x14ac:dyDescent="0.35">
      <c r="A662" s="11" t="s">
        <v>849</v>
      </c>
      <c r="B662" s="58" t="s">
        <v>1752</v>
      </c>
      <c r="C662" s="58" t="s">
        <v>1752</v>
      </c>
      <c r="D662" s="60"/>
      <c r="E662" s="62">
        <v>1</v>
      </c>
    </row>
    <row r="663" spans="1:5" x14ac:dyDescent="0.35">
      <c r="A663" s="10" t="s">
        <v>850</v>
      </c>
      <c r="B663" s="58" t="s">
        <v>1752</v>
      </c>
      <c r="C663" s="58" t="s">
        <v>1752</v>
      </c>
      <c r="D663" s="60"/>
      <c r="E663" s="62">
        <v>1</v>
      </c>
    </row>
    <row r="664" spans="1:5" x14ac:dyDescent="0.35">
      <c r="A664" s="10" t="s">
        <v>851</v>
      </c>
      <c r="B664" s="58" t="s">
        <v>1752</v>
      </c>
      <c r="C664" s="58" t="s">
        <v>1752</v>
      </c>
      <c r="D664" s="60"/>
      <c r="E664" s="62">
        <v>1</v>
      </c>
    </row>
    <row r="665" spans="1:5" x14ac:dyDescent="0.35">
      <c r="A665" s="11" t="s">
        <v>852</v>
      </c>
      <c r="B665" s="58" t="s">
        <v>1752</v>
      </c>
      <c r="C665" s="58" t="s">
        <v>1752</v>
      </c>
      <c r="D665" s="60"/>
      <c r="E665" s="62">
        <v>1</v>
      </c>
    </row>
    <row r="666" spans="1:5" x14ac:dyDescent="0.35">
      <c r="A666" s="10" t="s">
        <v>853</v>
      </c>
      <c r="B666" s="58" t="s">
        <v>1752</v>
      </c>
      <c r="C666" s="58" t="s">
        <v>1752</v>
      </c>
      <c r="D666" s="60"/>
      <c r="E666" s="62">
        <v>1</v>
      </c>
    </row>
    <row r="667" spans="1:5" x14ac:dyDescent="0.35">
      <c r="A667" s="10" t="s">
        <v>854</v>
      </c>
      <c r="B667" s="58" t="s">
        <v>1752</v>
      </c>
      <c r="C667" s="58" t="s">
        <v>1752</v>
      </c>
      <c r="D667" s="60"/>
      <c r="E667" s="62">
        <v>1</v>
      </c>
    </row>
    <row r="668" spans="1:5" x14ac:dyDescent="0.35">
      <c r="A668" s="10" t="s">
        <v>855</v>
      </c>
      <c r="B668" s="58" t="s">
        <v>1752</v>
      </c>
      <c r="C668" s="58" t="s">
        <v>1752</v>
      </c>
      <c r="D668" s="60"/>
      <c r="E668" s="62">
        <v>1</v>
      </c>
    </row>
    <row r="669" spans="1:5" x14ac:dyDescent="0.35">
      <c r="A669" s="10" t="s">
        <v>856</v>
      </c>
      <c r="B669" s="58" t="s">
        <v>1752</v>
      </c>
      <c r="C669" s="58" t="s">
        <v>1752</v>
      </c>
      <c r="D669" s="60"/>
      <c r="E669" s="62">
        <v>1</v>
      </c>
    </row>
    <row r="670" spans="1:5" x14ac:dyDescent="0.35">
      <c r="A670" s="11" t="s">
        <v>857</v>
      </c>
      <c r="B670" s="58" t="s">
        <v>1827</v>
      </c>
      <c r="C670" s="58" t="s">
        <v>1752</v>
      </c>
      <c r="D670" s="60"/>
      <c r="E670" s="62">
        <v>1</v>
      </c>
    </row>
    <row r="671" spans="1:5" x14ac:dyDescent="0.35">
      <c r="A671" s="10" t="s">
        <v>858</v>
      </c>
      <c r="B671" s="58" t="s">
        <v>1752</v>
      </c>
      <c r="C671" s="58" t="s">
        <v>1752</v>
      </c>
      <c r="D671" s="60"/>
      <c r="E671" s="62">
        <v>1</v>
      </c>
    </row>
    <row r="672" spans="1:5" x14ac:dyDescent="0.35">
      <c r="A672" s="11" t="s">
        <v>859</v>
      </c>
      <c r="B672" s="58" t="s">
        <v>1752</v>
      </c>
      <c r="C672" s="58" t="s">
        <v>1752</v>
      </c>
      <c r="D672" s="60"/>
      <c r="E672" s="62">
        <v>1</v>
      </c>
    </row>
    <row r="673" spans="1:5" x14ac:dyDescent="0.35">
      <c r="A673" s="10" t="s">
        <v>860</v>
      </c>
      <c r="B673" s="58" t="s">
        <v>1752</v>
      </c>
      <c r="C673" s="58" t="s">
        <v>1752</v>
      </c>
      <c r="D673" s="60"/>
      <c r="E673" s="62">
        <v>1</v>
      </c>
    </row>
    <row r="674" spans="1:5" x14ac:dyDescent="0.35">
      <c r="A674" s="11" t="s">
        <v>861</v>
      </c>
      <c r="B674" s="58" t="s">
        <v>1752</v>
      </c>
      <c r="C674" s="58" t="s">
        <v>1752</v>
      </c>
      <c r="D674" s="60"/>
      <c r="E674" s="62">
        <v>1</v>
      </c>
    </row>
    <row r="675" spans="1:5" x14ac:dyDescent="0.35">
      <c r="A675" s="11" t="s">
        <v>862</v>
      </c>
      <c r="B675" s="58" t="s">
        <v>1752</v>
      </c>
      <c r="C675" s="58" t="s">
        <v>1752</v>
      </c>
      <c r="D675" s="60"/>
      <c r="E675" s="62">
        <v>1</v>
      </c>
    </row>
    <row r="676" spans="1:5" x14ac:dyDescent="0.35">
      <c r="A676" s="11" t="s">
        <v>863</v>
      </c>
      <c r="B676" s="58" t="s">
        <v>1752</v>
      </c>
      <c r="C676" s="58" t="s">
        <v>1752</v>
      </c>
      <c r="D676" s="60"/>
      <c r="E676" s="62">
        <v>1</v>
      </c>
    </row>
    <row r="677" spans="1:5" x14ac:dyDescent="0.35">
      <c r="A677" s="10" t="s">
        <v>864</v>
      </c>
      <c r="B677" s="58" t="s">
        <v>1752</v>
      </c>
      <c r="C677" s="58" t="s">
        <v>1752</v>
      </c>
      <c r="D677" s="60"/>
      <c r="E677" s="62">
        <v>1</v>
      </c>
    </row>
    <row r="678" spans="1:5" x14ac:dyDescent="0.35">
      <c r="A678" s="10" t="s">
        <v>865</v>
      </c>
      <c r="B678" s="58" t="s">
        <v>1752</v>
      </c>
      <c r="C678" s="58" t="s">
        <v>1752</v>
      </c>
      <c r="D678" s="60"/>
      <c r="E678" s="62">
        <v>1</v>
      </c>
    </row>
    <row r="679" spans="1:5" x14ac:dyDescent="0.35">
      <c r="A679" s="10" t="s">
        <v>866</v>
      </c>
      <c r="B679" s="58" t="s">
        <v>1752</v>
      </c>
      <c r="C679" s="58" t="s">
        <v>1752</v>
      </c>
      <c r="D679" s="60"/>
      <c r="E679" s="62">
        <v>1</v>
      </c>
    </row>
    <row r="680" spans="1:5" x14ac:dyDescent="0.35">
      <c r="A680" s="10" t="s">
        <v>867</v>
      </c>
      <c r="B680" s="58" t="s">
        <v>1752</v>
      </c>
      <c r="C680" s="58" t="s">
        <v>1752</v>
      </c>
      <c r="D680" s="60"/>
      <c r="E680" s="62">
        <v>1</v>
      </c>
    </row>
    <row r="681" spans="1:5" x14ac:dyDescent="0.35">
      <c r="A681" s="11" t="s">
        <v>868</v>
      </c>
      <c r="B681" s="58" t="s">
        <v>1752</v>
      </c>
      <c r="C681" s="58" t="s">
        <v>1752</v>
      </c>
      <c r="D681" s="60"/>
      <c r="E681" s="62">
        <v>1</v>
      </c>
    </row>
    <row r="682" spans="1:5" x14ac:dyDescent="0.35">
      <c r="A682" s="10" t="s">
        <v>869</v>
      </c>
      <c r="B682" s="58" t="s">
        <v>1752</v>
      </c>
      <c r="C682" s="58" t="s">
        <v>1752</v>
      </c>
      <c r="D682" s="60"/>
      <c r="E682" s="62">
        <v>1</v>
      </c>
    </row>
    <row r="683" spans="1:5" x14ac:dyDescent="0.35">
      <c r="A683" s="11" t="s">
        <v>870</v>
      </c>
      <c r="B683" s="58" t="s">
        <v>1752</v>
      </c>
      <c r="C683" s="58" t="s">
        <v>1752</v>
      </c>
      <c r="D683" s="60"/>
      <c r="E683" s="62">
        <v>1</v>
      </c>
    </row>
    <row r="684" spans="1:5" x14ac:dyDescent="0.35">
      <c r="A684" s="11" t="s">
        <v>871</v>
      </c>
      <c r="B684" s="58" t="s">
        <v>1752</v>
      </c>
      <c r="C684" s="58" t="s">
        <v>1752</v>
      </c>
      <c r="D684" s="60"/>
      <c r="E684" s="62">
        <v>1</v>
      </c>
    </row>
    <row r="685" spans="1:5" x14ac:dyDescent="0.35">
      <c r="A685" s="11" t="s">
        <v>872</v>
      </c>
      <c r="B685" s="58" t="s">
        <v>1752</v>
      </c>
      <c r="C685" s="58" t="s">
        <v>1752</v>
      </c>
      <c r="D685" s="60"/>
      <c r="E685" s="62">
        <v>1</v>
      </c>
    </row>
    <row r="686" spans="1:5" x14ac:dyDescent="0.35">
      <c r="A686" s="11" t="s">
        <v>873</v>
      </c>
      <c r="B686" s="58" t="s">
        <v>1752</v>
      </c>
      <c r="C686" s="58" t="s">
        <v>1752</v>
      </c>
      <c r="D686" s="60"/>
      <c r="E686" s="62">
        <v>1</v>
      </c>
    </row>
    <row r="687" spans="1:5" x14ac:dyDescent="0.35">
      <c r="A687" s="10" t="s">
        <v>874</v>
      </c>
      <c r="B687" s="58" t="s">
        <v>1752</v>
      </c>
      <c r="C687" s="58" t="s">
        <v>1752</v>
      </c>
      <c r="D687" s="60"/>
      <c r="E687" s="62">
        <v>1</v>
      </c>
    </row>
    <row r="688" spans="1:5" x14ac:dyDescent="0.35">
      <c r="A688" s="11" t="s">
        <v>875</v>
      </c>
      <c r="B688" s="58" t="s">
        <v>1752</v>
      </c>
      <c r="C688" s="58" t="s">
        <v>1752</v>
      </c>
      <c r="D688" s="60"/>
      <c r="E688" s="62">
        <v>1</v>
      </c>
    </row>
    <row r="689" spans="1:5" x14ac:dyDescent="0.35">
      <c r="A689" s="11" t="s">
        <v>876</v>
      </c>
      <c r="B689" s="58" t="s">
        <v>1752</v>
      </c>
      <c r="C689" s="58" t="s">
        <v>1752</v>
      </c>
      <c r="D689" s="60"/>
      <c r="E689" s="62">
        <v>1</v>
      </c>
    </row>
    <row r="690" spans="1:5" x14ac:dyDescent="0.35">
      <c r="A690" s="11" t="s">
        <v>877</v>
      </c>
      <c r="B690" s="58" t="s">
        <v>1752</v>
      </c>
      <c r="C690" s="58" t="s">
        <v>1752</v>
      </c>
      <c r="D690" s="60"/>
      <c r="E690" s="62">
        <v>1</v>
      </c>
    </row>
    <row r="691" spans="1:5" x14ac:dyDescent="0.35">
      <c r="A691" s="10" t="s">
        <v>878</v>
      </c>
      <c r="B691" s="58" t="s">
        <v>1752</v>
      </c>
      <c r="C691" s="58" t="s">
        <v>1752</v>
      </c>
      <c r="D691" s="60"/>
      <c r="E691" s="62">
        <v>1</v>
      </c>
    </row>
    <row r="692" spans="1:5" x14ac:dyDescent="0.35">
      <c r="A692" s="10" t="s">
        <v>879</v>
      </c>
      <c r="B692" s="58" t="s">
        <v>1752</v>
      </c>
      <c r="C692" s="58" t="s">
        <v>1752</v>
      </c>
      <c r="D692" s="60"/>
      <c r="E692" s="62">
        <v>1</v>
      </c>
    </row>
    <row r="693" spans="1:5" x14ac:dyDescent="0.35">
      <c r="A693" s="11" t="s">
        <v>880</v>
      </c>
      <c r="B693" s="58" t="s">
        <v>1752</v>
      </c>
      <c r="C693" s="58" t="s">
        <v>1752</v>
      </c>
      <c r="D693" s="60"/>
      <c r="E693" s="62">
        <v>1</v>
      </c>
    </row>
    <row r="694" spans="1:5" x14ac:dyDescent="0.35">
      <c r="A694" s="11" t="s">
        <v>881</v>
      </c>
      <c r="B694" s="58" t="s">
        <v>1752</v>
      </c>
      <c r="C694" s="58" t="s">
        <v>1752</v>
      </c>
      <c r="D694" s="60"/>
      <c r="E694" s="62">
        <v>1</v>
      </c>
    </row>
    <row r="695" spans="1:5" x14ac:dyDescent="0.35">
      <c r="A695" s="10" t="s">
        <v>882</v>
      </c>
      <c r="B695" s="58" t="s">
        <v>1752</v>
      </c>
      <c r="C695" s="58" t="s">
        <v>1752</v>
      </c>
      <c r="D695" s="60"/>
      <c r="E695" s="62">
        <v>1</v>
      </c>
    </row>
    <row r="696" spans="1:5" x14ac:dyDescent="0.35">
      <c r="A696" s="10" t="s">
        <v>883</v>
      </c>
      <c r="B696" s="58" t="s">
        <v>1752</v>
      </c>
      <c r="C696" s="58" t="s">
        <v>1752</v>
      </c>
      <c r="D696" s="60"/>
      <c r="E696" s="62">
        <v>1</v>
      </c>
    </row>
    <row r="697" spans="1:5" x14ac:dyDescent="0.35">
      <c r="A697" s="11" t="s">
        <v>884</v>
      </c>
      <c r="B697" s="58" t="s">
        <v>1752</v>
      </c>
      <c r="C697" s="58" t="s">
        <v>1752</v>
      </c>
      <c r="D697" s="60"/>
      <c r="E697" s="62">
        <v>1</v>
      </c>
    </row>
    <row r="698" spans="1:5" x14ac:dyDescent="0.35">
      <c r="A698" s="10" t="s">
        <v>885</v>
      </c>
      <c r="B698" s="58" t="s">
        <v>1752</v>
      </c>
      <c r="C698" s="58" t="s">
        <v>1752</v>
      </c>
      <c r="D698" s="60"/>
      <c r="E698" s="62">
        <v>1</v>
      </c>
    </row>
    <row r="699" spans="1:5" x14ac:dyDescent="0.35">
      <c r="A699" s="11" t="s">
        <v>886</v>
      </c>
      <c r="B699" s="58" t="s">
        <v>1752</v>
      </c>
      <c r="C699" s="58" t="s">
        <v>1752</v>
      </c>
      <c r="D699" s="60"/>
      <c r="E699" s="62">
        <v>1</v>
      </c>
    </row>
    <row r="700" spans="1:5" x14ac:dyDescent="0.35">
      <c r="A700" s="11" t="s">
        <v>887</v>
      </c>
      <c r="B700" s="58" t="s">
        <v>1752</v>
      </c>
      <c r="C700" s="58" t="s">
        <v>1752</v>
      </c>
      <c r="D700" s="60"/>
      <c r="E700" s="62">
        <v>1</v>
      </c>
    </row>
    <row r="701" spans="1:5" x14ac:dyDescent="0.35">
      <c r="A701" s="11" t="s">
        <v>888</v>
      </c>
      <c r="B701" s="58" t="s">
        <v>1752</v>
      </c>
      <c r="C701" s="58" t="s">
        <v>1752</v>
      </c>
      <c r="D701" s="60"/>
      <c r="E701" s="62">
        <v>1</v>
      </c>
    </row>
    <row r="702" spans="1:5" x14ac:dyDescent="0.35">
      <c r="A702" s="11" t="s">
        <v>889</v>
      </c>
      <c r="B702" s="58" t="s">
        <v>1752</v>
      </c>
      <c r="C702" s="58" t="s">
        <v>1752</v>
      </c>
      <c r="D702" s="60"/>
      <c r="E702" s="62">
        <v>1</v>
      </c>
    </row>
    <row r="703" spans="1:5" x14ac:dyDescent="0.35">
      <c r="A703" s="10" t="s">
        <v>890</v>
      </c>
      <c r="B703" s="58" t="s">
        <v>1752</v>
      </c>
      <c r="C703" s="58" t="s">
        <v>1752</v>
      </c>
      <c r="D703" s="60"/>
      <c r="E703" s="62">
        <v>1</v>
      </c>
    </row>
    <row r="704" spans="1:5" x14ac:dyDescent="0.35">
      <c r="A704" s="11" t="s">
        <v>891</v>
      </c>
      <c r="B704" s="58" t="s">
        <v>1752</v>
      </c>
      <c r="C704" s="58" t="s">
        <v>1752</v>
      </c>
      <c r="D704" s="60"/>
      <c r="E704" s="62">
        <v>1</v>
      </c>
    </row>
    <row r="705" spans="1:5" x14ac:dyDescent="0.35">
      <c r="A705" s="11" t="s">
        <v>892</v>
      </c>
      <c r="B705" s="58" t="s">
        <v>1752</v>
      </c>
      <c r="C705" s="58" t="s">
        <v>1752</v>
      </c>
      <c r="D705" s="60"/>
      <c r="E705" s="62">
        <v>1</v>
      </c>
    </row>
    <row r="706" spans="1:5" x14ac:dyDescent="0.35">
      <c r="A706" s="10" t="s">
        <v>893</v>
      </c>
      <c r="B706" s="58" t="s">
        <v>1752</v>
      </c>
      <c r="C706" s="58" t="s">
        <v>1752</v>
      </c>
      <c r="D706" s="60"/>
      <c r="E706" s="62">
        <v>1</v>
      </c>
    </row>
    <row r="707" spans="1:5" x14ac:dyDescent="0.35">
      <c r="A707" s="11" t="s">
        <v>894</v>
      </c>
      <c r="B707" s="58" t="s">
        <v>1752</v>
      </c>
      <c r="C707" s="58" t="s">
        <v>1752</v>
      </c>
      <c r="D707" s="60"/>
      <c r="E707" s="62">
        <v>1</v>
      </c>
    </row>
    <row r="708" spans="1:5" x14ac:dyDescent="0.35">
      <c r="A708" s="10" t="s">
        <v>895</v>
      </c>
      <c r="B708" s="58" t="s">
        <v>1752</v>
      </c>
      <c r="C708" s="58" t="s">
        <v>1752</v>
      </c>
      <c r="D708" s="60"/>
      <c r="E708" s="62">
        <v>1</v>
      </c>
    </row>
    <row r="709" spans="1:5" x14ac:dyDescent="0.35">
      <c r="A709" s="11" t="s">
        <v>896</v>
      </c>
      <c r="B709" s="58" t="s">
        <v>1752</v>
      </c>
      <c r="C709" s="58" t="s">
        <v>1752</v>
      </c>
      <c r="D709" s="60"/>
      <c r="E709" s="62">
        <v>1</v>
      </c>
    </row>
    <row r="710" spans="1:5" x14ac:dyDescent="0.35">
      <c r="A710" s="10" t="s">
        <v>897</v>
      </c>
      <c r="B710" s="58" t="s">
        <v>1752</v>
      </c>
      <c r="C710" s="58" t="s">
        <v>1752</v>
      </c>
      <c r="D710" s="60"/>
      <c r="E710" s="62">
        <v>1</v>
      </c>
    </row>
    <row r="711" spans="1:5" x14ac:dyDescent="0.35">
      <c r="A711" s="10" t="s">
        <v>898</v>
      </c>
      <c r="B711" s="58" t="s">
        <v>1827</v>
      </c>
      <c r="C711" s="58" t="s">
        <v>1752</v>
      </c>
      <c r="D711" s="60"/>
      <c r="E711" s="62">
        <v>1</v>
      </c>
    </row>
    <row r="712" spans="1:5" x14ac:dyDescent="0.35">
      <c r="A712" s="11" t="s">
        <v>899</v>
      </c>
      <c r="B712" s="58" t="s">
        <v>1752</v>
      </c>
      <c r="C712" s="58" t="s">
        <v>1752</v>
      </c>
      <c r="D712" s="60"/>
      <c r="E712" s="62">
        <v>1</v>
      </c>
    </row>
    <row r="713" spans="1:5" x14ac:dyDescent="0.35">
      <c r="A713" s="10" t="s">
        <v>900</v>
      </c>
      <c r="B713" s="58" t="s">
        <v>1752</v>
      </c>
      <c r="C713" s="58" t="s">
        <v>1752</v>
      </c>
      <c r="D713" s="60"/>
      <c r="E713" s="62">
        <v>1</v>
      </c>
    </row>
    <row r="714" spans="1:5" x14ac:dyDescent="0.35">
      <c r="A714" s="11" t="s">
        <v>901</v>
      </c>
      <c r="B714" s="58" t="s">
        <v>1752</v>
      </c>
      <c r="C714" s="58" t="s">
        <v>1752</v>
      </c>
      <c r="D714" s="60"/>
      <c r="E714" s="62">
        <v>1</v>
      </c>
    </row>
    <row r="715" spans="1:5" x14ac:dyDescent="0.35">
      <c r="A715" s="10" t="s">
        <v>902</v>
      </c>
      <c r="B715" s="58" t="s">
        <v>1752</v>
      </c>
      <c r="C715" s="58" t="s">
        <v>1752</v>
      </c>
      <c r="D715" s="60"/>
      <c r="E715" s="62">
        <v>1</v>
      </c>
    </row>
    <row r="716" spans="1:5" x14ac:dyDescent="0.35">
      <c r="A716" s="10" t="s">
        <v>903</v>
      </c>
      <c r="B716" s="58" t="s">
        <v>1752</v>
      </c>
      <c r="C716" s="58" t="s">
        <v>1752</v>
      </c>
      <c r="D716" s="60"/>
      <c r="E716" s="62">
        <v>1</v>
      </c>
    </row>
    <row r="717" spans="1:5" x14ac:dyDescent="0.35">
      <c r="A717" s="10" t="s">
        <v>904</v>
      </c>
      <c r="B717" s="58" t="s">
        <v>1752</v>
      </c>
      <c r="C717" s="58" t="s">
        <v>1752</v>
      </c>
      <c r="D717" s="60"/>
      <c r="E717" s="62">
        <v>1</v>
      </c>
    </row>
    <row r="718" spans="1:5" x14ac:dyDescent="0.35">
      <c r="A718" s="11" t="s">
        <v>905</v>
      </c>
      <c r="B718" s="58" t="s">
        <v>1752</v>
      </c>
      <c r="C718" s="58" t="s">
        <v>1752</v>
      </c>
      <c r="D718" s="60"/>
      <c r="E718" s="62">
        <v>1</v>
      </c>
    </row>
    <row r="719" spans="1:5" x14ac:dyDescent="0.35">
      <c r="A719" s="10" t="s">
        <v>906</v>
      </c>
      <c r="B719" s="58" t="s">
        <v>1752</v>
      </c>
      <c r="C719" s="58" t="s">
        <v>1752</v>
      </c>
      <c r="D719" s="60"/>
      <c r="E719" s="62">
        <v>1</v>
      </c>
    </row>
    <row r="720" spans="1:5" x14ac:dyDescent="0.35">
      <c r="A720" s="10" t="s">
        <v>907</v>
      </c>
      <c r="B720" s="58" t="s">
        <v>1752</v>
      </c>
      <c r="C720" s="58" t="s">
        <v>1752</v>
      </c>
      <c r="D720" s="60"/>
      <c r="E720" s="62">
        <v>1</v>
      </c>
    </row>
    <row r="721" spans="1:5" x14ac:dyDescent="0.35">
      <c r="A721" s="10" t="s">
        <v>908</v>
      </c>
      <c r="B721" s="58" t="s">
        <v>1827</v>
      </c>
      <c r="C721" s="58" t="s">
        <v>1752</v>
      </c>
      <c r="D721" s="60"/>
      <c r="E721" s="62">
        <v>1</v>
      </c>
    </row>
    <row r="722" spans="1:5" x14ac:dyDescent="0.35">
      <c r="A722" s="10" t="s">
        <v>909</v>
      </c>
      <c r="B722" s="58" t="s">
        <v>1752</v>
      </c>
      <c r="C722" s="58" t="s">
        <v>1752</v>
      </c>
      <c r="D722" s="60"/>
      <c r="E722" s="62">
        <v>1</v>
      </c>
    </row>
    <row r="723" spans="1:5" x14ac:dyDescent="0.35">
      <c r="A723" s="10" t="s">
        <v>910</v>
      </c>
      <c r="B723" s="58" t="s">
        <v>1752</v>
      </c>
      <c r="C723" s="58" t="s">
        <v>1752</v>
      </c>
      <c r="D723" s="60"/>
      <c r="E723" s="62">
        <v>1</v>
      </c>
    </row>
    <row r="724" spans="1:5" x14ac:dyDescent="0.35">
      <c r="A724" s="10" t="s">
        <v>911</v>
      </c>
      <c r="B724" s="58" t="s">
        <v>1752</v>
      </c>
      <c r="C724" s="58" t="s">
        <v>1752</v>
      </c>
      <c r="D724" s="60"/>
      <c r="E724" s="62">
        <v>1</v>
      </c>
    </row>
    <row r="725" spans="1:5" x14ac:dyDescent="0.35">
      <c r="A725" s="11" t="s">
        <v>912</v>
      </c>
      <c r="B725" s="58" t="s">
        <v>1752</v>
      </c>
      <c r="C725" s="58" t="s">
        <v>1752</v>
      </c>
      <c r="D725" s="60"/>
      <c r="E725" s="62">
        <v>1</v>
      </c>
    </row>
    <row r="726" spans="1:5" x14ac:dyDescent="0.35">
      <c r="A726" s="10" t="s">
        <v>913</v>
      </c>
      <c r="B726" s="58" t="s">
        <v>1752</v>
      </c>
      <c r="C726" s="58" t="s">
        <v>1752</v>
      </c>
      <c r="D726" s="60"/>
      <c r="E726" s="62">
        <v>1</v>
      </c>
    </row>
    <row r="727" spans="1:5" x14ac:dyDescent="0.35">
      <c r="A727" s="10" t="s">
        <v>914</v>
      </c>
      <c r="B727" s="58" t="s">
        <v>1752</v>
      </c>
      <c r="C727" s="58" t="s">
        <v>1752</v>
      </c>
      <c r="D727" s="60"/>
      <c r="E727" s="62">
        <v>1</v>
      </c>
    </row>
    <row r="728" spans="1:5" x14ac:dyDescent="0.35">
      <c r="A728" s="11" t="s">
        <v>915</v>
      </c>
      <c r="B728" s="58" t="s">
        <v>1752</v>
      </c>
      <c r="C728" s="58" t="s">
        <v>1752</v>
      </c>
      <c r="D728" s="60"/>
      <c r="E728" s="62">
        <v>1</v>
      </c>
    </row>
    <row r="729" spans="1:5" x14ac:dyDescent="0.35">
      <c r="A729" s="10" t="s">
        <v>916</v>
      </c>
      <c r="B729" s="58" t="s">
        <v>1752</v>
      </c>
      <c r="C729" s="58" t="s">
        <v>1752</v>
      </c>
      <c r="D729" s="60"/>
      <c r="E729" s="62">
        <v>1</v>
      </c>
    </row>
    <row r="730" spans="1:5" x14ac:dyDescent="0.35">
      <c r="A730" s="10" t="s">
        <v>917</v>
      </c>
      <c r="B730" s="58" t="s">
        <v>1752</v>
      </c>
      <c r="C730" s="58" t="s">
        <v>1752</v>
      </c>
      <c r="D730" s="60"/>
      <c r="E730" s="62">
        <v>1</v>
      </c>
    </row>
    <row r="731" spans="1:5" x14ac:dyDescent="0.35">
      <c r="A731" s="11" t="s">
        <v>918</v>
      </c>
      <c r="B731" s="58" t="s">
        <v>1752</v>
      </c>
      <c r="C731" s="58" t="s">
        <v>1752</v>
      </c>
      <c r="D731" s="60"/>
      <c r="E731" s="62">
        <v>1</v>
      </c>
    </row>
    <row r="732" spans="1:5" x14ac:dyDescent="0.35">
      <c r="A732" s="10" t="s">
        <v>919</v>
      </c>
      <c r="B732" s="58" t="s">
        <v>1752</v>
      </c>
      <c r="C732" s="58" t="s">
        <v>1752</v>
      </c>
      <c r="D732" s="60"/>
      <c r="E732" s="62">
        <v>1</v>
      </c>
    </row>
    <row r="733" spans="1:5" x14ac:dyDescent="0.35">
      <c r="A733" s="11" t="s">
        <v>920</v>
      </c>
      <c r="B733" s="58" t="s">
        <v>1752</v>
      </c>
      <c r="C733" s="58" t="s">
        <v>1752</v>
      </c>
      <c r="D733" s="60"/>
      <c r="E733" s="62">
        <v>1</v>
      </c>
    </row>
    <row r="734" spans="1:5" x14ac:dyDescent="0.35">
      <c r="A734" s="11" t="s">
        <v>921</v>
      </c>
      <c r="B734" s="58" t="s">
        <v>1752</v>
      </c>
      <c r="C734" s="58" t="s">
        <v>1752</v>
      </c>
      <c r="D734" s="60"/>
      <c r="E734" s="62">
        <v>1</v>
      </c>
    </row>
    <row r="735" spans="1:5" x14ac:dyDescent="0.35">
      <c r="A735" s="10" t="s">
        <v>922</v>
      </c>
      <c r="B735" s="58" t="s">
        <v>1752</v>
      </c>
      <c r="C735" s="58" t="s">
        <v>1752</v>
      </c>
      <c r="D735" s="60"/>
      <c r="E735" s="62">
        <v>1</v>
      </c>
    </row>
    <row r="736" spans="1:5" x14ac:dyDescent="0.35">
      <c r="A736" s="11" t="s">
        <v>923</v>
      </c>
      <c r="B736" s="58" t="s">
        <v>1752</v>
      </c>
      <c r="C736" s="58" t="s">
        <v>1752</v>
      </c>
      <c r="D736" s="60"/>
      <c r="E736" s="62">
        <v>1</v>
      </c>
    </row>
    <row r="737" spans="1:5" x14ac:dyDescent="0.35">
      <c r="A737" s="10" t="s">
        <v>924</v>
      </c>
      <c r="B737" s="58" t="s">
        <v>1752</v>
      </c>
      <c r="C737" s="58" t="s">
        <v>1752</v>
      </c>
      <c r="D737" s="60"/>
      <c r="E737" s="62">
        <v>1</v>
      </c>
    </row>
    <row r="738" spans="1:5" x14ac:dyDescent="0.35">
      <c r="A738" s="10" t="s">
        <v>925</v>
      </c>
      <c r="B738" s="58" t="s">
        <v>1752</v>
      </c>
      <c r="C738" s="58" t="s">
        <v>1752</v>
      </c>
      <c r="D738" s="60"/>
      <c r="E738" s="62">
        <v>1</v>
      </c>
    </row>
    <row r="739" spans="1:5" x14ac:dyDescent="0.35">
      <c r="A739" s="11" t="s">
        <v>926</v>
      </c>
      <c r="B739" s="58" t="s">
        <v>1752</v>
      </c>
      <c r="C739" s="58" t="s">
        <v>1752</v>
      </c>
      <c r="D739" s="60"/>
      <c r="E739" s="62">
        <v>1</v>
      </c>
    </row>
    <row r="740" spans="1:5" x14ac:dyDescent="0.35">
      <c r="A740" s="10" t="s">
        <v>927</v>
      </c>
      <c r="B740" s="58" t="s">
        <v>1752</v>
      </c>
      <c r="C740" s="58" t="s">
        <v>1752</v>
      </c>
      <c r="D740" s="60"/>
      <c r="E740" s="62">
        <v>1</v>
      </c>
    </row>
    <row r="741" spans="1:5" x14ac:dyDescent="0.35">
      <c r="A741" s="10" t="s">
        <v>928</v>
      </c>
      <c r="B741" s="58" t="s">
        <v>1752</v>
      </c>
      <c r="C741" s="58" t="s">
        <v>1752</v>
      </c>
      <c r="D741" s="60"/>
      <c r="E741" s="62">
        <v>1</v>
      </c>
    </row>
    <row r="742" spans="1:5" x14ac:dyDescent="0.35">
      <c r="A742" s="11" t="s">
        <v>929</v>
      </c>
      <c r="B742" s="58" t="s">
        <v>1752</v>
      </c>
      <c r="C742" s="58" t="s">
        <v>1752</v>
      </c>
      <c r="D742" s="60"/>
      <c r="E742" s="62">
        <v>1</v>
      </c>
    </row>
    <row r="743" spans="1:5" x14ac:dyDescent="0.35">
      <c r="A743" s="10" t="s">
        <v>930</v>
      </c>
      <c r="B743" s="58" t="s">
        <v>1752</v>
      </c>
      <c r="C743" s="58" t="s">
        <v>1752</v>
      </c>
      <c r="D743" s="60"/>
      <c r="E743" s="62">
        <v>1</v>
      </c>
    </row>
    <row r="744" spans="1:5" x14ac:dyDescent="0.35">
      <c r="A744" s="10" t="s">
        <v>931</v>
      </c>
      <c r="B744" s="58" t="s">
        <v>1752</v>
      </c>
      <c r="C744" s="58" t="s">
        <v>1752</v>
      </c>
      <c r="D744" s="60"/>
      <c r="E744" s="62">
        <v>1</v>
      </c>
    </row>
    <row r="745" spans="1:5" x14ac:dyDescent="0.35">
      <c r="A745" s="11" t="s">
        <v>932</v>
      </c>
      <c r="B745" s="58" t="s">
        <v>1752</v>
      </c>
      <c r="C745" s="58" t="s">
        <v>1752</v>
      </c>
      <c r="D745" s="60"/>
      <c r="E745" s="62">
        <v>1</v>
      </c>
    </row>
    <row r="746" spans="1:5" x14ac:dyDescent="0.35">
      <c r="A746" s="10" t="s">
        <v>933</v>
      </c>
      <c r="B746" s="58" t="s">
        <v>1752</v>
      </c>
      <c r="C746" s="58" t="s">
        <v>1752</v>
      </c>
      <c r="D746" s="60"/>
      <c r="E746" s="62">
        <v>1</v>
      </c>
    </row>
    <row r="747" spans="1:5" x14ac:dyDescent="0.35">
      <c r="A747" s="10" t="s">
        <v>934</v>
      </c>
      <c r="B747" s="58" t="s">
        <v>1827</v>
      </c>
      <c r="C747" s="58" t="s">
        <v>1752</v>
      </c>
      <c r="D747" s="60"/>
      <c r="E747" s="62">
        <v>1</v>
      </c>
    </row>
    <row r="748" spans="1:5" x14ac:dyDescent="0.35">
      <c r="A748" s="10" t="s">
        <v>935</v>
      </c>
      <c r="B748" s="58" t="s">
        <v>1752</v>
      </c>
      <c r="C748" s="58" t="s">
        <v>1752</v>
      </c>
      <c r="D748" s="60"/>
      <c r="E748" s="62">
        <v>1</v>
      </c>
    </row>
    <row r="749" spans="1:5" x14ac:dyDescent="0.35">
      <c r="A749" s="11" t="s">
        <v>936</v>
      </c>
      <c r="B749" s="58" t="s">
        <v>1752</v>
      </c>
      <c r="C749" s="58" t="s">
        <v>1752</v>
      </c>
      <c r="D749" s="60"/>
      <c r="E749" s="62">
        <v>1</v>
      </c>
    </row>
    <row r="750" spans="1:5" x14ac:dyDescent="0.35">
      <c r="A750" s="11" t="s">
        <v>937</v>
      </c>
      <c r="B750" s="58" t="s">
        <v>1752</v>
      </c>
      <c r="C750" s="58" t="s">
        <v>1752</v>
      </c>
      <c r="D750" s="60"/>
      <c r="E750" s="62">
        <v>1</v>
      </c>
    </row>
    <row r="751" spans="1:5" x14ac:dyDescent="0.35">
      <c r="A751" s="11" t="s">
        <v>938</v>
      </c>
      <c r="B751" s="58" t="s">
        <v>1752</v>
      </c>
      <c r="C751" s="58" t="s">
        <v>1752</v>
      </c>
      <c r="D751" s="60"/>
      <c r="E751" s="62">
        <v>1</v>
      </c>
    </row>
    <row r="752" spans="1:5" x14ac:dyDescent="0.35">
      <c r="A752" s="11" t="s">
        <v>939</v>
      </c>
      <c r="B752" s="58" t="s">
        <v>1752</v>
      </c>
      <c r="C752" s="58" t="s">
        <v>1752</v>
      </c>
      <c r="D752" s="60"/>
      <c r="E752" s="62">
        <v>1</v>
      </c>
    </row>
    <row r="753" spans="1:5" x14ac:dyDescent="0.35">
      <c r="A753" s="11" t="s">
        <v>940</v>
      </c>
      <c r="B753" s="58" t="s">
        <v>1752</v>
      </c>
      <c r="C753" s="58" t="s">
        <v>1752</v>
      </c>
      <c r="D753" s="60"/>
      <c r="E753" s="62">
        <v>1</v>
      </c>
    </row>
    <row r="754" spans="1:5" x14ac:dyDescent="0.35">
      <c r="A754" s="11" t="s">
        <v>941</v>
      </c>
      <c r="B754" s="58" t="s">
        <v>1752</v>
      </c>
      <c r="C754" s="58" t="s">
        <v>1752</v>
      </c>
      <c r="D754" s="60"/>
      <c r="E754" s="62">
        <v>1</v>
      </c>
    </row>
    <row r="755" spans="1:5" x14ac:dyDescent="0.35">
      <c r="A755" s="10" t="s">
        <v>942</v>
      </c>
      <c r="B755" s="58" t="s">
        <v>1752</v>
      </c>
      <c r="C755" s="58" t="s">
        <v>1752</v>
      </c>
      <c r="D755" s="60"/>
      <c r="E755" s="62">
        <v>1</v>
      </c>
    </row>
    <row r="756" spans="1:5" x14ac:dyDescent="0.35">
      <c r="A756" s="11" t="s">
        <v>943</v>
      </c>
      <c r="B756" s="58" t="s">
        <v>1827</v>
      </c>
      <c r="C756" s="58" t="s">
        <v>1752</v>
      </c>
      <c r="D756" s="60"/>
      <c r="E756" s="62">
        <v>1</v>
      </c>
    </row>
    <row r="757" spans="1:5" x14ac:dyDescent="0.35">
      <c r="A757" s="10" t="s">
        <v>944</v>
      </c>
      <c r="B757" s="58" t="s">
        <v>1752</v>
      </c>
      <c r="C757" s="58" t="s">
        <v>1752</v>
      </c>
      <c r="D757" s="60"/>
      <c r="E757" s="62">
        <v>1</v>
      </c>
    </row>
    <row r="758" spans="1:5" x14ac:dyDescent="0.35">
      <c r="A758" s="10" t="s">
        <v>945</v>
      </c>
      <c r="B758" s="58" t="s">
        <v>1752</v>
      </c>
      <c r="C758" s="58" t="s">
        <v>1752</v>
      </c>
      <c r="D758" s="60"/>
      <c r="E758" s="62">
        <v>1</v>
      </c>
    </row>
    <row r="759" spans="1:5" x14ac:dyDescent="0.35">
      <c r="A759" s="11" t="s">
        <v>946</v>
      </c>
      <c r="B759" s="58" t="s">
        <v>1752</v>
      </c>
      <c r="C759" s="58" t="s">
        <v>1752</v>
      </c>
      <c r="D759" s="60"/>
      <c r="E759" s="62">
        <v>1</v>
      </c>
    </row>
    <row r="760" spans="1:5" x14ac:dyDescent="0.35">
      <c r="A760" s="11" t="s">
        <v>947</v>
      </c>
      <c r="B760" s="58" t="s">
        <v>1752</v>
      </c>
      <c r="C760" s="58" t="s">
        <v>1752</v>
      </c>
      <c r="D760" s="60"/>
      <c r="E760" s="62">
        <v>1</v>
      </c>
    </row>
    <row r="761" spans="1:5" x14ac:dyDescent="0.35">
      <c r="A761" s="10" t="s">
        <v>948</v>
      </c>
      <c r="B761" s="58" t="s">
        <v>1752</v>
      </c>
      <c r="C761" s="58" t="s">
        <v>1752</v>
      </c>
      <c r="D761" s="60"/>
      <c r="E761" s="62">
        <v>1</v>
      </c>
    </row>
    <row r="762" spans="1:5" x14ac:dyDescent="0.35">
      <c r="A762" s="11" t="s">
        <v>949</v>
      </c>
      <c r="B762" s="58" t="s">
        <v>1752</v>
      </c>
      <c r="C762" s="58" t="s">
        <v>1752</v>
      </c>
      <c r="D762" s="60"/>
      <c r="E762" s="62">
        <v>1</v>
      </c>
    </row>
    <row r="763" spans="1:5" x14ac:dyDescent="0.35">
      <c r="A763" s="10" t="s">
        <v>950</v>
      </c>
      <c r="B763" s="58" t="s">
        <v>1752</v>
      </c>
      <c r="C763" s="58" t="s">
        <v>1752</v>
      </c>
      <c r="D763" s="60"/>
      <c r="E763" s="62">
        <v>1</v>
      </c>
    </row>
    <row r="764" spans="1:5" x14ac:dyDescent="0.35">
      <c r="A764" s="11" t="s">
        <v>951</v>
      </c>
      <c r="B764" s="58" t="s">
        <v>1752</v>
      </c>
      <c r="C764" s="58" t="s">
        <v>1752</v>
      </c>
      <c r="D764" s="60"/>
      <c r="E764" s="62">
        <v>1</v>
      </c>
    </row>
    <row r="765" spans="1:5" x14ac:dyDescent="0.35">
      <c r="A765" s="10" t="s">
        <v>952</v>
      </c>
      <c r="B765" s="58" t="s">
        <v>1752</v>
      </c>
      <c r="C765" s="58" t="s">
        <v>1752</v>
      </c>
      <c r="D765" s="60"/>
      <c r="E765" s="62">
        <v>1</v>
      </c>
    </row>
    <row r="766" spans="1:5" x14ac:dyDescent="0.35">
      <c r="A766" s="10" t="s">
        <v>953</v>
      </c>
      <c r="B766" s="58" t="s">
        <v>1752</v>
      </c>
      <c r="C766" s="58" t="s">
        <v>1752</v>
      </c>
      <c r="D766" s="60"/>
      <c r="E766" s="62">
        <v>1</v>
      </c>
    </row>
    <row r="767" spans="1:5" x14ac:dyDescent="0.35">
      <c r="A767" s="10" t="s">
        <v>954</v>
      </c>
      <c r="B767" s="58" t="s">
        <v>1752</v>
      </c>
      <c r="C767" s="58" t="s">
        <v>1752</v>
      </c>
      <c r="D767" s="60"/>
      <c r="E767" s="62">
        <v>1</v>
      </c>
    </row>
    <row r="768" spans="1:5" x14ac:dyDescent="0.35">
      <c r="A768" s="11" t="s">
        <v>955</v>
      </c>
      <c r="B768" s="58" t="s">
        <v>1752</v>
      </c>
      <c r="C768" s="58" t="s">
        <v>1752</v>
      </c>
      <c r="D768" s="60"/>
      <c r="E768" s="62">
        <v>1</v>
      </c>
    </row>
    <row r="769" spans="1:5" x14ac:dyDescent="0.35">
      <c r="A769" s="10" t="s">
        <v>956</v>
      </c>
      <c r="B769" s="58" t="s">
        <v>1827</v>
      </c>
      <c r="C769" s="58" t="s">
        <v>1752</v>
      </c>
      <c r="D769" s="60"/>
      <c r="E769" s="62">
        <v>1</v>
      </c>
    </row>
    <row r="770" spans="1:5" x14ac:dyDescent="0.35">
      <c r="A770" s="11" t="s">
        <v>957</v>
      </c>
      <c r="B770" s="58" t="s">
        <v>1752</v>
      </c>
      <c r="C770" s="58" t="s">
        <v>1752</v>
      </c>
      <c r="D770" s="60"/>
      <c r="E770" s="62">
        <v>1</v>
      </c>
    </row>
    <row r="771" spans="1:5" x14ac:dyDescent="0.35">
      <c r="A771" s="11" t="s">
        <v>958</v>
      </c>
      <c r="B771" s="58" t="s">
        <v>1752</v>
      </c>
      <c r="C771" s="58" t="s">
        <v>1752</v>
      </c>
      <c r="D771" s="60"/>
      <c r="E771" s="62">
        <v>1</v>
      </c>
    </row>
    <row r="772" spans="1:5" x14ac:dyDescent="0.35">
      <c r="A772" s="11" t="s">
        <v>959</v>
      </c>
      <c r="B772" s="58" t="s">
        <v>1752</v>
      </c>
      <c r="C772" s="58" t="s">
        <v>1752</v>
      </c>
      <c r="D772" s="60"/>
      <c r="E772" s="62">
        <v>1</v>
      </c>
    </row>
    <row r="773" spans="1:5" x14ac:dyDescent="0.35">
      <c r="A773" s="10" t="s">
        <v>960</v>
      </c>
      <c r="B773" s="58" t="s">
        <v>1752</v>
      </c>
      <c r="C773" s="58" t="s">
        <v>1752</v>
      </c>
      <c r="D773" s="60"/>
      <c r="E773" s="62">
        <v>1</v>
      </c>
    </row>
    <row r="774" spans="1:5" x14ac:dyDescent="0.35">
      <c r="A774" s="10" t="s">
        <v>961</v>
      </c>
      <c r="B774" s="58" t="s">
        <v>1752</v>
      </c>
      <c r="C774" s="58" t="s">
        <v>1752</v>
      </c>
      <c r="D774" s="60"/>
      <c r="E774" s="62">
        <v>1</v>
      </c>
    </row>
    <row r="775" spans="1:5" x14ac:dyDescent="0.35">
      <c r="A775" s="10" t="s">
        <v>962</v>
      </c>
      <c r="B775" s="58" t="s">
        <v>1752</v>
      </c>
      <c r="C775" s="58" t="s">
        <v>1752</v>
      </c>
      <c r="D775" s="60"/>
      <c r="E775" s="62">
        <v>1</v>
      </c>
    </row>
    <row r="776" spans="1:5" x14ac:dyDescent="0.35">
      <c r="A776" s="10" t="s">
        <v>963</v>
      </c>
      <c r="B776" s="58" t="s">
        <v>1752</v>
      </c>
      <c r="C776" s="58" t="s">
        <v>1752</v>
      </c>
      <c r="D776" s="60"/>
      <c r="E776" s="62">
        <v>1</v>
      </c>
    </row>
    <row r="777" spans="1:5" x14ac:dyDescent="0.35">
      <c r="A777" s="11" t="s">
        <v>964</v>
      </c>
      <c r="B777" s="58" t="s">
        <v>1752</v>
      </c>
      <c r="C777" s="58" t="s">
        <v>1752</v>
      </c>
      <c r="D777" s="60"/>
      <c r="E777" s="62">
        <v>1</v>
      </c>
    </row>
    <row r="778" spans="1:5" x14ac:dyDescent="0.35">
      <c r="A778" s="10" t="s">
        <v>965</v>
      </c>
      <c r="B778" s="58" t="s">
        <v>1827</v>
      </c>
      <c r="C778" s="58" t="s">
        <v>1752</v>
      </c>
      <c r="D778" s="60"/>
      <c r="E778" s="62">
        <v>1</v>
      </c>
    </row>
    <row r="779" spans="1:5" x14ac:dyDescent="0.35">
      <c r="A779" s="10" t="s">
        <v>966</v>
      </c>
      <c r="B779" s="58" t="s">
        <v>1752</v>
      </c>
      <c r="C779" s="58" t="s">
        <v>1752</v>
      </c>
      <c r="D779" s="60"/>
      <c r="E779" s="62">
        <v>1</v>
      </c>
    </row>
    <row r="780" spans="1:5" x14ac:dyDescent="0.35">
      <c r="A780" s="10" t="s">
        <v>967</v>
      </c>
      <c r="B780" s="58" t="s">
        <v>1752</v>
      </c>
      <c r="C780" s="58" t="s">
        <v>1752</v>
      </c>
      <c r="D780" s="60"/>
      <c r="E780" s="62">
        <v>1</v>
      </c>
    </row>
    <row r="781" spans="1:5" x14ac:dyDescent="0.35">
      <c r="A781" s="11" t="s">
        <v>968</v>
      </c>
      <c r="B781" s="58" t="s">
        <v>1752</v>
      </c>
      <c r="C781" s="58" t="s">
        <v>1752</v>
      </c>
      <c r="D781" s="60"/>
      <c r="E781" s="62">
        <v>1</v>
      </c>
    </row>
    <row r="782" spans="1:5" x14ac:dyDescent="0.35">
      <c r="A782" s="11" t="s">
        <v>969</v>
      </c>
      <c r="B782" s="58" t="s">
        <v>1752</v>
      </c>
      <c r="C782" s="58" t="s">
        <v>1752</v>
      </c>
      <c r="D782" s="60"/>
      <c r="E782" s="62">
        <v>1</v>
      </c>
    </row>
    <row r="783" spans="1:5" x14ac:dyDescent="0.35">
      <c r="A783" s="10" t="s">
        <v>970</v>
      </c>
      <c r="B783" s="58" t="s">
        <v>1752</v>
      </c>
      <c r="C783" s="58" t="s">
        <v>1752</v>
      </c>
      <c r="D783" s="60"/>
      <c r="E783" s="62">
        <v>1</v>
      </c>
    </row>
    <row r="784" spans="1:5" x14ac:dyDescent="0.35">
      <c r="A784" s="10" t="s">
        <v>971</v>
      </c>
      <c r="B784" s="58" t="s">
        <v>1752</v>
      </c>
      <c r="C784" s="58" t="s">
        <v>1752</v>
      </c>
      <c r="D784" s="60"/>
      <c r="E784" s="62">
        <v>1</v>
      </c>
    </row>
    <row r="785" spans="1:5" x14ac:dyDescent="0.35">
      <c r="A785" s="11" t="s">
        <v>972</v>
      </c>
      <c r="B785" s="58" t="s">
        <v>1752</v>
      </c>
      <c r="C785" s="58" t="s">
        <v>1752</v>
      </c>
      <c r="D785" s="60"/>
      <c r="E785" s="62">
        <v>1</v>
      </c>
    </row>
    <row r="786" spans="1:5" x14ac:dyDescent="0.35">
      <c r="A786" s="11" t="s">
        <v>973</v>
      </c>
      <c r="B786" s="58" t="s">
        <v>1752</v>
      </c>
      <c r="C786" s="58" t="s">
        <v>1752</v>
      </c>
      <c r="D786" s="60"/>
      <c r="E786" s="62">
        <v>1</v>
      </c>
    </row>
    <row r="787" spans="1:5" x14ac:dyDescent="0.35">
      <c r="A787" s="10" t="s">
        <v>974</v>
      </c>
      <c r="B787" s="58" t="s">
        <v>1752</v>
      </c>
      <c r="C787" s="58" t="s">
        <v>1752</v>
      </c>
      <c r="D787" s="60"/>
      <c r="E787" s="62">
        <v>1</v>
      </c>
    </row>
    <row r="788" spans="1:5" x14ac:dyDescent="0.35">
      <c r="A788" s="11" t="s">
        <v>975</v>
      </c>
      <c r="B788" s="58" t="s">
        <v>1752</v>
      </c>
      <c r="C788" s="58" t="s">
        <v>1752</v>
      </c>
      <c r="D788" s="60"/>
      <c r="E788" s="62">
        <v>1</v>
      </c>
    </row>
    <row r="789" spans="1:5" x14ac:dyDescent="0.35">
      <c r="A789" s="10" t="s">
        <v>976</v>
      </c>
      <c r="B789" s="58" t="s">
        <v>1752</v>
      </c>
      <c r="C789" s="58" t="s">
        <v>1752</v>
      </c>
      <c r="D789" s="60"/>
      <c r="E789" s="62">
        <v>1</v>
      </c>
    </row>
    <row r="790" spans="1:5" x14ac:dyDescent="0.35">
      <c r="A790" s="10" t="s">
        <v>977</v>
      </c>
      <c r="B790" s="58" t="s">
        <v>1827</v>
      </c>
      <c r="C790" s="58" t="s">
        <v>1752</v>
      </c>
      <c r="D790" s="60"/>
      <c r="E790" s="62">
        <v>1</v>
      </c>
    </row>
    <row r="791" spans="1:5" x14ac:dyDescent="0.35">
      <c r="A791" s="11" t="s">
        <v>978</v>
      </c>
      <c r="B791" s="58" t="s">
        <v>1752</v>
      </c>
      <c r="C791" s="58" t="s">
        <v>1752</v>
      </c>
      <c r="D791" s="60"/>
      <c r="E791" s="62">
        <v>1</v>
      </c>
    </row>
    <row r="792" spans="1:5" x14ac:dyDescent="0.35">
      <c r="A792" s="11" t="s">
        <v>979</v>
      </c>
      <c r="B792" s="58" t="s">
        <v>1752</v>
      </c>
      <c r="C792" s="58" t="s">
        <v>1752</v>
      </c>
      <c r="D792" s="60"/>
      <c r="E792" s="62">
        <v>1</v>
      </c>
    </row>
    <row r="793" spans="1:5" x14ac:dyDescent="0.35">
      <c r="A793" s="10" t="s">
        <v>980</v>
      </c>
      <c r="B793" s="58" t="s">
        <v>1752</v>
      </c>
      <c r="C793" s="58" t="s">
        <v>1752</v>
      </c>
      <c r="D793" s="60"/>
      <c r="E793" s="62">
        <v>1</v>
      </c>
    </row>
    <row r="794" spans="1:5" x14ac:dyDescent="0.35">
      <c r="A794" s="11" t="s">
        <v>981</v>
      </c>
      <c r="B794" s="58" t="s">
        <v>1752</v>
      </c>
      <c r="C794" s="58" t="s">
        <v>1752</v>
      </c>
      <c r="D794" s="60"/>
      <c r="E794" s="62">
        <v>1</v>
      </c>
    </row>
    <row r="795" spans="1:5" x14ac:dyDescent="0.35">
      <c r="A795" s="10" t="s">
        <v>982</v>
      </c>
      <c r="B795" s="58" t="s">
        <v>1752</v>
      </c>
      <c r="C795" s="58" t="s">
        <v>1752</v>
      </c>
      <c r="D795" s="60"/>
      <c r="E795" s="62">
        <v>1</v>
      </c>
    </row>
    <row r="796" spans="1:5" x14ac:dyDescent="0.35">
      <c r="A796" s="10" t="s">
        <v>983</v>
      </c>
      <c r="B796" s="58" t="s">
        <v>1752</v>
      </c>
      <c r="C796" s="58" t="s">
        <v>1752</v>
      </c>
      <c r="D796" s="60"/>
      <c r="E796" s="62">
        <v>1</v>
      </c>
    </row>
    <row r="797" spans="1:5" x14ac:dyDescent="0.35">
      <c r="A797" s="10" t="s">
        <v>984</v>
      </c>
      <c r="B797" s="58" t="s">
        <v>1752</v>
      </c>
      <c r="C797" s="58" t="s">
        <v>1752</v>
      </c>
      <c r="D797" s="60"/>
      <c r="E797" s="62">
        <v>1</v>
      </c>
    </row>
    <row r="798" spans="1:5" x14ac:dyDescent="0.35">
      <c r="A798" s="11" t="s">
        <v>985</v>
      </c>
      <c r="B798" s="58" t="s">
        <v>1752</v>
      </c>
      <c r="C798" s="58" t="s">
        <v>1752</v>
      </c>
      <c r="D798" s="60"/>
      <c r="E798" s="62">
        <v>1</v>
      </c>
    </row>
    <row r="799" spans="1:5" x14ac:dyDescent="0.35">
      <c r="A799" s="10" t="s">
        <v>986</v>
      </c>
      <c r="B799" s="58" t="s">
        <v>1752</v>
      </c>
      <c r="C799" s="58" t="s">
        <v>1752</v>
      </c>
      <c r="D799" s="60"/>
      <c r="E799" s="62">
        <v>1</v>
      </c>
    </row>
    <row r="800" spans="1:5" x14ac:dyDescent="0.35">
      <c r="A800" s="10" t="s">
        <v>987</v>
      </c>
      <c r="B800" s="58" t="s">
        <v>1752</v>
      </c>
      <c r="C800" s="58" t="s">
        <v>1752</v>
      </c>
      <c r="D800" s="60"/>
      <c r="E800" s="62">
        <v>1</v>
      </c>
    </row>
    <row r="801" spans="1:5" x14ac:dyDescent="0.35">
      <c r="A801" s="11" t="s">
        <v>988</v>
      </c>
      <c r="B801" s="58" t="s">
        <v>1752</v>
      </c>
      <c r="C801" s="58" t="s">
        <v>1752</v>
      </c>
      <c r="D801" s="60"/>
      <c r="E801" s="62">
        <v>1</v>
      </c>
    </row>
    <row r="802" spans="1:5" x14ac:dyDescent="0.35">
      <c r="A802" s="11" t="s">
        <v>989</v>
      </c>
      <c r="B802" s="58" t="s">
        <v>1752</v>
      </c>
      <c r="C802" s="58" t="s">
        <v>1752</v>
      </c>
      <c r="D802" s="60"/>
      <c r="E802" s="62">
        <v>1</v>
      </c>
    </row>
    <row r="803" spans="1:5" x14ac:dyDescent="0.35">
      <c r="A803" s="10" t="s">
        <v>990</v>
      </c>
      <c r="B803" s="58" t="s">
        <v>1752</v>
      </c>
      <c r="C803" s="58" t="s">
        <v>1752</v>
      </c>
      <c r="D803" s="60"/>
      <c r="E803" s="62">
        <v>1</v>
      </c>
    </row>
    <row r="804" spans="1:5" x14ac:dyDescent="0.35">
      <c r="A804" s="11" t="s">
        <v>991</v>
      </c>
      <c r="B804" s="58" t="s">
        <v>1752</v>
      </c>
      <c r="C804" s="58" t="s">
        <v>1752</v>
      </c>
      <c r="D804" s="60"/>
      <c r="E804" s="62">
        <v>1</v>
      </c>
    </row>
    <row r="805" spans="1:5" x14ac:dyDescent="0.35">
      <c r="A805" s="10" t="s">
        <v>992</v>
      </c>
      <c r="B805" s="58" t="s">
        <v>1752</v>
      </c>
      <c r="C805" s="58" t="s">
        <v>1752</v>
      </c>
      <c r="D805" s="60"/>
      <c r="E805" s="62">
        <v>1</v>
      </c>
    </row>
    <row r="806" spans="1:5" x14ac:dyDescent="0.35">
      <c r="A806" s="11" t="s">
        <v>993</v>
      </c>
      <c r="B806" s="58" t="s">
        <v>1752</v>
      </c>
      <c r="C806" s="58" t="s">
        <v>1752</v>
      </c>
      <c r="D806" s="60"/>
      <c r="E806" s="62">
        <v>1</v>
      </c>
    </row>
    <row r="807" spans="1:5" x14ac:dyDescent="0.35">
      <c r="A807" s="11" t="s">
        <v>994</v>
      </c>
      <c r="B807" s="58" t="s">
        <v>1752</v>
      </c>
      <c r="C807" s="58" t="s">
        <v>1752</v>
      </c>
      <c r="D807" s="60"/>
      <c r="E807" s="62">
        <v>1</v>
      </c>
    </row>
    <row r="808" spans="1:5" x14ac:dyDescent="0.35">
      <c r="A808" s="11" t="s">
        <v>995</v>
      </c>
      <c r="B808" s="58" t="s">
        <v>1752</v>
      </c>
      <c r="C808" s="58" t="s">
        <v>1752</v>
      </c>
      <c r="D808" s="60"/>
      <c r="E808" s="62">
        <v>1</v>
      </c>
    </row>
    <row r="809" spans="1:5" x14ac:dyDescent="0.35">
      <c r="A809" s="10" t="s">
        <v>996</v>
      </c>
      <c r="B809" s="58" t="s">
        <v>1752</v>
      </c>
      <c r="C809" s="58" t="s">
        <v>1752</v>
      </c>
      <c r="D809" s="60"/>
      <c r="E809" s="62">
        <v>1</v>
      </c>
    </row>
    <row r="810" spans="1:5" x14ac:dyDescent="0.35">
      <c r="A810" s="11" t="s">
        <v>997</v>
      </c>
      <c r="B810" s="58" t="s">
        <v>1752</v>
      </c>
      <c r="C810" s="58" t="s">
        <v>1752</v>
      </c>
      <c r="D810" s="60"/>
      <c r="E810" s="62">
        <v>1</v>
      </c>
    </row>
    <row r="811" spans="1:5" x14ac:dyDescent="0.35">
      <c r="A811" s="10" t="s">
        <v>998</v>
      </c>
      <c r="B811" s="58" t="s">
        <v>1752</v>
      </c>
      <c r="C811" s="58" t="s">
        <v>1752</v>
      </c>
      <c r="D811" s="60"/>
      <c r="E811" s="62">
        <v>1</v>
      </c>
    </row>
    <row r="812" spans="1:5" x14ac:dyDescent="0.35">
      <c r="A812" s="11" t="s">
        <v>999</v>
      </c>
      <c r="B812" s="58" t="s">
        <v>1752</v>
      </c>
      <c r="C812" s="58" t="s">
        <v>1752</v>
      </c>
      <c r="D812" s="60"/>
      <c r="E812" s="62">
        <v>1</v>
      </c>
    </row>
    <row r="813" spans="1:5" x14ac:dyDescent="0.35">
      <c r="A813" s="11" t="s">
        <v>1000</v>
      </c>
      <c r="B813" s="58" t="s">
        <v>1752</v>
      </c>
      <c r="C813" s="58" t="s">
        <v>1752</v>
      </c>
      <c r="D813" s="60"/>
      <c r="E813" s="62">
        <v>1</v>
      </c>
    </row>
    <row r="814" spans="1:5" x14ac:dyDescent="0.35">
      <c r="A814" s="10" t="s">
        <v>1001</v>
      </c>
      <c r="B814" s="58" t="s">
        <v>1752</v>
      </c>
      <c r="C814" s="58" t="s">
        <v>1752</v>
      </c>
      <c r="D814" s="60"/>
      <c r="E814" s="62">
        <v>1</v>
      </c>
    </row>
    <row r="815" spans="1:5" x14ac:dyDescent="0.35">
      <c r="A815" s="10" t="s">
        <v>1002</v>
      </c>
      <c r="B815" s="58" t="s">
        <v>1752</v>
      </c>
      <c r="C815" s="58" t="s">
        <v>1752</v>
      </c>
      <c r="D815" s="60"/>
      <c r="E815" s="62">
        <v>1</v>
      </c>
    </row>
    <row r="816" spans="1:5" x14ac:dyDescent="0.35">
      <c r="A816" s="10" t="s">
        <v>1003</v>
      </c>
      <c r="B816" s="58" t="s">
        <v>1752</v>
      </c>
      <c r="C816" s="58" t="s">
        <v>1752</v>
      </c>
      <c r="D816" s="60"/>
      <c r="E816" s="62">
        <v>1</v>
      </c>
    </row>
    <row r="817" spans="1:5" x14ac:dyDescent="0.35">
      <c r="A817" s="10" t="s">
        <v>1004</v>
      </c>
      <c r="B817" s="58" t="s">
        <v>1752</v>
      </c>
      <c r="C817" s="58" t="s">
        <v>1752</v>
      </c>
      <c r="D817" s="60"/>
      <c r="E817" s="62">
        <v>1</v>
      </c>
    </row>
    <row r="818" spans="1:5" x14ac:dyDescent="0.35">
      <c r="A818" s="10" t="s">
        <v>1005</v>
      </c>
      <c r="B818" s="58" t="s">
        <v>1752</v>
      </c>
      <c r="C818" s="58" t="s">
        <v>1752</v>
      </c>
      <c r="D818" s="60"/>
      <c r="E818" s="62">
        <v>1</v>
      </c>
    </row>
    <row r="819" spans="1:5" x14ac:dyDescent="0.35">
      <c r="A819" s="11" t="s">
        <v>1006</v>
      </c>
      <c r="B819" s="58" t="s">
        <v>1827</v>
      </c>
      <c r="C819" s="58" t="s">
        <v>1752</v>
      </c>
      <c r="D819" s="60"/>
      <c r="E819" s="62">
        <v>1</v>
      </c>
    </row>
    <row r="820" spans="1:5" x14ac:dyDescent="0.35">
      <c r="A820" s="10" t="s">
        <v>1007</v>
      </c>
      <c r="B820" s="58" t="s">
        <v>1752</v>
      </c>
      <c r="C820" s="58" t="s">
        <v>1752</v>
      </c>
      <c r="D820" s="60"/>
      <c r="E820" s="62">
        <v>1</v>
      </c>
    </row>
    <row r="821" spans="1:5" x14ac:dyDescent="0.35">
      <c r="A821" s="11" t="s">
        <v>1008</v>
      </c>
      <c r="B821" s="58" t="s">
        <v>1752</v>
      </c>
      <c r="C821" s="58" t="s">
        <v>1752</v>
      </c>
      <c r="D821" s="60"/>
      <c r="E821" s="62">
        <v>1</v>
      </c>
    </row>
    <row r="822" spans="1:5" x14ac:dyDescent="0.35">
      <c r="A822" s="10" t="s">
        <v>1009</v>
      </c>
      <c r="B822" s="58" t="s">
        <v>1752</v>
      </c>
      <c r="C822" s="58" t="s">
        <v>1752</v>
      </c>
      <c r="D822" s="60"/>
      <c r="E822" s="62">
        <v>1</v>
      </c>
    </row>
    <row r="823" spans="1:5" x14ac:dyDescent="0.35">
      <c r="A823" s="11" t="s">
        <v>1010</v>
      </c>
      <c r="B823" s="58" t="s">
        <v>1827</v>
      </c>
      <c r="C823" s="58" t="s">
        <v>1752</v>
      </c>
      <c r="D823" s="60"/>
      <c r="E823" s="62">
        <v>1</v>
      </c>
    </row>
    <row r="824" spans="1:5" x14ac:dyDescent="0.35">
      <c r="A824" s="10" t="s">
        <v>1011</v>
      </c>
      <c r="B824" s="58" t="s">
        <v>1752</v>
      </c>
      <c r="C824" s="58" t="s">
        <v>1752</v>
      </c>
      <c r="D824" s="60"/>
      <c r="E824" s="62">
        <v>1</v>
      </c>
    </row>
    <row r="825" spans="1:5" x14ac:dyDescent="0.35">
      <c r="A825" s="10" t="s">
        <v>1012</v>
      </c>
      <c r="B825" s="58" t="s">
        <v>1752</v>
      </c>
      <c r="C825" s="58" t="s">
        <v>1752</v>
      </c>
      <c r="D825" s="60"/>
      <c r="E825" s="62">
        <v>1</v>
      </c>
    </row>
    <row r="826" spans="1:5" x14ac:dyDescent="0.35">
      <c r="A826" s="11" t="s">
        <v>1013</v>
      </c>
      <c r="B826" s="58" t="s">
        <v>1752</v>
      </c>
      <c r="C826" s="58" t="s">
        <v>1752</v>
      </c>
      <c r="D826" s="60"/>
      <c r="E826" s="62">
        <v>1</v>
      </c>
    </row>
    <row r="827" spans="1:5" x14ac:dyDescent="0.35">
      <c r="A827" s="10" t="s">
        <v>1014</v>
      </c>
      <c r="B827" s="58" t="s">
        <v>1752</v>
      </c>
      <c r="C827" s="58" t="s">
        <v>1752</v>
      </c>
      <c r="D827" s="60"/>
      <c r="E827" s="62">
        <v>1</v>
      </c>
    </row>
    <row r="828" spans="1:5" x14ac:dyDescent="0.35">
      <c r="A828" s="11" t="s">
        <v>1015</v>
      </c>
      <c r="B828" s="58" t="s">
        <v>1752</v>
      </c>
      <c r="C828" s="58" t="s">
        <v>1752</v>
      </c>
      <c r="D828" s="60"/>
      <c r="E828" s="62">
        <v>1</v>
      </c>
    </row>
    <row r="829" spans="1:5" x14ac:dyDescent="0.35">
      <c r="A829" s="10" t="s">
        <v>1016</v>
      </c>
      <c r="B829" s="58" t="s">
        <v>1752</v>
      </c>
      <c r="C829" s="58" t="s">
        <v>1752</v>
      </c>
      <c r="D829" s="60"/>
      <c r="E829" s="62">
        <v>1</v>
      </c>
    </row>
    <row r="830" spans="1:5" x14ac:dyDescent="0.35">
      <c r="A830" s="10" t="s">
        <v>1017</v>
      </c>
      <c r="B830" s="58" t="s">
        <v>1752</v>
      </c>
      <c r="C830" s="58" t="s">
        <v>1752</v>
      </c>
      <c r="D830" s="60"/>
      <c r="E830" s="62">
        <v>1</v>
      </c>
    </row>
    <row r="831" spans="1:5" x14ac:dyDescent="0.35">
      <c r="A831" s="10" t="s">
        <v>1018</v>
      </c>
      <c r="B831" s="58" t="s">
        <v>1752</v>
      </c>
      <c r="C831" s="58" t="s">
        <v>1752</v>
      </c>
      <c r="D831" s="60"/>
      <c r="E831" s="62">
        <v>1</v>
      </c>
    </row>
    <row r="832" spans="1:5" x14ac:dyDescent="0.35">
      <c r="A832" s="10" t="s">
        <v>1019</v>
      </c>
      <c r="B832" s="58" t="s">
        <v>1827</v>
      </c>
      <c r="C832" s="58" t="s">
        <v>1752</v>
      </c>
      <c r="D832" s="60"/>
      <c r="E832" s="62">
        <v>1</v>
      </c>
    </row>
    <row r="833" spans="1:5" x14ac:dyDescent="0.35">
      <c r="A833" s="10" t="s">
        <v>1020</v>
      </c>
      <c r="B833" s="58" t="s">
        <v>1752</v>
      </c>
      <c r="C833" s="58" t="s">
        <v>1752</v>
      </c>
      <c r="D833" s="60"/>
      <c r="E833" s="62">
        <v>1</v>
      </c>
    </row>
    <row r="834" spans="1:5" x14ac:dyDescent="0.35">
      <c r="A834" s="11" t="s">
        <v>1021</v>
      </c>
      <c r="B834" s="58" t="s">
        <v>1752</v>
      </c>
      <c r="C834" s="58" t="s">
        <v>1752</v>
      </c>
      <c r="D834" s="60"/>
      <c r="E834" s="62">
        <v>1</v>
      </c>
    </row>
    <row r="835" spans="1:5" x14ac:dyDescent="0.35">
      <c r="A835" s="10" t="s">
        <v>1022</v>
      </c>
      <c r="B835" s="58" t="s">
        <v>1752</v>
      </c>
      <c r="C835" s="58" t="s">
        <v>1752</v>
      </c>
      <c r="D835" s="60"/>
      <c r="E835" s="62">
        <v>1</v>
      </c>
    </row>
    <row r="836" spans="1:5" x14ac:dyDescent="0.35">
      <c r="A836" s="11" t="s">
        <v>1023</v>
      </c>
      <c r="B836" s="58" t="s">
        <v>1752</v>
      </c>
      <c r="C836" s="58" t="s">
        <v>1752</v>
      </c>
      <c r="D836" s="60"/>
      <c r="E836" s="62">
        <v>1</v>
      </c>
    </row>
    <row r="837" spans="1:5" x14ac:dyDescent="0.35">
      <c r="A837" s="11" t="s">
        <v>1024</v>
      </c>
      <c r="B837" s="58" t="s">
        <v>1752</v>
      </c>
      <c r="C837" s="58" t="s">
        <v>1752</v>
      </c>
      <c r="D837" s="60"/>
      <c r="E837" s="62">
        <v>1</v>
      </c>
    </row>
    <row r="838" spans="1:5" x14ac:dyDescent="0.35">
      <c r="A838" s="11" t="s">
        <v>1025</v>
      </c>
      <c r="B838" s="58" t="s">
        <v>1752</v>
      </c>
      <c r="C838" s="58" t="s">
        <v>1752</v>
      </c>
      <c r="D838" s="60"/>
      <c r="E838" s="62">
        <v>1</v>
      </c>
    </row>
    <row r="839" spans="1:5" x14ac:dyDescent="0.35">
      <c r="A839" s="11" t="s">
        <v>1026</v>
      </c>
      <c r="B839" s="58" t="s">
        <v>1752</v>
      </c>
      <c r="C839" s="58" t="s">
        <v>1752</v>
      </c>
      <c r="D839" s="60"/>
      <c r="E839" s="62">
        <v>1</v>
      </c>
    </row>
    <row r="840" spans="1:5" x14ac:dyDescent="0.35">
      <c r="A840" s="10" t="s">
        <v>1027</v>
      </c>
      <c r="B840" s="58" t="s">
        <v>1752</v>
      </c>
      <c r="C840" s="58" t="s">
        <v>1752</v>
      </c>
      <c r="D840" s="60"/>
      <c r="E840" s="62">
        <v>1</v>
      </c>
    </row>
    <row r="841" spans="1:5" x14ac:dyDescent="0.35">
      <c r="A841" s="11" t="s">
        <v>1028</v>
      </c>
      <c r="B841" s="58" t="s">
        <v>1752</v>
      </c>
      <c r="C841" s="58" t="s">
        <v>1752</v>
      </c>
      <c r="D841" s="60"/>
      <c r="E841" s="62">
        <v>1</v>
      </c>
    </row>
    <row r="842" spans="1:5" x14ac:dyDescent="0.35">
      <c r="A842" s="11" t="s">
        <v>1029</v>
      </c>
      <c r="B842" s="58" t="s">
        <v>1752</v>
      </c>
      <c r="C842" s="58" t="s">
        <v>1752</v>
      </c>
      <c r="D842" s="60"/>
      <c r="E842" s="62">
        <v>1</v>
      </c>
    </row>
    <row r="843" spans="1:5" x14ac:dyDescent="0.35">
      <c r="A843" s="11" t="s">
        <v>1030</v>
      </c>
      <c r="B843" s="58" t="s">
        <v>1752</v>
      </c>
      <c r="C843" s="58" t="s">
        <v>1752</v>
      </c>
      <c r="D843" s="60"/>
      <c r="E843" s="62">
        <v>1</v>
      </c>
    </row>
    <row r="844" spans="1:5" x14ac:dyDescent="0.35">
      <c r="A844" s="10" t="s">
        <v>1031</v>
      </c>
      <c r="B844" s="58" t="s">
        <v>1752</v>
      </c>
      <c r="C844" s="58" t="s">
        <v>1752</v>
      </c>
      <c r="D844" s="60"/>
      <c r="E844" s="62">
        <v>1</v>
      </c>
    </row>
    <row r="845" spans="1:5" x14ac:dyDescent="0.35">
      <c r="A845" s="11" t="s">
        <v>1032</v>
      </c>
      <c r="B845" s="58" t="s">
        <v>1752</v>
      </c>
      <c r="C845" s="58" t="s">
        <v>1752</v>
      </c>
      <c r="D845" s="60"/>
      <c r="E845" s="62">
        <v>1</v>
      </c>
    </row>
    <row r="846" spans="1:5" x14ac:dyDescent="0.35">
      <c r="A846" s="11" t="s">
        <v>1033</v>
      </c>
      <c r="B846" s="58" t="s">
        <v>1752</v>
      </c>
      <c r="C846" s="58" t="s">
        <v>1752</v>
      </c>
      <c r="D846" s="60"/>
      <c r="E846" s="62">
        <v>1</v>
      </c>
    </row>
    <row r="847" spans="1:5" x14ac:dyDescent="0.35">
      <c r="A847" s="11" t="s">
        <v>1034</v>
      </c>
      <c r="B847" s="58" t="s">
        <v>1752</v>
      </c>
      <c r="C847" s="58" t="s">
        <v>1752</v>
      </c>
      <c r="D847" s="60"/>
      <c r="E847" s="62">
        <v>1</v>
      </c>
    </row>
    <row r="848" spans="1:5" x14ac:dyDescent="0.35">
      <c r="A848" s="11" t="s">
        <v>1035</v>
      </c>
      <c r="B848" s="58" t="s">
        <v>1752</v>
      </c>
      <c r="C848" s="58" t="s">
        <v>1752</v>
      </c>
      <c r="D848" s="60"/>
      <c r="E848" s="62">
        <v>1</v>
      </c>
    </row>
    <row r="849" spans="1:5" x14ac:dyDescent="0.35">
      <c r="A849" s="11" t="s">
        <v>1036</v>
      </c>
      <c r="B849" s="58" t="s">
        <v>1752</v>
      </c>
      <c r="C849" s="58" t="s">
        <v>1752</v>
      </c>
      <c r="D849" s="60"/>
      <c r="E849" s="62">
        <v>1</v>
      </c>
    </row>
    <row r="850" spans="1:5" x14ac:dyDescent="0.35">
      <c r="A850" s="11" t="s">
        <v>1037</v>
      </c>
      <c r="B850" s="58" t="s">
        <v>1827</v>
      </c>
      <c r="C850" s="58" t="s">
        <v>1752</v>
      </c>
      <c r="D850" s="60"/>
      <c r="E850" s="62">
        <v>1</v>
      </c>
    </row>
    <row r="851" spans="1:5" x14ac:dyDescent="0.35">
      <c r="A851" s="10" t="s">
        <v>1038</v>
      </c>
      <c r="B851" s="58" t="s">
        <v>1827</v>
      </c>
      <c r="C851" s="58" t="s">
        <v>1752</v>
      </c>
      <c r="D851" s="60"/>
      <c r="E851" s="62">
        <v>1</v>
      </c>
    </row>
    <row r="852" spans="1:5" x14ac:dyDescent="0.35">
      <c r="A852" s="11" t="s">
        <v>1039</v>
      </c>
      <c r="B852" s="58" t="s">
        <v>1827</v>
      </c>
      <c r="C852" s="58" t="s">
        <v>1752</v>
      </c>
      <c r="D852" s="60"/>
      <c r="E852" s="62">
        <v>1</v>
      </c>
    </row>
    <row r="853" spans="1:5" x14ac:dyDescent="0.35">
      <c r="A853" s="11" t="s">
        <v>1040</v>
      </c>
      <c r="B853" s="58" t="s">
        <v>1752</v>
      </c>
      <c r="C853" s="58" t="s">
        <v>1752</v>
      </c>
      <c r="D853" s="60"/>
      <c r="E853" s="62">
        <v>1</v>
      </c>
    </row>
    <row r="854" spans="1:5" x14ac:dyDescent="0.35">
      <c r="A854" s="10" t="s">
        <v>1041</v>
      </c>
      <c r="B854" s="58" t="s">
        <v>1752</v>
      </c>
      <c r="C854" s="58" t="s">
        <v>1752</v>
      </c>
      <c r="D854" s="60"/>
      <c r="E854" s="62">
        <v>1</v>
      </c>
    </row>
    <row r="855" spans="1:5" x14ac:dyDescent="0.35">
      <c r="A855" s="10" t="s">
        <v>1042</v>
      </c>
      <c r="B855" s="58" t="s">
        <v>1752</v>
      </c>
      <c r="C855" s="58" t="s">
        <v>1752</v>
      </c>
      <c r="D855" s="60"/>
      <c r="E855" s="62">
        <v>1</v>
      </c>
    </row>
    <row r="856" spans="1:5" x14ac:dyDescent="0.35">
      <c r="A856" s="11" t="s">
        <v>1043</v>
      </c>
      <c r="B856" s="58" t="s">
        <v>1752</v>
      </c>
      <c r="C856" s="58" t="s">
        <v>1752</v>
      </c>
      <c r="D856" s="60"/>
      <c r="E856" s="62">
        <v>1</v>
      </c>
    </row>
    <row r="857" spans="1:5" x14ac:dyDescent="0.35">
      <c r="A857" s="11" t="s">
        <v>1044</v>
      </c>
      <c r="B857" s="58" t="s">
        <v>1752</v>
      </c>
      <c r="C857" s="58" t="s">
        <v>1752</v>
      </c>
      <c r="D857" s="60"/>
      <c r="E857" s="62">
        <v>1</v>
      </c>
    </row>
    <row r="858" spans="1:5" x14ac:dyDescent="0.35">
      <c r="A858" s="11" t="s">
        <v>1045</v>
      </c>
      <c r="B858" s="58" t="s">
        <v>1752</v>
      </c>
      <c r="C858" s="58" t="s">
        <v>1752</v>
      </c>
      <c r="D858" s="60"/>
      <c r="E858" s="62">
        <v>1</v>
      </c>
    </row>
    <row r="859" spans="1:5" x14ac:dyDescent="0.35">
      <c r="A859" s="11" t="s">
        <v>1046</v>
      </c>
      <c r="B859" s="58" t="s">
        <v>1752</v>
      </c>
      <c r="C859" s="58" t="s">
        <v>1752</v>
      </c>
      <c r="D859" s="60"/>
      <c r="E859" s="62">
        <v>1</v>
      </c>
    </row>
    <row r="860" spans="1:5" x14ac:dyDescent="0.35">
      <c r="A860" s="10" t="s">
        <v>1047</v>
      </c>
      <c r="B860" s="58" t="s">
        <v>1752</v>
      </c>
      <c r="C860" s="58" t="s">
        <v>1752</v>
      </c>
      <c r="D860" s="60"/>
      <c r="E860" s="62">
        <v>1</v>
      </c>
    </row>
    <row r="861" spans="1:5" x14ac:dyDescent="0.35">
      <c r="A861" s="11" t="s">
        <v>1048</v>
      </c>
      <c r="B861" s="58" t="s">
        <v>1752</v>
      </c>
      <c r="C861" s="58" t="s">
        <v>1752</v>
      </c>
      <c r="D861" s="60"/>
      <c r="E861" s="62">
        <v>1</v>
      </c>
    </row>
    <row r="862" spans="1:5" x14ac:dyDescent="0.35">
      <c r="A862" s="10" t="s">
        <v>1049</v>
      </c>
      <c r="B862" s="58" t="s">
        <v>1752</v>
      </c>
      <c r="C862" s="58" t="s">
        <v>1752</v>
      </c>
      <c r="D862" s="60"/>
      <c r="E862" s="62">
        <v>1</v>
      </c>
    </row>
    <row r="863" spans="1:5" x14ac:dyDescent="0.35">
      <c r="A863" s="10" t="s">
        <v>1050</v>
      </c>
      <c r="B863" s="58" t="s">
        <v>1752</v>
      </c>
      <c r="C863" s="58" t="s">
        <v>1752</v>
      </c>
      <c r="D863" s="60"/>
      <c r="E863" s="62">
        <v>1</v>
      </c>
    </row>
    <row r="864" spans="1:5" x14ac:dyDescent="0.35">
      <c r="A864" s="11" t="s">
        <v>1051</v>
      </c>
      <c r="B864" s="58" t="s">
        <v>1752</v>
      </c>
      <c r="C864" s="58" t="s">
        <v>1752</v>
      </c>
      <c r="D864" s="60"/>
      <c r="E864" s="62">
        <v>1</v>
      </c>
    </row>
    <row r="865" spans="1:5" x14ac:dyDescent="0.35">
      <c r="A865" s="10" t="s">
        <v>1052</v>
      </c>
      <c r="B865" s="58" t="s">
        <v>1752</v>
      </c>
      <c r="C865" s="58" t="s">
        <v>1752</v>
      </c>
      <c r="D865" s="60"/>
      <c r="E865" s="62">
        <v>1</v>
      </c>
    </row>
    <row r="866" spans="1:5" x14ac:dyDescent="0.35">
      <c r="A866" s="10" t="s">
        <v>1053</v>
      </c>
      <c r="B866" s="58" t="s">
        <v>1752</v>
      </c>
      <c r="C866" s="58" t="s">
        <v>1752</v>
      </c>
      <c r="D866" s="60"/>
      <c r="E866" s="62">
        <v>1</v>
      </c>
    </row>
    <row r="867" spans="1:5" x14ac:dyDescent="0.35">
      <c r="A867" s="11" t="s">
        <v>1054</v>
      </c>
      <c r="B867" s="58" t="s">
        <v>1752</v>
      </c>
      <c r="C867" s="58" t="s">
        <v>1752</v>
      </c>
      <c r="D867" s="60"/>
      <c r="E867" s="62">
        <v>1</v>
      </c>
    </row>
    <row r="868" spans="1:5" x14ac:dyDescent="0.35">
      <c r="A868" s="10" t="s">
        <v>1055</v>
      </c>
      <c r="B868" s="58" t="s">
        <v>1752</v>
      </c>
      <c r="C868" s="58" t="s">
        <v>1752</v>
      </c>
      <c r="D868" s="60"/>
      <c r="E868" s="62">
        <v>1</v>
      </c>
    </row>
    <row r="869" spans="1:5" x14ac:dyDescent="0.35">
      <c r="A869" s="10" t="s">
        <v>1056</v>
      </c>
      <c r="B869" s="58" t="s">
        <v>1752</v>
      </c>
      <c r="C869" s="58" t="s">
        <v>1752</v>
      </c>
      <c r="D869" s="60"/>
      <c r="E869" s="62">
        <v>1</v>
      </c>
    </row>
    <row r="870" spans="1:5" x14ac:dyDescent="0.35">
      <c r="A870" s="10" t="s">
        <v>1057</v>
      </c>
      <c r="B870" s="58" t="s">
        <v>1752</v>
      </c>
      <c r="C870" s="58" t="s">
        <v>1752</v>
      </c>
      <c r="D870" s="60"/>
      <c r="E870" s="62">
        <v>1</v>
      </c>
    </row>
    <row r="871" spans="1:5" x14ac:dyDescent="0.35">
      <c r="A871" s="11" t="s">
        <v>1058</v>
      </c>
      <c r="B871" s="58" t="s">
        <v>1752</v>
      </c>
      <c r="C871" s="58" t="s">
        <v>1752</v>
      </c>
      <c r="D871" s="60"/>
      <c r="E871" s="62">
        <v>1</v>
      </c>
    </row>
    <row r="872" spans="1:5" x14ac:dyDescent="0.35">
      <c r="A872" s="10" t="s">
        <v>1059</v>
      </c>
      <c r="B872" s="58" t="s">
        <v>1752</v>
      </c>
      <c r="C872" s="58" t="s">
        <v>1752</v>
      </c>
      <c r="D872" s="60"/>
      <c r="E872" s="62">
        <v>1</v>
      </c>
    </row>
    <row r="873" spans="1:5" x14ac:dyDescent="0.35">
      <c r="A873" s="11" t="s">
        <v>1060</v>
      </c>
      <c r="B873" s="58" t="s">
        <v>1752</v>
      </c>
      <c r="C873" s="58" t="s">
        <v>1752</v>
      </c>
      <c r="D873" s="60"/>
      <c r="E873" s="62">
        <v>1</v>
      </c>
    </row>
    <row r="874" spans="1:5" x14ac:dyDescent="0.35">
      <c r="A874" s="11" t="s">
        <v>1061</v>
      </c>
      <c r="B874" s="58" t="s">
        <v>1752</v>
      </c>
      <c r="C874" s="58" t="s">
        <v>1752</v>
      </c>
      <c r="D874" s="60"/>
      <c r="E874" s="62">
        <v>1</v>
      </c>
    </row>
    <row r="875" spans="1:5" x14ac:dyDescent="0.35">
      <c r="A875" s="11" t="s">
        <v>1062</v>
      </c>
      <c r="B875" s="58" t="s">
        <v>1752</v>
      </c>
      <c r="C875" s="58" t="s">
        <v>1752</v>
      </c>
      <c r="D875" s="60"/>
      <c r="E875" s="62">
        <v>1</v>
      </c>
    </row>
    <row r="876" spans="1:5" x14ac:dyDescent="0.35">
      <c r="A876" s="11" t="s">
        <v>1063</v>
      </c>
      <c r="B876" s="58" t="s">
        <v>1752</v>
      </c>
      <c r="C876" s="58" t="s">
        <v>1752</v>
      </c>
      <c r="D876" s="60"/>
      <c r="E876" s="62">
        <v>1</v>
      </c>
    </row>
    <row r="877" spans="1:5" x14ac:dyDescent="0.35">
      <c r="A877" s="10" t="s">
        <v>1064</v>
      </c>
      <c r="B877" s="58" t="s">
        <v>1752</v>
      </c>
      <c r="C877" s="58" t="s">
        <v>1752</v>
      </c>
      <c r="D877" s="60"/>
      <c r="E877" s="62">
        <v>1</v>
      </c>
    </row>
    <row r="878" spans="1:5" x14ac:dyDescent="0.35">
      <c r="A878" s="10" t="s">
        <v>1065</v>
      </c>
      <c r="B878" s="58" t="s">
        <v>1752</v>
      </c>
      <c r="C878" s="58" t="s">
        <v>1752</v>
      </c>
      <c r="D878" s="60"/>
      <c r="E878" s="62">
        <v>1</v>
      </c>
    </row>
    <row r="879" spans="1:5" x14ac:dyDescent="0.35">
      <c r="A879" s="11" t="s">
        <v>1066</v>
      </c>
      <c r="B879" s="58" t="s">
        <v>1752</v>
      </c>
      <c r="C879" s="58" t="s">
        <v>1752</v>
      </c>
      <c r="D879" s="60"/>
      <c r="E879" s="62">
        <v>1</v>
      </c>
    </row>
    <row r="880" spans="1:5" x14ac:dyDescent="0.35">
      <c r="A880" s="10" t="s">
        <v>1067</v>
      </c>
      <c r="B880" s="58" t="s">
        <v>1752</v>
      </c>
      <c r="C880" s="58" t="s">
        <v>1752</v>
      </c>
      <c r="D880" s="60"/>
      <c r="E880" s="62">
        <v>1</v>
      </c>
    </row>
    <row r="881" spans="1:5" x14ac:dyDescent="0.35">
      <c r="A881" s="11" t="s">
        <v>1068</v>
      </c>
      <c r="B881" s="58" t="s">
        <v>1752</v>
      </c>
      <c r="C881" s="58" t="s">
        <v>1752</v>
      </c>
      <c r="D881" s="60"/>
      <c r="E881" s="62">
        <v>1</v>
      </c>
    </row>
    <row r="882" spans="1:5" x14ac:dyDescent="0.35">
      <c r="A882" s="10" t="s">
        <v>1069</v>
      </c>
      <c r="B882" s="58" t="s">
        <v>1752</v>
      </c>
      <c r="C882" s="58" t="s">
        <v>1752</v>
      </c>
      <c r="D882" s="60"/>
      <c r="E882" s="62">
        <v>1</v>
      </c>
    </row>
    <row r="883" spans="1:5" x14ac:dyDescent="0.35">
      <c r="A883" s="11" t="s">
        <v>1070</v>
      </c>
      <c r="B883" s="58" t="s">
        <v>1752</v>
      </c>
      <c r="C883" s="58" t="s">
        <v>1752</v>
      </c>
      <c r="D883" s="60"/>
      <c r="E883" s="62">
        <v>1</v>
      </c>
    </row>
    <row r="884" spans="1:5" x14ac:dyDescent="0.35">
      <c r="A884" s="10" t="s">
        <v>1071</v>
      </c>
      <c r="B884" s="58" t="s">
        <v>1752</v>
      </c>
      <c r="C884" s="58" t="s">
        <v>1752</v>
      </c>
      <c r="D884" s="60"/>
      <c r="E884" s="62">
        <v>1</v>
      </c>
    </row>
    <row r="885" spans="1:5" x14ac:dyDescent="0.35">
      <c r="A885" s="10" t="s">
        <v>1072</v>
      </c>
      <c r="B885" s="58" t="s">
        <v>1827</v>
      </c>
      <c r="C885" s="58" t="s">
        <v>1752</v>
      </c>
      <c r="D885" s="60"/>
      <c r="E885" s="62">
        <v>1</v>
      </c>
    </row>
    <row r="886" spans="1:5" x14ac:dyDescent="0.35">
      <c r="A886" s="11" t="s">
        <v>1073</v>
      </c>
      <c r="B886" s="58" t="s">
        <v>1752</v>
      </c>
      <c r="C886" s="58" t="s">
        <v>1752</v>
      </c>
      <c r="D886" s="60"/>
      <c r="E886" s="62">
        <v>1</v>
      </c>
    </row>
    <row r="887" spans="1:5" x14ac:dyDescent="0.35">
      <c r="A887" s="11" t="s">
        <v>1074</v>
      </c>
      <c r="B887" s="58" t="s">
        <v>1752</v>
      </c>
      <c r="C887" s="58" t="s">
        <v>1752</v>
      </c>
      <c r="D887" s="60"/>
      <c r="E887" s="62">
        <v>1</v>
      </c>
    </row>
    <row r="888" spans="1:5" x14ac:dyDescent="0.35">
      <c r="A888" s="10" t="s">
        <v>1075</v>
      </c>
      <c r="B888" s="58" t="s">
        <v>1752</v>
      </c>
      <c r="C888" s="58" t="s">
        <v>1752</v>
      </c>
      <c r="D888" s="60"/>
      <c r="E888" s="62">
        <v>1</v>
      </c>
    </row>
    <row r="889" spans="1:5" x14ac:dyDescent="0.35">
      <c r="A889" s="11" t="s">
        <v>1076</v>
      </c>
      <c r="B889" s="58" t="s">
        <v>1752</v>
      </c>
      <c r="C889" s="58" t="s">
        <v>1752</v>
      </c>
      <c r="D889" s="60"/>
      <c r="E889" s="62">
        <v>1</v>
      </c>
    </row>
    <row r="890" spans="1:5" x14ac:dyDescent="0.35">
      <c r="A890" s="10" t="s">
        <v>1077</v>
      </c>
      <c r="B890" s="58" t="s">
        <v>1752</v>
      </c>
      <c r="C890" s="58" t="s">
        <v>1752</v>
      </c>
      <c r="D890" s="60"/>
      <c r="E890" s="62">
        <v>1</v>
      </c>
    </row>
    <row r="891" spans="1:5" x14ac:dyDescent="0.35">
      <c r="A891" s="11" t="s">
        <v>1078</v>
      </c>
      <c r="B891" s="58" t="s">
        <v>1752</v>
      </c>
      <c r="C891" s="58" t="s">
        <v>1752</v>
      </c>
      <c r="D891" s="60"/>
      <c r="E891" s="62">
        <v>1</v>
      </c>
    </row>
    <row r="892" spans="1:5" x14ac:dyDescent="0.35">
      <c r="A892" s="10" t="s">
        <v>1079</v>
      </c>
      <c r="B892" s="58" t="s">
        <v>1752</v>
      </c>
      <c r="C892" s="58" t="s">
        <v>1752</v>
      </c>
      <c r="D892" s="60"/>
      <c r="E892" s="62">
        <v>1</v>
      </c>
    </row>
    <row r="893" spans="1:5" x14ac:dyDescent="0.35">
      <c r="A893" s="11" t="s">
        <v>1080</v>
      </c>
      <c r="B893" s="58" t="s">
        <v>1752</v>
      </c>
      <c r="C893" s="58" t="s">
        <v>1752</v>
      </c>
      <c r="D893" s="60"/>
      <c r="E893" s="62">
        <v>1</v>
      </c>
    </row>
    <row r="894" spans="1:5" x14ac:dyDescent="0.35">
      <c r="A894" s="10" t="s">
        <v>1081</v>
      </c>
      <c r="B894" s="58" t="s">
        <v>1752</v>
      </c>
      <c r="C894" s="58" t="s">
        <v>1752</v>
      </c>
      <c r="D894" s="60"/>
      <c r="E894" s="62">
        <v>1</v>
      </c>
    </row>
    <row r="895" spans="1:5" x14ac:dyDescent="0.35">
      <c r="A895" s="11" t="s">
        <v>1082</v>
      </c>
      <c r="B895" s="58" t="s">
        <v>1752</v>
      </c>
      <c r="C895" s="58" t="s">
        <v>1752</v>
      </c>
      <c r="D895" s="60"/>
      <c r="E895" s="62">
        <v>1</v>
      </c>
    </row>
    <row r="896" spans="1:5" x14ac:dyDescent="0.35">
      <c r="A896" s="10" t="s">
        <v>1083</v>
      </c>
      <c r="B896" s="58" t="s">
        <v>1752</v>
      </c>
      <c r="C896" s="58" t="s">
        <v>1752</v>
      </c>
      <c r="D896" s="60"/>
      <c r="E896" s="62">
        <v>1</v>
      </c>
    </row>
    <row r="897" spans="1:5" x14ac:dyDescent="0.35">
      <c r="A897" s="10" t="s">
        <v>1084</v>
      </c>
      <c r="B897" s="58" t="s">
        <v>1752</v>
      </c>
      <c r="C897" s="58" t="s">
        <v>1752</v>
      </c>
      <c r="D897" s="60"/>
      <c r="E897" s="62">
        <v>1</v>
      </c>
    </row>
    <row r="898" spans="1:5" x14ac:dyDescent="0.35">
      <c r="A898" s="10" t="s">
        <v>1085</v>
      </c>
      <c r="B898" s="58" t="s">
        <v>1752</v>
      </c>
      <c r="C898" s="58" t="s">
        <v>1752</v>
      </c>
      <c r="D898" s="60"/>
      <c r="E898" s="62">
        <v>1</v>
      </c>
    </row>
    <row r="899" spans="1:5" x14ac:dyDescent="0.35">
      <c r="A899" s="11" t="s">
        <v>1086</v>
      </c>
      <c r="B899" s="58" t="s">
        <v>1752</v>
      </c>
      <c r="C899" s="58" t="s">
        <v>1752</v>
      </c>
      <c r="D899" s="60"/>
      <c r="E899" s="62">
        <v>1</v>
      </c>
    </row>
    <row r="900" spans="1:5" x14ac:dyDescent="0.35">
      <c r="A900" s="10" t="s">
        <v>1087</v>
      </c>
      <c r="B900" s="58" t="s">
        <v>1752</v>
      </c>
      <c r="C900" s="58" t="s">
        <v>1752</v>
      </c>
      <c r="D900" s="60"/>
      <c r="E900" s="62">
        <v>1</v>
      </c>
    </row>
    <row r="901" spans="1:5" x14ac:dyDescent="0.35">
      <c r="A901" s="11" t="s">
        <v>1088</v>
      </c>
      <c r="B901" s="58" t="s">
        <v>1752</v>
      </c>
      <c r="C901" s="58" t="s">
        <v>1752</v>
      </c>
      <c r="D901" s="60"/>
      <c r="E901" s="62">
        <v>1</v>
      </c>
    </row>
    <row r="902" spans="1:5" x14ac:dyDescent="0.35">
      <c r="A902" s="10" t="s">
        <v>1089</v>
      </c>
      <c r="B902" s="58" t="s">
        <v>1752</v>
      </c>
      <c r="C902" s="58" t="s">
        <v>1752</v>
      </c>
      <c r="D902" s="60"/>
      <c r="E902" s="62">
        <v>1</v>
      </c>
    </row>
    <row r="903" spans="1:5" x14ac:dyDescent="0.35">
      <c r="A903" s="11" t="s">
        <v>1090</v>
      </c>
      <c r="B903" s="58" t="s">
        <v>1752</v>
      </c>
      <c r="C903" s="58" t="s">
        <v>1752</v>
      </c>
      <c r="D903" s="60"/>
      <c r="E903" s="62">
        <v>1</v>
      </c>
    </row>
    <row r="904" spans="1:5" x14ac:dyDescent="0.35">
      <c r="A904" s="11" t="s">
        <v>1091</v>
      </c>
      <c r="B904" s="58" t="s">
        <v>1752</v>
      </c>
      <c r="C904" s="58" t="s">
        <v>1752</v>
      </c>
      <c r="D904" s="60"/>
      <c r="E904" s="62">
        <v>1</v>
      </c>
    </row>
    <row r="905" spans="1:5" x14ac:dyDescent="0.35">
      <c r="A905" s="11" t="s">
        <v>1092</v>
      </c>
      <c r="B905" s="58" t="s">
        <v>1752</v>
      </c>
      <c r="C905" s="58" t="s">
        <v>1752</v>
      </c>
      <c r="D905" s="60"/>
      <c r="E905" s="62">
        <v>1</v>
      </c>
    </row>
    <row r="906" spans="1:5" x14ac:dyDescent="0.35">
      <c r="A906" s="11" t="s">
        <v>1093</v>
      </c>
      <c r="B906" s="58" t="s">
        <v>1752</v>
      </c>
      <c r="C906" s="58" t="s">
        <v>1752</v>
      </c>
      <c r="D906" s="60"/>
      <c r="E906" s="62">
        <v>1</v>
      </c>
    </row>
    <row r="907" spans="1:5" x14ac:dyDescent="0.35">
      <c r="A907" s="11" t="s">
        <v>1094</v>
      </c>
      <c r="B907" s="58" t="s">
        <v>1752</v>
      </c>
      <c r="C907" s="58" t="s">
        <v>1752</v>
      </c>
      <c r="D907" s="60"/>
      <c r="E907" s="62">
        <v>1</v>
      </c>
    </row>
    <row r="908" spans="1:5" x14ac:dyDescent="0.35">
      <c r="A908" s="11" t="s">
        <v>1095</v>
      </c>
      <c r="B908" s="58" t="s">
        <v>1752</v>
      </c>
      <c r="C908" s="58" t="s">
        <v>1752</v>
      </c>
      <c r="D908" s="60"/>
      <c r="E908" s="62">
        <v>1</v>
      </c>
    </row>
    <row r="909" spans="1:5" x14ac:dyDescent="0.35">
      <c r="A909" s="10" t="s">
        <v>1096</v>
      </c>
      <c r="B909" s="58" t="s">
        <v>1752</v>
      </c>
      <c r="C909" s="58" t="s">
        <v>1752</v>
      </c>
      <c r="D909" s="60"/>
      <c r="E909" s="62">
        <v>1</v>
      </c>
    </row>
    <row r="910" spans="1:5" x14ac:dyDescent="0.35">
      <c r="A910" s="11" t="s">
        <v>1097</v>
      </c>
      <c r="B910" s="58" t="s">
        <v>1752</v>
      </c>
      <c r="C910" s="58" t="s">
        <v>1752</v>
      </c>
      <c r="D910" s="60"/>
      <c r="E910" s="62">
        <v>1</v>
      </c>
    </row>
    <row r="911" spans="1:5" x14ac:dyDescent="0.35">
      <c r="A911" s="10" t="s">
        <v>1098</v>
      </c>
      <c r="B911" s="58" t="s">
        <v>1752</v>
      </c>
      <c r="C911" s="58" t="s">
        <v>1752</v>
      </c>
      <c r="D911" s="60"/>
      <c r="E911" s="62">
        <v>1</v>
      </c>
    </row>
    <row r="912" spans="1:5" x14ac:dyDescent="0.35">
      <c r="A912" s="11" t="s">
        <v>1099</v>
      </c>
      <c r="B912" s="58" t="s">
        <v>1752</v>
      </c>
      <c r="C912" s="58" t="s">
        <v>1752</v>
      </c>
      <c r="D912" s="60"/>
      <c r="E912" s="62">
        <v>1</v>
      </c>
    </row>
    <row r="913" spans="1:5" x14ac:dyDescent="0.35">
      <c r="A913" s="11" t="s">
        <v>1100</v>
      </c>
      <c r="B913" s="58" t="s">
        <v>1752</v>
      </c>
      <c r="C913" s="58" t="s">
        <v>1752</v>
      </c>
      <c r="D913" s="60"/>
      <c r="E913" s="62">
        <v>1</v>
      </c>
    </row>
    <row r="914" spans="1:5" x14ac:dyDescent="0.35">
      <c r="A914" s="10" t="s">
        <v>1101</v>
      </c>
      <c r="B914" s="58" t="s">
        <v>1752</v>
      </c>
      <c r="C914" s="58" t="s">
        <v>1752</v>
      </c>
      <c r="D914" s="60"/>
      <c r="E914" s="62">
        <v>1</v>
      </c>
    </row>
    <row r="915" spans="1:5" x14ac:dyDescent="0.35">
      <c r="A915" s="11" t="s">
        <v>1102</v>
      </c>
      <c r="B915" s="58" t="s">
        <v>1752</v>
      </c>
      <c r="C915" s="58" t="s">
        <v>1752</v>
      </c>
      <c r="D915" s="60"/>
      <c r="E915" s="62">
        <v>1</v>
      </c>
    </row>
    <row r="916" spans="1:5" x14ac:dyDescent="0.35">
      <c r="A916" s="11" t="s">
        <v>1103</v>
      </c>
      <c r="B916" s="58" t="s">
        <v>1752</v>
      </c>
      <c r="C916" s="58" t="s">
        <v>1752</v>
      </c>
      <c r="D916" s="60"/>
      <c r="E916" s="62">
        <v>1</v>
      </c>
    </row>
    <row r="917" spans="1:5" x14ac:dyDescent="0.35">
      <c r="A917" s="11" t="s">
        <v>1104</v>
      </c>
      <c r="B917" s="58" t="s">
        <v>1827</v>
      </c>
      <c r="C917" s="58" t="s">
        <v>1752</v>
      </c>
      <c r="D917" s="60"/>
      <c r="E917" s="62">
        <v>1</v>
      </c>
    </row>
    <row r="918" spans="1:5" x14ac:dyDescent="0.35">
      <c r="A918" s="10" t="s">
        <v>1105</v>
      </c>
      <c r="B918" s="58" t="s">
        <v>1752</v>
      </c>
      <c r="C918" s="58" t="s">
        <v>1752</v>
      </c>
      <c r="D918" s="60"/>
      <c r="E918" s="62">
        <v>1</v>
      </c>
    </row>
    <row r="919" spans="1:5" x14ac:dyDescent="0.35">
      <c r="A919" s="11" t="s">
        <v>1106</v>
      </c>
      <c r="B919" s="58" t="s">
        <v>1752</v>
      </c>
      <c r="C919" s="58" t="s">
        <v>1752</v>
      </c>
      <c r="D919" s="60"/>
      <c r="E919" s="62">
        <v>1</v>
      </c>
    </row>
    <row r="920" spans="1:5" x14ac:dyDescent="0.35">
      <c r="A920" s="10" t="s">
        <v>1107</v>
      </c>
      <c r="B920" s="58" t="s">
        <v>1827</v>
      </c>
      <c r="C920" s="58" t="s">
        <v>1752</v>
      </c>
      <c r="D920" s="60"/>
      <c r="E920" s="62">
        <v>1</v>
      </c>
    </row>
    <row r="921" spans="1:5" x14ac:dyDescent="0.35">
      <c r="A921" s="10" t="s">
        <v>1108</v>
      </c>
      <c r="B921" s="58" t="s">
        <v>1752</v>
      </c>
      <c r="C921" s="58" t="s">
        <v>1752</v>
      </c>
      <c r="D921" s="60"/>
      <c r="E921" s="62">
        <v>1</v>
      </c>
    </row>
    <row r="922" spans="1:5" x14ac:dyDescent="0.35">
      <c r="A922" s="10" t="s">
        <v>1109</v>
      </c>
      <c r="B922" s="58" t="s">
        <v>1752</v>
      </c>
      <c r="C922" s="58" t="s">
        <v>1752</v>
      </c>
      <c r="D922" s="60"/>
      <c r="E922" s="62">
        <v>1</v>
      </c>
    </row>
    <row r="923" spans="1:5" x14ac:dyDescent="0.35">
      <c r="A923" s="11" t="s">
        <v>1110</v>
      </c>
      <c r="B923" s="58" t="s">
        <v>1752</v>
      </c>
      <c r="C923" s="58" t="s">
        <v>1752</v>
      </c>
      <c r="D923" s="60"/>
      <c r="E923" s="62">
        <v>1</v>
      </c>
    </row>
    <row r="924" spans="1:5" x14ac:dyDescent="0.35">
      <c r="A924" s="10" t="s">
        <v>1111</v>
      </c>
      <c r="B924" s="58" t="s">
        <v>1752</v>
      </c>
      <c r="C924" s="58" t="s">
        <v>1752</v>
      </c>
      <c r="D924" s="60"/>
      <c r="E924" s="62">
        <v>1</v>
      </c>
    </row>
    <row r="925" spans="1:5" x14ac:dyDescent="0.35">
      <c r="A925" s="11" t="s">
        <v>1112</v>
      </c>
      <c r="B925" s="58" t="s">
        <v>1752</v>
      </c>
      <c r="C925" s="58" t="s">
        <v>1752</v>
      </c>
      <c r="D925" s="60"/>
      <c r="E925" s="62">
        <v>1</v>
      </c>
    </row>
    <row r="926" spans="1:5" x14ac:dyDescent="0.35">
      <c r="A926" s="10" t="s">
        <v>1113</v>
      </c>
      <c r="B926" s="58" t="s">
        <v>1752</v>
      </c>
      <c r="C926" s="58" t="s">
        <v>1752</v>
      </c>
      <c r="D926" s="60"/>
      <c r="E926" s="62">
        <v>1</v>
      </c>
    </row>
    <row r="927" spans="1:5" x14ac:dyDescent="0.35">
      <c r="A927" s="11" t="s">
        <v>1114</v>
      </c>
      <c r="B927" s="58" t="s">
        <v>1752</v>
      </c>
      <c r="C927" s="58" t="s">
        <v>1752</v>
      </c>
      <c r="D927" s="60"/>
      <c r="E927" s="62">
        <v>1</v>
      </c>
    </row>
    <row r="928" spans="1:5" x14ac:dyDescent="0.35">
      <c r="A928" s="10" t="s">
        <v>1115</v>
      </c>
      <c r="B928" s="58" t="s">
        <v>1752</v>
      </c>
      <c r="C928" s="58" t="s">
        <v>1752</v>
      </c>
      <c r="D928" s="60"/>
      <c r="E928" s="62">
        <v>1</v>
      </c>
    </row>
    <row r="929" spans="1:5" x14ac:dyDescent="0.35">
      <c r="A929" s="11" t="s">
        <v>1116</v>
      </c>
      <c r="B929" s="58" t="s">
        <v>1752</v>
      </c>
      <c r="C929" s="58" t="s">
        <v>1752</v>
      </c>
      <c r="D929" s="60"/>
      <c r="E929" s="62">
        <v>1</v>
      </c>
    </row>
    <row r="930" spans="1:5" x14ac:dyDescent="0.35">
      <c r="A930" s="10" t="s">
        <v>1117</v>
      </c>
      <c r="B930" s="58" t="s">
        <v>1752</v>
      </c>
      <c r="C930" s="58" t="s">
        <v>1752</v>
      </c>
      <c r="D930" s="60"/>
      <c r="E930" s="62">
        <v>1</v>
      </c>
    </row>
    <row r="931" spans="1:5" x14ac:dyDescent="0.35">
      <c r="A931" s="11" t="s">
        <v>1118</v>
      </c>
      <c r="B931" s="58" t="s">
        <v>1752</v>
      </c>
      <c r="C931" s="58" t="s">
        <v>1752</v>
      </c>
      <c r="D931" s="60"/>
      <c r="E931" s="62">
        <v>1</v>
      </c>
    </row>
    <row r="932" spans="1:5" x14ac:dyDescent="0.35">
      <c r="A932" s="10" t="s">
        <v>1119</v>
      </c>
      <c r="B932" s="58" t="s">
        <v>1752</v>
      </c>
      <c r="C932" s="58" t="s">
        <v>1752</v>
      </c>
      <c r="D932" s="60"/>
      <c r="E932" s="62">
        <v>1</v>
      </c>
    </row>
    <row r="933" spans="1:5" x14ac:dyDescent="0.35">
      <c r="A933" s="11" t="s">
        <v>1120</v>
      </c>
      <c r="B933" s="58" t="s">
        <v>1827</v>
      </c>
      <c r="C933" s="58" t="s">
        <v>1752</v>
      </c>
      <c r="D933" s="60"/>
      <c r="E933" s="62">
        <v>1</v>
      </c>
    </row>
    <row r="934" spans="1:5" x14ac:dyDescent="0.35">
      <c r="A934" s="10" t="s">
        <v>1121</v>
      </c>
      <c r="B934" s="58" t="s">
        <v>1752</v>
      </c>
      <c r="C934" s="58" t="s">
        <v>1752</v>
      </c>
      <c r="D934" s="60"/>
      <c r="E934" s="62">
        <v>1</v>
      </c>
    </row>
    <row r="935" spans="1:5" x14ac:dyDescent="0.35">
      <c r="A935" s="11" t="s">
        <v>1122</v>
      </c>
      <c r="B935" s="58" t="s">
        <v>1752</v>
      </c>
      <c r="C935" s="58" t="s">
        <v>1752</v>
      </c>
      <c r="D935" s="60"/>
      <c r="E935" s="62">
        <v>1</v>
      </c>
    </row>
    <row r="936" spans="1:5" x14ac:dyDescent="0.35">
      <c r="A936" s="10" t="s">
        <v>1123</v>
      </c>
      <c r="B936" s="58" t="s">
        <v>1752</v>
      </c>
      <c r="C936" s="58" t="s">
        <v>1752</v>
      </c>
      <c r="D936" s="60"/>
      <c r="E936" s="62">
        <v>1</v>
      </c>
    </row>
    <row r="937" spans="1:5" x14ac:dyDescent="0.35">
      <c r="A937" s="11" t="s">
        <v>1124</v>
      </c>
      <c r="B937" s="58" t="s">
        <v>1752</v>
      </c>
      <c r="C937" s="58" t="s">
        <v>1752</v>
      </c>
      <c r="D937" s="60"/>
      <c r="E937" s="62">
        <v>1</v>
      </c>
    </row>
    <row r="938" spans="1:5" x14ac:dyDescent="0.35">
      <c r="A938" s="10" t="s">
        <v>1125</v>
      </c>
      <c r="B938" s="58" t="s">
        <v>1752</v>
      </c>
      <c r="C938" s="58" t="s">
        <v>1752</v>
      </c>
      <c r="D938" s="60"/>
      <c r="E938" s="62">
        <v>1</v>
      </c>
    </row>
    <row r="939" spans="1:5" x14ac:dyDescent="0.35">
      <c r="A939" s="11" t="s">
        <v>1126</v>
      </c>
      <c r="B939" s="58" t="s">
        <v>1752</v>
      </c>
      <c r="C939" s="58" t="s">
        <v>1752</v>
      </c>
      <c r="D939" s="60"/>
      <c r="E939" s="62">
        <v>1</v>
      </c>
    </row>
    <row r="940" spans="1:5" x14ac:dyDescent="0.35">
      <c r="A940" s="11" t="s">
        <v>1127</v>
      </c>
      <c r="B940" s="58" t="s">
        <v>1752</v>
      </c>
      <c r="C940" s="58" t="s">
        <v>1752</v>
      </c>
      <c r="D940" s="60"/>
      <c r="E940" s="62">
        <v>1</v>
      </c>
    </row>
    <row r="941" spans="1:5" x14ac:dyDescent="0.35">
      <c r="A941" s="10" t="s">
        <v>1128</v>
      </c>
      <c r="B941" s="58" t="s">
        <v>1752</v>
      </c>
      <c r="C941" s="58" t="s">
        <v>1752</v>
      </c>
      <c r="D941" s="60"/>
      <c r="E941" s="62">
        <v>1</v>
      </c>
    </row>
    <row r="942" spans="1:5" x14ac:dyDescent="0.35">
      <c r="A942" s="11" t="s">
        <v>1129</v>
      </c>
      <c r="B942" s="58" t="s">
        <v>1752</v>
      </c>
      <c r="C942" s="58" t="s">
        <v>1752</v>
      </c>
      <c r="D942" s="60"/>
      <c r="E942" s="62">
        <v>1</v>
      </c>
    </row>
    <row r="943" spans="1:5" x14ac:dyDescent="0.35">
      <c r="A943" s="10" t="s">
        <v>1130</v>
      </c>
      <c r="B943" s="58" t="s">
        <v>1752</v>
      </c>
      <c r="C943" s="58" t="s">
        <v>1752</v>
      </c>
      <c r="D943" s="60"/>
      <c r="E943" s="62">
        <v>1</v>
      </c>
    </row>
    <row r="944" spans="1:5" x14ac:dyDescent="0.35">
      <c r="A944" s="11" t="s">
        <v>1131</v>
      </c>
      <c r="B944" s="58" t="s">
        <v>1752</v>
      </c>
      <c r="C944" s="58" t="s">
        <v>1752</v>
      </c>
      <c r="D944" s="60"/>
      <c r="E944" s="62">
        <v>1</v>
      </c>
    </row>
    <row r="945" spans="1:5" x14ac:dyDescent="0.35">
      <c r="A945" s="10" t="s">
        <v>1132</v>
      </c>
      <c r="B945" s="58" t="s">
        <v>1752</v>
      </c>
      <c r="C945" s="58" t="s">
        <v>1752</v>
      </c>
      <c r="D945" s="60"/>
      <c r="E945" s="62">
        <v>1</v>
      </c>
    </row>
    <row r="946" spans="1:5" x14ac:dyDescent="0.35">
      <c r="A946" s="11" t="s">
        <v>1133</v>
      </c>
      <c r="B946" s="58" t="s">
        <v>1752</v>
      </c>
      <c r="C946" s="58" t="s">
        <v>1752</v>
      </c>
      <c r="D946" s="60"/>
      <c r="E946" s="62">
        <v>1</v>
      </c>
    </row>
    <row r="947" spans="1:5" x14ac:dyDescent="0.35">
      <c r="A947" s="10" t="s">
        <v>1134</v>
      </c>
      <c r="B947" s="58" t="s">
        <v>1752</v>
      </c>
      <c r="C947" s="58" t="s">
        <v>1752</v>
      </c>
      <c r="D947" s="60"/>
      <c r="E947" s="62">
        <v>1</v>
      </c>
    </row>
    <row r="948" spans="1:5" x14ac:dyDescent="0.35">
      <c r="A948" s="11" t="s">
        <v>1135</v>
      </c>
      <c r="B948" s="58" t="s">
        <v>1752</v>
      </c>
      <c r="C948" s="58" t="s">
        <v>1752</v>
      </c>
      <c r="D948" s="60"/>
      <c r="E948" s="62">
        <v>1</v>
      </c>
    </row>
    <row r="949" spans="1:5" x14ac:dyDescent="0.35">
      <c r="A949" s="10" t="s">
        <v>1136</v>
      </c>
      <c r="B949" s="58" t="s">
        <v>1752</v>
      </c>
      <c r="C949" s="58" t="s">
        <v>1752</v>
      </c>
      <c r="D949" s="60"/>
      <c r="E949" s="62">
        <v>1</v>
      </c>
    </row>
    <row r="950" spans="1:5" x14ac:dyDescent="0.35">
      <c r="A950" s="11" t="s">
        <v>1137</v>
      </c>
      <c r="B950" s="58" t="s">
        <v>1752</v>
      </c>
      <c r="C950" s="58" t="s">
        <v>1752</v>
      </c>
      <c r="D950" s="60"/>
      <c r="E950" s="62">
        <v>1</v>
      </c>
    </row>
    <row r="951" spans="1:5" x14ac:dyDescent="0.35">
      <c r="A951" s="10" t="s">
        <v>1138</v>
      </c>
      <c r="B951" s="58" t="s">
        <v>1752</v>
      </c>
      <c r="C951" s="58" t="s">
        <v>1752</v>
      </c>
      <c r="D951" s="60"/>
      <c r="E951" s="62">
        <v>1</v>
      </c>
    </row>
    <row r="952" spans="1:5" x14ac:dyDescent="0.35">
      <c r="A952" s="11" t="s">
        <v>1139</v>
      </c>
      <c r="B952" s="58" t="s">
        <v>1752</v>
      </c>
      <c r="C952" s="58" t="s">
        <v>1752</v>
      </c>
      <c r="D952" s="60"/>
      <c r="E952" s="62">
        <v>1</v>
      </c>
    </row>
    <row r="953" spans="1:5" x14ac:dyDescent="0.35">
      <c r="A953" s="10" t="s">
        <v>1140</v>
      </c>
      <c r="B953" s="58" t="s">
        <v>1752</v>
      </c>
      <c r="C953" s="58" t="s">
        <v>1752</v>
      </c>
      <c r="D953" s="60"/>
      <c r="E953" s="62">
        <v>1</v>
      </c>
    </row>
    <row r="954" spans="1:5" x14ac:dyDescent="0.35">
      <c r="A954" s="11" t="s">
        <v>1141</v>
      </c>
      <c r="B954" s="58" t="s">
        <v>1827</v>
      </c>
      <c r="C954" s="58" t="s">
        <v>1752</v>
      </c>
      <c r="D954" s="60"/>
      <c r="E954" s="62">
        <v>1</v>
      </c>
    </row>
    <row r="955" spans="1:5" x14ac:dyDescent="0.35">
      <c r="A955" s="10" t="s">
        <v>1142</v>
      </c>
      <c r="B955" s="58" t="s">
        <v>1827</v>
      </c>
      <c r="C955" s="58" t="s">
        <v>1752</v>
      </c>
      <c r="D955" s="60"/>
      <c r="E955" s="62">
        <v>1</v>
      </c>
    </row>
    <row r="956" spans="1:5" x14ac:dyDescent="0.35">
      <c r="A956" s="10" t="s">
        <v>1143</v>
      </c>
      <c r="B956" s="58" t="s">
        <v>1752</v>
      </c>
      <c r="C956" s="58" t="s">
        <v>1752</v>
      </c>
      <c r="D956" s="60"/>
      <c r="E956" s="62">
        <v>1</v>
      </c>
    </row>
    <row r="957" spans="1:5" x14ac:dyDescent="0.35">
      <c r="A957" s="11" t="s">
        <v>1144</v>
      </c>
      <c r="B957" s="58" t="s">
        <v>1752</v>
      </c>
      <c r="C957" s="58" t="s">
        <v>1752</v>
      </c>
      <c r="D957" s="60"/>
      <c r="E957" s="62">
        <v>1</v>
      </c>
    </row>
    <row r="958" spans="1:5" x14ac:dyDescent="0.35">
      <c r="A958" s="10" t="s">
        <v>1145</v>
      </c>
      <c r="B958" s="58" t="s">
        <v>1752</v>
      </c>
      <c r="C958" s="58" t="s">
        <v>1752</v>
      </c>
      <c r="D958" s="60"/>
      <c r="E958" s="62">
        <v>1</v>
      </c>
    </row>
    <row r="959" spans="1:5" x14ac:dyDescent="0.35">
      <c r="A959" s="11" t="s">
        <v>1146</v>
      </c>
      <c r="B959" s="58" t="s">
        <v>1752</v>
      </c>
      <c r="C959" s="58" t="s">
        <v>1752</v>
      </c>
      <c r="D959" s="60"/>
      <c r="E959" s="62">
        <v>1</v>
      </c>
    </row>
    <row r="960" spans="1:5" x14ac:dyDescent="0.35">
      <c r="A960" s="10" t="s">
        <v>1147</v>
      </c>
      <c r="B960" s="58" t="s">
        <v>1752</v>
      </c>
      <c r="C960" s="58" t="s">
        <v>1752</v>
      </c>
      <c r="D960" s="60"/>
      <c r="E960" s="62">
        <v>1</v>
      </c>
    </row>
    <row r="961" spans="1:5" x14ac:dyDescent="0.35">
      <c r="A961" s="11" t="s">
        <v>1148</v>
      </c>
      <c r="B961" s="58" t="s">
        <v>1752</v>
      </c>
      <c r="C961" s="58" t="s">
        <v>1752</v>
      </c>
      <c r="D961" s="60"/>
      <c r="E961" s="62">
        <v>1</v>
      </c>
    </row>
    <row r="962" spans="1:5" x14ac:dyDescent="0.35">
      <c r="A962" s="10" t="s">
        <v>1149</v>
      </c>
      <c r="B962" s="58" t="s">
        <v>1752</v>
      </c>
      <c r="C962" s="58" t="s">
        <v>1752</v>
      </c>
      <c r="D962" s="60"/>
      <c r="E962" s="62">
        <v>1</v>
      </c>
    </row>
    <row r="963" spans="1:5" x14ac:dyDescent="0.35">
      <c r="A963" s="11" t="s">
        <v>1150</v>
      </c>
      <c r="B963" s="58" t="s">
        <v>1827</v>
      </c>
      <c r="C963" s="58" t="s">
        <v>1752</v>
      </c>
      <c r="D963" s="60"/>
      <c r="E963" s="62">
        <v>1</v>
      </c>
    </row>
    <row r="964" spans="1:5" x14ac:dyDescent="0.35">
      <c r="A964" s="10" t="s">
        <v>1151</v>
      </c>
      <c r="B964" s="58" t="s">
        <v>1752</v>
      </c>
      <c r="C964" s="58" t="s">
        <v>1752</v>
      </c>
      <c r="D964" s="60"/>
      <c r="E964" s="62">
        <v>1</v>
      </c>
    </row>
    <row r="965" spans="1:5" x14ac:dyDescent="0.35">
      <c r="A965" s="11" t="s">
        <v>1152</v>
      </c>
      <c r="B965" s="58" t="s">
        <v>1752</v>
      </c>
      <c r="C965" s="58" t="s">
        <v>1752</v>
      </c>
      <c r="D965" s="60"/>
      <c r="E965" s="62">
        <v>1</v>
      </c>
    </row>
    <row r="966" spans="1:5" x14ac:dyDescent="0.35">
      <c r="A966" s="10" t="s">
        <v>1153</v>
      </c>
      <c r="B966" s="58" t="s">
        <v>1752</v>
      </c>
      <c r="C966" s="58" t="s">
        <v>1752</v>
      </c>
      <c r="D966" s="60"/>
      <c r="E966" s="62">
        <v>1</v>
      </c>
    </row>
    <row r="967" spans="1:5" x14ac:dyDescent="0.35">
      <c r="A967" s="11" t="s">
        <v>1154</v>
      </c>
      <c r="B967" s="58" t="s">
        <v>1752</v>
      </c>
      <c r="C967" s="58" t="s">
        <v>1752</v>
      </c>
      <c r="D967" s="60"/>
      <c r="E967" s="62">
        <v>1</v>
      </c>
    </row>
    <row r="968" spans="1:5" x14ac:dyDescent="0.35">
      <c r="A968" s="11" t="s">
        <v>1155</v>
      </c>
      <c r="B968" s="58" t="s">
        <v>1752</v>
      </c>
      <c r="C968" s="58" t="s">
        <v>1752</v>
      </c>
      <c r="D968" s="60"/>
      <c r="E968" s="62">
        <v>1</v>
      </c>
    </row>
    <row r="969" spans="1:5" x14ac:dyDescent="0.35">
      <c r="A969" s="10" t="s">
        <v>1156</v>
      </c>
      <c r="B969" s="58" t="s">
        <v>1752</v>
      </c>
      <c r="C969" s="58" t="s">
        <v>1752</v>
      </c>
      <c r="D969" s="60"/>
      <c r="E969" s="62">
        <v>1</v>
      </c>
    </row>
    <row r="970" spans="1:5" x14ac:dyDescent="0.35">
      <c r="A970" s="10" t="s">
        <v>1157</v>
      </c>
      <c r="B970" s="58" t="s">
        <v>1752</v>
      </c>
      <c r="C970" s="58" t="s">
        <v>1752</v>
      </c>
      <c r="D970" s="60"/>
      <c r="E970" s="62">
        <v>1</v>
      </c>
    </row>
    <row r="971" spans="1:5" x14ac:dyDescent="0.35">
      <c r="A971" s="10" t="s">
        <v>1158</v>
      </c>
      <c r="B971" s="58" t="s">
        <v>1752</v>
      </c>
      <c r="C971" s="58" t="s">
        <v>1752</v>
      </c>
      <c r="D971" s="60"/>
      <c r="E971" s="62">
        <v>1</v>
      </c>
    </row>
    <row r="972" spans="1:5" x14ac:dyDescent="0.35">
      <c r="A972" s="11" t="s">
        <v>1159</v>
      </c>
      <c r="B972" s="58" t="s">
        <v>1752</v>
      </c>
      <c r="C972" s="58" t="s">
        <v>1752</v>
      </c>
      <c r="D972" s="60"/>
      <c r="E972" s="62">
        <v>1</v>
      </c>
    </row>
    <row r="973" spans="1:5" x14ac:dyDescent="0.35">
      <c r="A973" s="10" t="s">
        <v>1160</v>
      </c>
      <c r="B973" s="58" t="s">
        <v>1752</v>
      </c>
      <c r="C973" s="58" t="s">
        <v>1752</v>
      </c>
      <c r="D973" s="60"/>
      <c r="E973" s="62">
        <v>1</v>
      </c>
    </row>
    <row r="974" spans="1:5" x14ac:dyDescent="0.35">
      <c r="A974" s="11" t="s">
        <v>1161</v>
      </c>
      <c r="B974" s="58" t="s">
        <v>1752</v>
      </c>
      <c r="C974" s="58" t="s">
        <v>1752</v>
      </c>
      <c r="D974" s="60"/>
      <c r="E974" s="62">
        <v>1</v>
      </c>
    </row>
    <row r="975" spans="1:5" x14ac:dyDescent="0.35">
      <c r="A975" s="11" t="s">
        <v>1162</v>
      </c>
      <c r="B975" s="58" t="s">
        <v>1752</v>
      </c>
      <c r="C975" s="58" t="s">
        <v>1752</v>
      </c>
      <c r="D975" s="60"/>
      <c r="E975" s="62">
        <v>1</v>
      </c>
    </row>
    <row r="976" spans="1:5" x14ac:dyDescent="0.35">
      <c r="A976" s="10" t="s">
        <v>1163</v>
      </c>
      <c r="B976" s="58" t="s">
        <v>1752</v>
      </c>
      <c r="C976" s="58" t="s">
        <v>1752</v>
      </c>
      <c r="D976" s="60"/>
      <c r="E976" s="62">
        <v>1</v>
      </c>
    </row>
    <row r="977" spans="1:5" x14ac:dyDescent="0.35">
      <c r="A977" s="11" t="s">
        <v>1164</v>
      </c>
      <c r="B977" s="58" t="s">
        <v>1752</v>
      </c>
      <c r="C977" s="58" t="s">
        <v>1752</v>
      </c>
      <c r="D977" s="60"/>
      <c r="E977" s="62">
        <v>1</v>
      </c>
    </row>
    <row r="978" spans="1:5" x14ac:dyDescent="0.35">
      <c r="A978" s="10" t="s">
        <v>1165</v>
      </c>
      <c r="B978" s="58" t="s">
        <v>1752</v>
      </c>
      <c r="C978" s="58" t="s">
        <v>1752</v>
      </c>
      <c r="D978" s="60"/>
      <c r="E978" s="62">
        <v>1</v>
      </c>
    </row>
    <row r="979" spans="1:5" x14ac:dyDescent="0.35">
      <c r="A979" s="11" t="s">
        <v>1166</v>
      </c>
      <c r="B979" s="58" t="s">
        <v>1752</v>
      </c>
      <c r="C979" s="58" t="s">
        <v>1752</v>
      </c>
      <c r="D979" s="60"/>
      <c r="E979" s="62">
        <v>1</v>
      </c>
    </row>
    <row r="980" spans="1:5" x14ac:dyDescent="0.35">
      <c r="A980" s="10" t="s">
        <v>1167</v>
      </c>
      <c r="B980" s="58" t="s">
        <v>1752</v>
      </c>
      <c r="C980" s="58" t="s">
        <v>1752</v>
      </c>
      <c r="D980" s="60"/>
      <c r="E980" s="62">
        <v>1</v>
      </c>
    </row>
    <row r="981" spans="1:5" x14ac:dyDescent="0.35">
      <c r="A981" s="11" t="s">
        <v>1168</v>
      </c>
      <c r="B981" s="58" t="s">
        <v>1752</v>
      </c>
      <c r="C981" s="58" t="s">
        <v>1752</v>
      </c>
      <c r="D981" s="60"/>
      <c r="E981" s="62">
        <v>1</v>
      </c>
    </row>
    <row r="982" spans="1:5" x14ac:dyDescent="0.35">
      <c r="A982" s="10" t="s">
        <v>1169</v>
      </c>
      <c r="B982" s="58" t="s">
        <v>1752</v>
      </c>
      <c r="C982" s="58" t="s">
        <v>1752</v>
      </c>
      <c r="D982" s="60"/>
      <c r="E982" s="62">
        <v>1</v>
      </c>
    </row>
    <row r="983" spans="1:5" x14ac:dyDescent="0.35">
      <c r="A983" s="11" t="s">
        <v>1170</v>
      </c>
      <c r="B983" s="58" t="s">
        <v>1752</v>
      </c>
      <c r="C983" s="58" t="s">
        <v>1752</v>
      </c>
      <c r="D983" s="60"/>
      <c r="E983" s="62">
        <v>1</v>
      </c>
    </row>
    <row r="984" spans="1:5" x14ac:dyDescent="0.35">
      <c r="A984" s="10" t="s">
        <v>1171</v>
      </c>
      <c r="B984" s="58" t="s">
        <v>1752</v>
      </c>
      <c r="C984" s="58" t="s">
        <v>1752</v>
      </c>
      <c r="D984" s="60"/>
      <c r="E984" s="62">
        <v>1</v>
      </c>
    </row>
    <row r="985" spans="1:5" x14ac:dyDescent="0.35">
      <c r="A985" s="11" t="s">
        <v>1172</v>
      </c>
      <c r="B985" s="58" t="s">
        <v>1752</v>
      </c>
      <c r="C985" s="58" t="s">
        <v>1752</v>
      </c>
      <c r="D985" s="60"/>
      <c r="E985" s="62">
        <v>1</v>
      </c>
    </row>
    <row r="986" spans="1:5" x14ac:dyDescent="0.35">
      <c r="A986" s="11" t="s">
        <v>1173</v>
      </c>
      <c r="B986" s="58" t="s">
        <v>1752</v>
      </c>
      <c r="C986" s="58" t="s">
        <v>1752</v>
      </c>
      <c r="D986" s="60"/>
      <c r="E986" s="62">
        <v>1</v>
      </c>
    </row>
    <row r="987" spans="1:5" x14ac:dyDescent="0.35">
      <c r="A987" s="10" t="s">
        <v>1174</v>
      </c>
      <c r="B987" s="58" t="s">
        <v>1827</v>
      </c>
      <c r="C987" s="58" t="s">
        <v>1752</v>
      </c>
      <c r="D987" s="60"/>
      <c r="E987" s="62">
        <v>1</v>
      </c>
    </row>
    <row r="988" spans="1:5" x14ac:dyDescent="0.35">
      <c r="A988" s="11" t="s">
        <v>1175</v>
      </c>
      <c r="B988" s="58" t="s">
        <v>1827</v>
      </c>
      <c r="C988" s="58" t="s">
        <v>1752</v>
      </c>
      <c r="D988" s="60"/>
      <c r="E988" s="62">
        <v>1</v>
      </c>
    </row>
    <row r="989" spans="1:5" x14ac:dyDescent="0.35">
      <c r="A989" s="10" t="s">
        <v>1176</v>
      </c>
      <c r="B989" s="58" t="s">
        <v>1827</v>
      </c>
      <c r="C989" s="58" t="s">
        <v>1752</v>
      </c>
      <c r="D989" s="60"/>
      <c r="E989" s="62">
        <v>1</v>
      </c>
    </row>
    <row r="990" spans="1:5" x14ac:dyDescent="0.35">
      <c r="A990" s="11" t="s">
        <v>1177</v>
      </c>
      <c r="B990" s="58" t="s">
        <v>1827</v>
      </c>
      <c r="C990" s="58" t="s">
        <v>1752</v>
      </c>
      <c r="D990" s="60"/>
      <c r="E990" s="62">
        <v>1</v>
      </c>
    </row>
    <row r="991" spans="1:5" x14ac:dyDescent="0.35">
      <c r="A991" s="10" t="s">
        <v>1178</v>
      </c>
      <c r="B991" s="58" t="s">
        <v>1827</v>
      </c>
      <c r="C991" s="58" t="s">
        <v>1752</v>
      </c>
      <c r="D991" s="60"/>
      <c r="E991" s="62">
        <v>1</v>
      </c>
    </row>
    <row r="992" spans="1:5" x14ac:dyDescent="0.35">
      <c r="A992" s="10" t="s">
        <v>1179</v>
      </c>
      <c r="B992" s="58" t="s">
        <v>1752</v>
      </c>
      <c r="C992" s="58" t="s">
        <v>1752</v>
      </c>
      <c r="D992" s="60"/>
      <c r="E992" s="62">
        <v>1</v>
      </c>
    </row>
    <row r="993" spans="1:5" x14ac:dyDescent="0.35">
      <c r="A993" s="11" t="s">
        <v>1180</v>
      </c>
      <c r="B993" s="58" t="s">
        <v>1752</v>
      </c>
      <c r="C993" s="58" t="s">
        <v>1752</v>
      </c>
      <c r="D993" s="60"/>
      <c r="E993" s="62">
        <v>1</v>
      </c>
    </row>
    <row r="994" spans="1:5" x14ac:dyDescent="0.35">
      <c r="A994" s="11" t="s">
        <v>1181</v>
      </c>
      <c r="B994" s="58" t="s">
        <v>1752</v>
      </c>
      <c r="C994" s="58" t="s">
        <v>1752</v>
      </c>
      <c r="D994" s="60"/>
      <c r="E994" s="62">
        <v>1</v>
      </c>
    </row>
    <row r="995" spans="1:5" x14ac:dyDescent="0.35">
      <c r="A995" s="10" t="s">
        <v>1182</v>
      </c>
      <c r="B995" s="58" t="s">
        <v>1752</v>
      </c>
      <c r="C995" s="58" t="s">
        <v>1752</v>
      </c>
      <c r="D995" s="60"/>
      <c r="E995" s="62">
        <v>1</v>
      </c>
    </row>
    <row r="996" spans="1:5" x14ac:dyDescent="0.35">
      <c r="A996" s="11" t="s">
        <v>1183</v>
      </c>
      <c r="B996" s="58" t="s">
        <v>1752</v>
      </c>
      <c r="C996" s="58" t="s">
        <v>1752</v>
      </c>
      <c r="D996" s="60"/>
      <c r="E996" s="62">
        <v>1</v>
      </c>
    </row>
    <row r="997" spans="1:5" x14ac:dyDescent="0.35">
      <c r="A997" s="10" t="s">
        <v>1184</v>
      </c>
      <c r="B997" s="58" t="s">
        <v>1752</v>
      </c>
      <c r="C997" s="58" t="s">
        <v>1752</v>
      </c>
      <c r="D997" s="60"/>
      <c r="E997" s="62">
        <v>1</v>
      </c>
    </row>
    <row r="998" spans="1:5" x14ac:dyDescent="0.35">
      <c r="A998" s="11" t="s">
        <v>1185</v>
      </c>
      <c r="B998" s="58" t="s">
        <v>1752</v>
      </c>
      <c r="C998" s="58" t="s">
        <v>1752</v>
      </c>
      <c r="D998" s="60"/>
      <c r="E998" s="62">
        <v>1</v>
      </c>
    </row>
    <row r="999" spans="1:5" x14ac:dyDescent="0.35">
      <c r="A999" s="10" t="s">
        <v>1186</v>
      </c>
      <c r="B999" s="58" t="s">
        <v>1752</v>
      </c>
      <c r="C999" s="58" t="s">
        <v>1752</v>
      </c>
      <c r="D999" s="60"/>
      <c r="E999" s="62">
        <v>1</v>
      </c>
    </row>
    <row r="1000" spans="1:5" x14ac:dyDescent="0.35">
      <c r="A1000" s="10" t="s">
        <v>1187</v>
      </c>
      <c r="B1000" s="58" t="s">
        <v>1752</v>
      </c>
      <c r="C1000" s="58" t="s">
        <v>1752</v>
      </c>
      <c r="D1000" s="60"/>
      <c r="E1000" s="62">
        <v>1</v>
      </c>
    </row>
    <row r="1001" spans="1:5" x14ac:dyDescent="0.35">
      <c r="A1001" s="10" t="s">
        <v>1188</v>
      </c>
      <c r="B1001" s="58" t="s">
        <v>1827</v>
      </c>
      <c r="C1001" s="58" t="s">
        <v>1752</v>
      </c>
      <c r="D1001" s="60"/>
      <c r="E1001" s="62">
        <v>1</v>
      </c>
    </row>
    <row r="1002" spans="1:5" x14ac:dyDescent="0.35">
      <c r="A1002" s="11" t="s">
        <v>1189</v>
      </c>
      <c r="B1002" s="58" t="s">
        <v>1752</v>
      </c>
      <c r="C1002" s="58" t="s">
        <v>1752</v>
      </c>
      <c r="D1002" s="60"/>
      <c r="E1002" s="62">
        <v>1</v>
      </c>
    </row>
    <row r="1003" spans="1:5" x14ac:dyDescent="0.35">
      <c r="A1003" s="10" t="s">
        <v>1190</v>
      </c>
      <c r="B1003" s="58" t="s">
        <v>1827</v>
      </c>
      <c r="C1003" s="58" t="s">
        <v>1752</v>
      </c>
      <c r="D1003" s="60"/>
      <c r="E1003" s="62">
        <v>1</v>
      </c>
    </row>
    <row r="1004" spans="1:5" x14ac:dyDescent="0.35">
      <c r="A1004" s="11" t="s">
        <v>1191</v>
      </c>
      <c r="B1004" s="58" t="s">
        <v>1827</v>
      </c>
      <c r="C1004" s="58" t="s">
        <v>1752</v>
      </c>
      <c r="D1004" s="60"/>
      <c r="E1004" s="62">
        <v>1</v>
      </c>
    </row>
    <row r="1005" spans="1:5" x14ac:dyDescent="0.35">
      <c r="A1005" s="10" t="s">
        <v>1192</v>
      </c>
      <c r="B1005" s="58" t="s">
        <v>1827</v>
      </c>
      <c r="C1005" s="58" t="s">
        <v>1752</v>
      </c>
      <c r="D1005" s="60"/>
      <c r="E1005" s="62">
        <v>1</v>
      </c>
    </row>
    <row r="1006" spans="1:5" x14ac:dyDescent="0.35">
      <c r="A1006" s="10" t="s">
        <v>1193</v>
      </c>
      <c r="B1006" s="58" t="s">
        <v>1752</v>
      </c>
      <c r="C1006" s="58" t="s">
        <v>1752</v>
      </c>
      <c r="D1006" s="60"/>
      <c r="E1006" s="62">
        <v>1</v>
      </c>
    </row>
    <row r="1007" spans="1:5" x14ac:dyDescent="0.35">
      <c r="A1007" s="11" t="s">
        <v>1194</v>
      </c>
      <c r="B1007" s="58" t="s">
        <v>1752</v>
      </c>
      <c r="C1007" s="58" t="s">
        <v>1752</v>
      </c>
      <c r="D1007" s="60"/>
      <c r="E1007" s="62">
        <v>1</v>
      </c>
    </row>
    <row r="1008" spans="1:5" x14ac:dyDescent="0.35">
      <c r="A1008" s="10" t="s">
        <v>1195</v>
      </c>
      <c r="B1008" s="58" t="s">
        <v>1752</v>
      </c>
      <c r="C1008" s="58" t="s">
        <v>1752</v>
      </c>
      <c r="D1008" s="60"/>
      <c r="E1008" s="62">
        <v>1</v>
      </c>
    </row>
    <row r="1009" spans="1:5" x14ac:dyDescent="0.35">
      <c r="A1009" s="10" t="s">
        <v>1196</v>
      </c>
      <c r="B1009" s="58" t="s">
        <v>1752</v>
      </c>
      <c r="C1009" s="58" t="s">
        <v>1752</v>
      </c>
      <c r="D1009" s="60"/>
      <c r="E1009" s="62">
        <v>1</v>
      </c>
    </row>
    <row r="1010" spans="1:5" x14ac:dyDescent="0.35">
      <c r="A1010" s="10" t="s">
        <v>1197</v>
      </c>
      <c r="B1010" s="58" t="s">
        <v>1752</v>
      </c>
      <c r="C1010" s="58" t="s">
        <v>1752</v>
      </c>
      <c r="D1010" s="60"/>
      <c r="E1010" s="62">
        <v>1</v>
      </c>
    </row>
    <row r="1011" spans="1:5" x14ac:dyDescent="0.35">
      <c r="A1011" s="11" t="s">
        <v>1198</v>
      </c>
      <c r="B1011" s="58" t="s">
        <v>1752</v>
      </c>
      <c r="C1011" s="58" t="s">
        <v>1752</v>
      </c>
      <c r="D1011" s="60"/>
      <c r="E1011" s="62">
        <v>1</v>
      </c>
    </row>
    <row r="1012" spans="1:5" x14ac:dyDescent="0.35">
      <c r="A1012" s="11" t="s">
        <v>1199</v>
      </c>
      <c r="B1012" s="58" t="s">
        <v>1752</v>
      </c>
      <c r="C1012" s="58" t="s">
        <v>1752</v>
      </c>
      <c r="D1012" s="60"/>
      <c r="E1012" s="62">
        <v>1</v>
      </c>
    </row>
    <row r="1013" spans="1:5" x14ac:dyDescent="0.35">
      <c r="A1013" s="11" t="s">
        <v>1200</v>
      </c>
      <c r="B1013" s="58" t="s">
        <v>1752</v>
      </c>
      <c r="C1013" s="58" t="s">
        <v>1752</v>
      </c>
      <c r="D1013" s="60"/>
      <c r="E1013" s="62">
        <v>1</v>
      </c>
    </row>
    <row r="1014" spans="1:5" x14ac:dyDescent="0.35">
      <c r="A1014" s="10" t="s">
        <v>1201</v>
      </c>
      <c r="B1014" s="58" t="s">
        <v>1752</v>
      </c>
      <c r="C1014" s="58" t="s">
        <v>1752</v>
      </c>
      <c r="D1014" s="60"/>
      <c r="E1014" s="62">
        <v>1</v>
      </c>
    </row>
    <row r="1015" spans="1:5" x14ac:dyDescent="0.35">
      <c r="A1015" s="11" t="s">
        <v>1202</v>
      </c>
      <c r="B1015" s="58" t="s">
        <v>1752</v>
      </c>
      <c r="C1015" s="58" t="s">
        <v>1752</v>
      </c>
      <c r="D1015" s="60"/>
      <c r="E1015" s="62">
        <v>1</v>
      </c>
    </row>
    <row r="1016" spans="1:5" x14ac:dyDescent="0.35">
      <c r="A1016" s="11" t="s">
        <v>1203</v>
      </c>
      <c r="B1016" s="58" t="s">
        <v>1752</v>
      </c>
      <c r="C1016" s="58" t="s">
        <v>1752</v>
      </c>
      <c r="D1016" s="60"/>
      <c r="E1016" s="62">
        <v>1</v>
      </c>
    </row>
    <row r="1017" spans="1:5" x14ac:dyDescent="0.35">
      <c r="A1017" s="10" t="s">
        <v>1204</v>
      </c>
      <c r="B1017" s="58" t="s">
        <v>1752</v>
      </c>
      <c r="C1017" s="58" t="s">
        <v>1752</v>
      </c>
      <c r="D1017" s="60"/>
      <c r="E1017" s="62">
        <v>1</v>
      </c>
    </row>
    <row r="1018" spans="1:5" x14ac:dyDescent="0.35">
      <c r="A1018" s="11" t="s">
        <v>1205</v>
      </c>
      <c r="B1018" s="58" t="s">
        <v>1752</v>
      </c>
      <c r="C1018" s="58" t="s">
        <v>1752</v>
      </c>
      <c r="D1018" s="60"/>
      <c r="E1018" s="62">
        <v>1</v>
      </c>
    </row>
    <row r="1019" spans="1:5" x14ac:dyDescent="0.35">
      <c r="A1019" s="11" t="s">
        <v>1206</v>
      </c>
      <c r="B1019" s="58" t="s">
        <v>1752</v>
      </c>
      <c r="C1019" s="58" t="s">
        <v>1752</v>
      </c>
      <c r="D1019" s="60"/>
      <c r="E1019" s="62">
        <v>1</v>
      </c>
    </row>
    <row r="1020" spans="1:5" x14ac:dyDescent="0.35">
      <c r="A1020" s="10" t="s">
        <v>1207</v>
      </c>
      <c r="B1020" s="58" t="s">
        <v>1752</v>
      </c>
      <c r="C1020" s="58" t="s">
        <v>1752</v>
      </c>
      <c r="D1020" s="60"/>
      <c r="E1020" s="62">
        <v>1</v>
      </c>
    </row>
    <row r="1021" spans="1:5" x14ac:dyDescent="0.35">
      <c r="A1021" s="10" t="s">
        <v>1208</v>
      </c>
      <c r="B1021" s="58" t="s">
        <v>1752</v>
      </c>
      <c r="C1021" s="58" t="s">
        <v>1752</v>
      </c>
      <c r="D1021" s="60"/>
      <c r="E1021" s="62">
        <v>1</v>
      </c>
    </row>
    <row r="1022" spans="1:5" x14ac:dyDescent="0.35">
      <c r="A1022" s="11" t="s">
        <v>1209</v>
      </c>
      <c r="B1022" s="58" t="s">
        <v>1752</v>
      </c>
      <c r="C1022" s="58" t="s">
        <v>1752</v>
      </c>
      <c r="D1022" s="60"/>
      <c r="E1022" s="62">
        <v>1</v>
      </c>
    </row>
    <row r="1023" spans="1:5" x14ac:dyDescent="0.35">
      <c r="A1023" s="10" t="s">
        <v>1210</v>
      </c>
      <c r="B1023" s="58" t="s">
        <v>1752</v>
      </c>
      <c r="C1023" s="58" t="s">
        <v>1752</v>
      </c>
      <c r="D1023" s="60"/>
      <c r="E1023" s="62">
        <v>1</v>
      </c>
    </row>
    <row r="1024" spans="1:5" x14ac:dyDescent="0.35">
      <c r="A1024" s="11" t="s">
        <v>1211</v>
      </c>
      <c r="B1024" s="58" t="s">
        <v>1827</v>
      </c>
      <c r="C1024" s="58" t="s">
        <v>1752</v>
      </c>
      <c r="D1024" s="60"/>
      <c r="E1024" s="62">
        <v>1</v>
      </c>
    </row>
    <row r="1025" spans="1:5" x14ac:dyDescent="0.35">
      <c r="A1025" s="11" t="s">
        <v>1212</v>
      </c>
      <c r="B1025" s="58" t="s">
        <v>1752</v>
      </c>
      <c r="C1025" s="58" t="s">
        <v>1752</v>
      </c>
      <c r="D1025" s="60"/>
      <c r="E1025" s="62">
        <v>1</v>
      </c>
    </row>
    <row r="1026" spans="1:5" x14ac:dyDescent="0.35">
      <c r="A1026" s="10" t="s">
        <v>1213</v>
      </c>
      <c r="B1026" s="58" t="s">
        <v>1752</v>
      </c>
      <c r="C1026" s="58" t="s">
        <v>1752</v>
      </c>
      <c r="D1026" s="60"/>
      <c r="E1026" s="62">
        <v>1</v>
      </c>
    </row>
    <row r="1027" spans="1:5" x14ac:dyDescent="0.35">
      <c r="A1027" s="11" t="s">
        <v>1214</v>
      </c>
      <c r="B1027" s="58" t="s">
        <v>1752</v>
      </c>
      <c r="C1027" s="58" t="s">
        <v>1752</v>
      </c>
      <c r="D1027" s="60"/>
      <c r="E1027" s="62">
        <v>1</v>
      </c>
    </row>
    <row r="1028" spans="1:5" x14ac:dyDescent="0.35">
      <c r="A1028" s="11" t="s">
        <v>1215</v>
      </c>
      <c r="B1028" s="58" t="s">
        <v>1752</v>
      </c>
      <c r="C1028" s="58" t="s">
        <v>1752</v>
      </c>
      <c r="D1028" s="60"/>
      <c r="E1028" s="62">
        <v>1</v>
      </c>
    </row>
    <row r="1029" spans="1:5" x14ac:dyDescent="0.35">
      <c r="A1029" s="10" t="s">
        <v>1216</v>
      </c>
      <c r="B1029" s="58" t="s">
        <v>1827</v>
      </c>
      <c r="C1029" s="58" t="s">
        <v>1752</v>
      </c>
      <c r="D1029" s="60"/>
      <c r="E1029" s="62">
        <v>1</v>
      </c>
    </row>
    <row r="1030" spans="1:5" x14ac:dyDescent="0.35">
      <c r="A1030" s="11" t="s">
        <v>1217</v>
      </c>
      <c r="B1030" s="58" t="s">
        <v>1752</v>
      </c>
      <c r="C1030" s="58" t="s">
        <v>1752</v>
      </c>
      <c r="D1030" s="60"/>
      <c r="E1030" s="62">
        <v>1</v>
      </c>
    </row>
    <row r="1031" spans="1:5" x14ac:dyDescent="0.35">
      <c r="A1031" s="10" t="s">
        <v>1218</v>
      </c>
      <c r="B1031" s="58" t="s">
        <v>1752</v>
      </c>
      <c r="C1031" s="58" t="s">
        <v>1752</v>
      </c>
      <c r="D1031" s="60"/>
      <c r="E1031" s="62">
        <v>1</v>
      </c>
    </row>
    <row r="1032" spans="1:5" x14ac:dyDescent="0.35">
      <c r="A1032" s="10" t="s">
        <v>1219</v>
      </c>
      <c r="B1032" s="58" t="s">
        <v>1752</v>
      </c>
      <c r="C1032" s="58" t="s">
        <v>1752</v>
      </c>
      <c r="D1032" s="60"/>
      <c r="E1032" s="62">
        <v>1</v>
      </c>
    </row>
    <row r="1033" spans="1:5" x14ac:dyDescent="0.35">
      <c r="A1033" s="10" t="s">
        <v>1220</v>
      </c>
      <c r="B1033" s="58" t="s">
        <v>1752</v>
      </c>
      <c r="C1033" s="58" t="s">
        <v>1752</v>
      </c>
      <c r="D1033" s="60"/>
      <c r="E1033" s="62">
        <v>1</v>
      </c>
    </row>
    <row r="1034" spans="1:5" x14ac:dyDescent="0.35">
      <c r="A1034" s="10" t="s">
        <v>1221</v>
      </c>
      <c r="B1034" s="58" t="s">
        <v>1752</v>
      </c>
      <c r="C1034" s="58" t="s">
        <v>1752</v>
      </c>
      <c r="D1034" s="60"/>
      <c r="E1034" s="62">
        <v>1</v>
      </c>
    </row>
    <row r="1035" spans="1:5" x14ac:dyDescent="0.35">
      <c r="A1035" s="11" t="s">
        <v>1222</v>
      </c>
      <c r="B1035" s="58" t="s">
        <v>1752</v>
      </c>
      <c r="C1035" s="58" t="s">
        <v>1752</v>
      </c>
      <c r="D1035" s="60"/>
      <c r="E1035" s="62">
        <v>1</v>
      </c>
    </row>
    <row r="1036" spans="1:5" x14ac:dyDescent="0.35">
      <c r="A1036" s="11" t="s">
        <v>1223</v>
      </c>
      <c r="B1036" s="58" t="s">
        <v>1752</v>
      </c>
      <c r="C1036" s="58" t="s">
        <v>1752</v>
      </c>
      <c r="D1036" s="60"/>
      <c r="E1036" s="62">
        <v>1</v>
      </c>
    </row>
    <row r="1037" spans="1:5" x14ac:dyDescent="0.35">
      <c r="A1037" s="10" t="s">
        <v>1224</v>
      </c>
      <c r="B1037" s="58" t="s">
        <v>1752</v>
      </c>
      <c r="C1037" s="58" t="s">
        <v>1752</v>
      </c>
      <c r="D1037" s="60"/>
      <c r="E1037" s="62">
        <v>1</v>
      </c>
    </row>
    <row r="1038" spans="1:5" x14ac:dyDescent="0.35">
      <c r="A1038" s="11" t="s">
        <v>1225</v>
      </c>
      <c r="B1038" s="58" t="s">
        <v>1752</v>
      </c>
      <c r="C1038" s="58" t="s">
        <v>1752</v>
      </c>
      <c r="D1038" s="60"/>
      <c r="E1038" s="62">
        <v>1</v>
      </c>
    </row>
    <row r="1039" spans="1:5" x14ac:dyDescent="0.35">
      <c r="A1039" s="10" t="s">
        <v>1226</v>
      </c>
      <c r="B1039" s="58" t="s">
        <v>1752</v>
      </c>
      <c r="C1039" s="58" t="s">
        <v>1752</v>
      </c>
      <c r="D1039" s="60"/>
      <c r="E1039" s="62">
        <v>1</v>
      </c>
    </row>
    <row r="1040" spans="1:5" x14ac:dyDescent="0.35">
      <c r="A1040" s="11" t="s">
        <v>1227</v>
      </c>
      <c r="B1040" s="58" t="s">
        <v>1752</v>
      </c>
      <c r="C1040" s="58" t="s">
        <v>1752</v>
      </c>
      <c r="D1040" s="60"/>
      <c r="E1040" s="62">
        <v>1</v>
      </c>
    </row>
    <row r="1041" spans="1:5" x14ac:dyDescent="0.35">
      <c r="A1041" s="10" t="s">
        <v>1228</v>
      </c>
      <c r="B1041" s="58" t="s">
        <v>1752</v>
      </c>
      <c r="C1041" s="58" t="s">
        <v>1752</v>
      </c>
      <c r="D1041" s="60"/>
      <c r="E1041" s="62">
        <v>1</v>
      </c>
    </row>
    <row r="1042" spans="1:5" x14ac:dyDescent="0.35">
      <c r="A1042" s="11" t="s">
        <v>1229</v>
      </c>
      <c r="B1042" s="58" t="s">
        <v>1752</v>
      </c>
      <c r="C1042" s="58" t="s">
        <v>1752</v>
      </c>
      <c r="D1042" s="60"/>
      <c r="E1042" s="62">
        <v>1</v>
      </c>
    </row>
    <row r="1043" spans="1:5" x14ac:dyDescent="0.35">
      <c r="A1043" s="11" t="s">
        <v>1230</v>
      </c>
      <c r="B1043" s="58" t="s">
        <v>1752</v>
      </c>
      <c r="C1043" s="58" t="s">
        <v>1752</v>
      </c>
      <c r="D1043" s="60"/>
      <c r="E1043" s="62">
        <v>1</v>
      </c>
    </row>
    <row r="1044" spans="1:5" x14ac:dyDescent="0.35">
      <c r="A1044" s="10" t="s">
        <v>1231</v>
      </c>
      <c r="B1044" s="58" t="s">
        <v>1752</v>
      </c>
      <c r="C1044" s="58" t="s">
        <v>1752</v>
      </c>
      <c r="D1044" s="60"/>
      <c r="E1044" s="62">
        <v>1</v>
      </c>
    </row>
    <row r="1045" spans="1:5" x14ac:dyDescent="0.35">
      <c r="A1045" s="11" t="s">
        <v>1232</v>
      </c>
      <c r="B1045" s="58" t="s">
        <v>1752</v>
      </c>
      <c r="C1045" s="58" t="s">
        <v>1752</v>
      </c>
      <c r="D1045" s="60"/>
      <c r="E1045" s="62">
        <v>1</v>
      </c>
    </row>
    <row r="1046" spans="1:5" x14ac:dyDescent="0.35">
      <c r="A1046" s="10" t="s">
        <v>1233</v>
      </c>
      <c r="B1046" s="58" t="s">
        <v>1752</v>
      </c>
      <c r="C1046" s="58" t="s">
        <v>1752</v>
      </c>
      <c r="D1046" s="60"/>
      <c r="E1046" s="62">
        <v>1</v>
      </c>
    </row>
    <row r="1047" spans="1:5" x14ac:dyDescent="0.35">
      <c r="A1047" s="10" t="s">
        <v>1234</v>
      </c>
      <c r="B1047" s="58" t="s">
        <v>1752</v>
      </c>
      <c r="C1047" s="58" t="s">
        <v>1752</v>
      </c>
      <c r="D1047" s="60"/>
      <c r="E1047" s="62">
        <v>1</v>
      </c>
    </row>
    <row r="1048" spans="1:5" x14ac:dyDescent="0.35">
      <c r="A1048" s="10" t="s">
        <v>1235</v>
      </c>
      <c r="B1048" s="58" t="s">
        <v>1752</v>
      </c>
      <c r="C1048" s="58" t="s">
        <v>1752</v>
      </c>
      <c r="D1048" s="60"/>
      <c r="E1048" s="62">
        <v>1</v>
      </c>
    </row>
    <row r="1049" spans="1:5" x14ac:dyDescent="0.35">
      <c r="A1049" s="11" t="s">
        <v>1236</v>
      </c>
      <c r="B1049" s="58" t="s">
        <v>1752</v>
      </c>
      <c r="C1049" s="58" t="s">
        <v>1752</v>
      </c>
      <c r="D1049" s="60"/>
      <c r="E1049" s="62">
        <v>1</v>
      </c>
    </row>
    <row r="1050" spans="1:5" x14ac:dyDescent="0.35">
      <c r="A1050" s="10" t="s">
        <v>1237</v>
      </c>
      <c r="B1050" s="58" t="s">
        <v>1752</v>
      </c>
      <c r="C1050" s="58" t="s">
        <v>1752</v>
      </c>
      <c r="D1050" s="60"/>
      <c r="E1050" s="62">
        <v>1</v>
      </c>
    </row>
    <row r="1051" spans="1:5" x14ac:dyDescent="0.35">
      <c r="A1051" s="11" t="s">
        <v>1238</v>
      </c>
      <c r="B1051" s="58" t="s">
        <v>1752</v>
      </c>
      <c r="C1051" s="58" t="s">
        <v>1752</v>
      </c>
      <c r="D1051" s="60"/>
      <c r="E1051" s="62">
        <v>1</v>
      </c>
    </row>
    <row r="1052" spans="1:5" x14ac:dyDescent="0.35">
      <c r="A1052" s="10" t="s">
        <v>1239</v>
      </c>
      <c r="B1052" s="58" t="s">
        <v>1752</v>
      </c>
      <c r="C1052" s="58" t="s">
        <v>1752</v>
      </c>
      <c r="D1052" s="60"/>
      <c r="E1052" s="62">
        <v>1</v>
      </c>
    </row>
    <row r="1053" spans="1:5" x14ac:dyDescent="0.35">
      <c r="A1053" s="11" t="s">
        <v>1240</v>
      </c>
      <c r="B1053" s="58" t="s">
        <v>1752</v>
      </c>
      <c r="C1053" s="58" t="s">
        <v>1752</v>
      </c>
      <c r="D1053" s="60"/>
      <c r="E1053" s="62">
        <v>1</v>
      </c>
    </row>
    <row r="1054" spans="1:5" x14ac:dyDescent="0.35">
      <c r="A1054" s="10" t="s">
        <v>1241</v>
      </c>
      <c r="B1054" s="58" t="s">
        <v>1752</v>
      </c>
      <c r="C1054" s="58" t="s">
        <v>1752</v>
      </c>
      <c r="D1054" s="60"/>
      <c r="E1054" s="62">
        <v>1</v>
      </c>
    </row>
    <row r="1055" spans="1:5" x14ac:dyDescent="0.35">
      <c r="A1055" s="10" t="s">
        <v>1242</v>
      </c>
      <c r="B1055" s="58" t="s">
        <v>1752</v>
      </c>
      <c r="C1055" s="58" t="s">
        <v>1752</v>
      </c>
      <c r="D1055" s="60"/>
      <c r="E1055" s="62">
        <v>1</v>
      </c>
    </row>
    <row r="1056" spans="1:5" x14ac:dyDescent="0.35">
      <c r="A1056" s="10" t="s">
        <v>1243</v>
      </c>
      <c r="B1056" s="58" t="s">
        <v>1752</v>
      </c>
      <c r="C1056" s="58" t="s">
        <v>1752</v>
      </c>
      <c r="D1056" s="60"/>
      <c r="E1056" s="62">
        <v>1</v>
      </c>
    </row>
    <row r="1057" spans="1:5" x14ac:dyDescent="0.35">
      <c r="A1057" s="10" t="s">
        <v>1244</v>
      </c>
      <c r="B1057" s="58" t="s">
        <v>1752</v>
      </c>
      <c r="C1057" s="58" t="s">
        <v>1752</v>
      </c>
      <c r="D1057" s="60"/>
      <c r="E1057" s="62">
        <v>1</v>
      </c>
    </row>
    <row r="1058" spans="1:5" x14ac:dyDescent="0.35">
      <c r="A1058" s="11" t="s">
        <v>1245</v>
      </c>
      <c r="B1058" s="58" t="s">
        <v>1752</v>
      </c>
      <c r="C1058" s="58" t="s">
        <v>1752</v>
      </c>
      <c r="D1058" s="60"/>
      <c r="E1058" s="62">
        <v>1</v>
      </c>
    </row>
    <row r="1059" spans="1:5" x14ac:dyDescent="0.35">
      <c r="A1059" s="11" t="s">
        <v>1246</v>
      </c>
      <c r="B1059" s="58" t="s">
        <v>1827</v>
      </c>
      <c r="C1059" s="58" t="s">
        <v>1752</v>
      </c>
      <c r="D1059" s="60"/>
      <c r="E1059" s="62">
        <v>1</v>
      </c>
    </row>
    <row r="1060" spans="1:5" x14ac:dyDescent="0.35">
      <c r="A1060" s="10" t="s">
        <v>1247</v>
      </c>
      <c r="B1060" s="58" t="s">
        <v>1752</v>
      </c>
      <c r="C1060" s="58" t="s">
        <v>1752</v>
      </c>
      <c r="D1060" s="60"/>
      <c r="E1060" s="62">
        <v>1</v>
      </c>
    </row>
    <row r="1061" spans="1:5" x14ac:dyDescent="0.35">
      <c r="A1061" s="11" t="s">
        <v>1248</v>
      </c>
      <c r="B1061" s="58" t="s">
        <v>1752</v>
      </c>
      <c r="C1061" s="58" t="s">
        <v>1752</v>
      </c>
      <c r="D1061" s="60"/>
      <c r="E1061" s="62">
        <v>1</v>
      </c>
    </row>
    <row r="1062" spans="1:5" x14ac:dyDescent="0.35">
      <c r="A1062" s="10" t="s">
        <v>1249</v>
      </c>
      <c r="B1062" s="58" t="s">
        <v>1752</v>
      </c>
      <c r="C1062" s="58" t="s">
        <v>1752</v>
      </c>
      <c r="D1062" s="60"/>
      <c r="E1062" s="62">
        <v>1</v>
      </c>
    </row>
    <row r="1063" spans="1:5" x14ac:dyDescent="0.35">
      <c r="A1063" s="11" t="s">
        <v>1250</v>
      </c>
      <c r="B1063" s="58" t="s">
        <v>1752</v>
      </c>
      <c r="C1063" s="58" t="s">
        <v>1752</v>
      </c>
      <c r="D1063" s="60"/>
      <c r="E1063" s="62">
        <v>1</v>
      </c>
    </row>
    <row r="1064" spans="1:5" x14ac:dyDescent="0.35">
      <c r="A1064" s="10" t="s">
        <v>1251</v>
      </c>
      <c r="B1064" s="58" t="s">
        <v>1752</v>
      </c>
      <c r="C1064" s="58" t="s">
        <v>1752</v>
      </c>
      <c r="D1064" s="60"/>
      <c r="E1064" s="62">
        <v>1</v>
      </c>
    </row>
    <row r="1065" spans="1:5" x14ac:dyDescent="0.35">
      <c r="A1065" s="10" t="s">
        <v>1252</v>
      </c>
      <c r="B1065" s="58" t="s">
        <v>1752</v>
      </c>
      <c r="C1065" s="58" t="s">
        <v>1752</v>
      </c>
      <c r="D1065" s="60"/>
      <c r="E1065" s="62">
        <v>1</v>
      </c>
    </row>
    <row r="1066" spans="1:5" x14ac:dyDescent="0.35">
      <c r="A1066" s="11" t="s">
        <v>1253</v>
      </c>
      <c r="B1066" s="58" t="s">
        <v>1752</v>
      </c>
      <c r="C1066" s="58" t="s">
        <v>1752</v>
      </c>
      <c r="D1066" s="60"/>
      <c r="E1066" s="62">
        <v>1</v>
      </c>
    </row>
    <row r="1067" spans="1:5" x14ac:dyDescent="0.35">
      <c r="A1067" s="10" t="s">
        <v>1254</v>
      </c>
      <c r="B1067" s="58" t="s">
        <v>1752</v>
      </c>
      <c r="C1067" s="58" t="s">
        <v>1752</v>
      </c>
      <c r="D1067" s="60"/>
      <c r="E1067" s="62">
        <v>1</v>
      </c>
    </row>
    <row r="1068" spans="1:5" x14ac:dyDescent="0.35">
      <c r="A1068" s="11" t="s">
        <v>1255</v>
      </c>
      <c r="B1068" s="58" t="s">
        <v>1752</v>
      </c>
      <c r="C1068" s="58" t="s">
        <v>1752</v>
      </c>
      <c r="D1068" s="60"/>
      <c r="E1068" s="62">
        <v>1</v>
      </c>
    </row>
    <row r="1069" spans="1:5" x14ac:dyDescent="0.35">
      <c r="A1069" s="10" t="s">
        <v>1256</v>
      </c>
      <c r="B1069" s="58" t="s">
        <v>1752</v>
      </c>
      <c r="C1069" s="58" t="s">
        <v>1752</v>
      </c>
      <c r="D1069" s="60"/>
      <c r="E1069" s="62">
        <v>1</v>
      </c>
    </row>
    <row r="1070" spans="1:5" x14ac:dyDescent="0.35">
      <c r="A1070" s="10" t="s">
        <v>1257</v>
      </c>
      <c r="B1070" s="58" t="s">
        <v>1752</v>
      </c>
      <c r="C1070" s="58" t="s">
        <v>1752</v>
      </c>
      <c r="D1070" s="60"/>
      <c r="E1070" s="62">
        <v>1</v>
      </c>
    </row>
    <row r="1071" spans="1:5" x14ac:dyDescent="0.35">
      <c r="A1071" s="11" t="s">
        <v>1258</v>
      </c>
      <c r="B1071" s="58" t="s">
        <v>1752</v>
      </c>
      <c r="C1071" s="58" t="s">
        <v>1752</v>
      </c>
      <c r="D1071" s="60"/>
      <c r="E1071" s="62">
        <v>1</v>
      </c>
    </row>
    <row r="1072" spans="1:5" x14ac:dyDescent="0.35">
      <c r="A1072" s="10" t="s">
        <v>1259</v>
      </c>
      <c r="B1072" s="58" t="s">
        <v>1752</v>
      </c>
      <c r="C1072" s="58" t="s">
        <v>1752</v>
      </c>
      <c r="D1072" s="60"/>
      <c r="E1072" s="62">
        <v>1</v>
      </c>
    </row>
    <row r="1073" spans="1:5" x14ac:dyDescent="0.35">
      <c r="A1073" s="11" t="s">
        <v>1260</v>
      </c>
      <c r="B1073" s="58" t="s">
        <v>1752</v>
      </c>
      <c r="C1073" s="58" t="s">
        <v>1752</v>
      </c>
      <c r="D1073" s="60"/>
      <c r="E1073" s="62">
        <v>1</v>
      </c>
    </row>
    <row r="1074" spans="1:5" x14ac:dyDescent="0.35">
      <c r="A1074" s="11" t="s">
        <v>1261</v>
      </c>
      <c r="B1074" s="58" t="s">
        <v>1752</v>
      </c>
      <c r="C1074" s="58" t="s">
        <v>1752</v>
      </c>
      <c r="D1074" s="60"/>
      <c r="E1074" s="62">
        <v>1</v>
      </c>
    </row>
    <row r="1075" spans="1:5" x14ac:dyDescent="0.35">
      <c r="A1075" s="10" t="s">
        <v>1262</v>
      </c>
      <c r="B1075" s="58" t="s">
        <v>1752</v>
      </c>
      <c r="C1075" s="58" t="s">
        <v>1752</v>
      </c>
      <c r="D1075" s="60"/>
      <c r="E1075" s="62">
        <v>1</v>
      </c>
    </row>
    <row r="1076" spans="1:5" x14ac:dyDescent="0.35">
      <c r="A1076" s="10" t="s">
        <v>1263</v>
      </c>
      <c r="B1076" s="58" t="s">
        <v>1752</v>
      </c>
      <c r="C1076" s="58" t="s">
        <v>1752</v>
      </c>
      <c r="D1076" s="60"/>
      <c r="E1076" s="62">
        <v>1</v>
      </c>
    </row>
    <row r="1077" spans="1:5" x14ac:dyDescent="0.35">
      <c r="A1077" s="10" t="s">
        <v>1264</v>
      </c>
      <c r="B1077" s="58" t="s">
        <v>1752</v>
      </c>
      <c r="C1077" s="58" t="s">
        <v>1752</v>
      </c>
      <c r="D1077" s="60"/>
      <c r="E1077" s="62">
        <v>1</v>
      </c>
    </row>
    <row r="1078" spans="1:5" x14ac:dyDescent="0.35">
      <c r="A1078" s="11" t="s">
        <v>1265</v>
      </c>
      <c r="B1078" s="58" t="s">
        <v>1752</v>
      </c>
      <c r="C1078" s="58" t="s">
        <v>1752</v>
      </c>
      <c r="D1078" s="60"/>
      <c r="E1078" s="62">
        <v>1</v>
      </c>
    </row>
    <row r="1079" spans="1:5" x14ac:dyDescent="0.35">
      <c r="A1079" s="11" t="s">
        <v>1266</v>
      </c>
      <c r="B1079" s="58" t="s">
        <v>1752</v>
      </c>
      <c r="C1079" s="58" t="s">
        <v>1752</v>
      </c>
      <c r="D1079" s="60"/>
      <c r="E1079" s="62">
        <v>1</v>
      </c>
    </row>
    <row r="1080" spans="1:5" x14ac:dyDescent="0.35">
      <c r="A1080" s="10" t="s">
        <v>1267</v>
      </c>
      <c r="B1080" s="58" t="s">
        <v>1752</v>
      </c>
      <c r="C1080" s="58" t="s">
        <v>1752</v>
      </c>
      <c r="D1080" s="60"/>
      <c r="E1080" s="62">
        <v>1</v>
      </c>
    </row>
    <row r="1081" spans="1:5" x14ac:dyDescent="0.35">
      <c r="A1081" s="11" t="s">
        <v>1268</v>
      </c>
      <c r="B1081" s="58" t="s">
        <v>1752</v>
      </c>
      <c r="C1081" s="58" t="s">
        <v>1752</v>
      </c>
      <c r="D1081" s="60"/>
      <c r="E1081" s="62">
        <v>1</v>
      </c>
    </row>
    <row r="1082" spans="1:5" x14ac:dyDescent="0.35">
      <c r="A1082" s="11" t="s">
        <v>1269</v>
      </c>
      <c r="B1082" s="58" t="s">
        <v>1752</v>
      </c>
      <c r="C1082" s="58" t="s">
        <v>1752</v>
      </c>
      <c r="D1082" s="60"/>
      <c r="E1082" s="62">
        <v>1</v>
      </c>
    </row>
    <row r="1083" spans="1:5" x14ac:dyDescent="0.35">
      <c r="A1083" s="10" t="s">
        <v>1270</v>
      </c>
      <c r="B1083" s="58" t="s">
        <v>1752</v>
      </c>
      <c r="C1083" s="58" t="s">
        <v>1752</v>
      </c>
      <c r="D1083" s="60"/>
      <c r="E1083" s="62">
        <v>1</v>
      </c>
    </row>
    <row r="1084" spans="1:5" x14ac:dyDescent="0.35">
      <c r="A1084" s="10" t="s">
        <v>1271</v>
      </c>
      <c r="B1084" s="58" t="s">
        <v>1752</v>
      </c>
      <c r="C1084" s="58" t="s">
        <v>1752</v>
      </c>
      <c r="D1084" s="60"/>
      <c r="E1084" s="62">
        <v>1</v>
      </c>
    </row>
    <row r="1085" spans="1:5" x14ac:dyDescent="0.35">
      <c r="A1085" s="10" t="s">
        <v>1272</v>
      </c>
      <c r="B1085" s="58" t="s">
        <v>1752</v>
      </c>
      <c r="C1085" s="58" t="s">
        <v>1752</v>
      </c>
      <c r="D1085" s="60"/>
      <c r="E1085" s="62">
        <v>1</v>
      </c>
    </row>
    <row r="1086" spans="1:5" x14ac:dyDescent="0.35">
      <c r="A1086" s="10" t="s">
        <v>1273</v>
      </c>
      <c r="B1086" s="58" t="s">
        <v>1752</v>
      </c>
      <c r="C1086" s="58" t="s">
        <v>1752</v>
      </c>
      <c r="D1086" s="60"/>
      <c r="E1086" s="62">
        <v>1</v>
      </c>
    </row>
    <row r="1087" spans="1:5" x14ac:dyDescent="0.35">
      <c r="A1087" s="11" t="s">
        <v>1274</v>
      </c>
      <c r="B1087" s="58" t="s">
        <v>1752</v>
      </c>
      <c r="C1087" s="58" t="s">
        <v>1752</v>
      </c>
      <c r="D1087" s="60"/>
      <c r="E1087" s="62">
        <v>1</v>
      </c>
    </row>
    <row r="1088" spans="1:5" x14ac:dyDescent="0.35">
      <c r="A1088" s="10" t="s">
        <v>1275</v>
      </c>
      <c r="B1088" s="58" t="s">
        <v>1752</v>
      </c>
      <c r="C1088" s="58" t="s">
        <v>1752</v>
      </c>
      <c r="D1088" s="60"/>
      <c r="E1088" s="62">
        <v>1</v>
      </c>
    </row>
    <row r="1089" spans="1:5" x14ac:dyDescent="0.35">
      <c r="A1089" s="11" t="s">
        <v>1276</v>
      </c>
      <c r="B1089" s="58" t="s">
        <v>1752</v>
      </c>
      <c r="C1089" s="58" t="s">
        <v>1752</v>
      </c>
      <c r="D1089" s="60"/>
      <c r="E1089" s="62">
        <v>1</v>
      </c>
    </row>
    <row r="1090" spans="1:5" x14ac:dyDescent="0.35">
      <c r="A1090" s="10" t="s">
        <v>1277</v>
      </c>
      <c r="B1090" s="58" t="s">
        <v>1752</v>
      </c>
      <c r="C1090" s="58" t="s">
        <v>1752</v>
      </c>
      <c r="D1090" s="60"/>
      <c r="E1090" s="62">
        <v>1</v>
      </c>
    </row>
    <row r="1091" spans="1:5" x14ac:dyDescent="0.35">
      <c r="A1091" s="11" t="s">
        <v>1278</v>
      </c>
      <c r="B1091" s="58" t="s">
        <v>1752</v>
      </c>
      <c r="C1091" s="58" t="s">
        <v>1752</v>
      </c>
      <c r="D1091" s="60"/>
      <c r="E1091" s="62">
        <v>1</v>
      </c>
    </row>
    <row r="1092" spans="1:5" x14ac:dyDescent="0.35">
      <c r="A1092" s="10" t="s">
        <v>1279</v>
      </c>
      <c r="B1092" s="58" t="s">
        <v>1752</v>
      </c>
      <c r="C1092" s="58" t="s">
        <v>1752</v>
      </c>
      <c r="D1092" s="60"/>
      <c r="E1092" s="62">
        <v>1</v>
      </c>
    </row>
    <row r="1093" spans="1:5" x14ac:dyDescent="0.35">
      <c r="A1093" s="11" t="s">
        <v>1280</v>
      </c>
      <c r="B1093" s="58" t="s">
        <v>1752</v>
      </c>
      <c r="C1093" s="58" t="s">
        <v>1752</v>
      </c>
      <c r="D1093" s="60"/>
      <c r="E1093" s="62">
        <v>1</v>
      </c>
    </row>
    <row r="1094" spans="1:5" x14ac:dyDescent="0.35">
      <c r="A1094" s="11" t="s">
        <v>1281</v>
      </c>
      <c r="B1094" s="58" t="s">
        <v>1752</v>
      </c>
      <c r="C1094" s="58" t="s">
        <v>1752</v>
      </c>
      <c r="D1094" s="60"/>
      <c r="E1094" s="62">
        <v>1</v>
      </c>
    </row>
    <row r="1095" spans="1:5" x14ac:dyDescent="0.35">
      <c r="A1095" s="10" t="s">
        <v>1282</v>
      </c>
      <c r="B1095" s="58" t="s">
        <v>1752</v>
      </c>
      <c r="C1095" s="58" t="s">
        <v>1752</v>
      </c>
      <c r="D1095" s="60"/>
      <c r="E1095" s="62">
        <v>1</v>
      </c>
    </row>
    <row r="1096" spans="1:5" x14ac:dyDescent="0.35">
      <c r="A1096" s="11" t="s">
        <v>1283</v>
      </c>
      <c r="B1096" s="58" t="s">
        <v>1752</v>
      </c>
      <c r="C1096" s="58" t="s">
        <v>1752</v>
      </c>
      <c r="D1096" s="60"/>
      <c r="E1096" s="62">
        <v>1</v>
      </c>
    </row>
    <row r="1097" spans="1:5" x14ac:dyDescent="0.35">
      <c r="A1097" s="10" t="s">
        <v>1284</v>
      </c>
      <c r="B1097" s="58" t="s">
        <v>1752</v>
      </c>
      <c r="C1097" s="58" t="s">
        <v>1752</v>
      </c>
      <c r="D1097" s="60"/>
      <c r="E1097" s="62">
        <v>1</v>
      </c>
    </row>
    <row r="1098" spans="1:5" x14ac:dyDescent="0.35">
      <c r="A1098" s="11" t="s">
        <v>1285</v>
      </c>
      <c r="B1098" s="58" t="s">
        <v>1752</v>
      </c>
      <c r="C1098" s="58" t="s">
        <v>1752</v>
      </c>
      <c r="D1098" s="60"/>
      <c r="E1098" s="62">
        <v>1</v>
      </c>
    </row>
    <row r="1099" spans="1:5" x14ac:dyDescent="0.35">
      <c r="A1099" s="10" t="s">
        <v>1286</v>
      </c>
      <c r="B1099" s="58" t="s">
        <v>1752</v>
      </c>
      <c r="C1099" s="58" t="s">
        <v>1752</v>
      </c>
      <c r="D1099" s="60"/>
      <c r="E1099" s="62">
        <v>1</v>
      </c>
    </row>
    <row r="1100" spans="1:5" x14ac:dyDescent="0.35">
      <c r="A1100" s="11" t="s">
        <v>1287</v>
      </c>
      <c r="B1100" s="58" t="s">
        <v>1752</v>
      </c>
      <c r="C1100" s="58" t="s">
        <v>1752</v>
      </c>
      <c r="D1100" s="60"/>
      <c r="E1100" s="62">
        <v>1</v>
      </c>
    </row>
    <row r="1101" spans="1:5" x14ac:dyDescent="0.35">
      <c r="A1101" s="10" t="s">
        <v>1288</v>
      </c>
      <c r="B1101" s="58" t="s">
        <v>1752</v>
      </c>
      <c r="C1101" s="58" t="s">
        <v>1752</v>
      </c>
      <c r="D1101" s="60"/>
      <c r="E1101" s="62">
        <v>1</v>
      </c>
    </row>
    <row r="1102" spans="1:5" x14ac:dyDescent="0.35">
      <c r="A1102" s="11" t="s">
        <v>1289</v>
      </c>
      <c r="B1102" s="58" t="s">
        <v>1752</v>
      </c>
      <c r="C1102" s="58" t="s">
        <v>1752</v>
      </c>
      <c r="D1102" s="60"/>
      <c r="E1102" s="62">
        <v>1</v>
      </c>
    </row>
    <row r="1103" spans="1:5" x14ac:dyDescent="0.35">
      <c r="A1103" s="10" t="s">
        <v>1290</v>
      </c>
      <c r="B1103" s="58" t="s">
        <v>1752</v>
      </c>
      <c r="C1103" s="58" t="s">
        <v>1752</v>
      </c>
      <c r="D1103" s="60"/>
      <c r="E1103" s="62">
        <v>1</v>
      </c>
    </row>
    <row r="1104" spans="1:5" x14ac:dyDescent="0.35">
      <c r="A1104" s="11" t="s">
        <v>1291</v>
      </c>
      <c r="B1104" s="58" t="s">
        <v>1752</v>
      </c>
      <c r="C1104" s="58" t="s">
        <v>1752</v>
      </c>
      <c r="D1104" s="60"/>
      <c r="E1104" s="62">
        <v>1</v>
      </c>
    </row>
    <row r="1105" spans="1:5" x14ac:dyDescent="0.35">
      <c r="A1105" s="10" t="s">
        <v>1292</v>
      </c>
      <c r="B1105" s="58" t="s">
        <v>1752</v>
      </c>
      <c r="C1105" s="58" t="s">
        <v>1752</v>
      </c>
      <c r="D1105" s="60"/>
      <c r="E1105" s="62">
        <v>1</v>
      </c>
    </row>
    <row r="1106" spans="1:5" x14ac:dyDescent="0.35">
      <c r="A1106" s="11" t="s">
        <v>1293</v>
      </c>
      <c r="B1106" s="58" t="s">
        <v>1752</v>
      </c>
      <c r="C1106" s="58" t="s">
        <v>1752</v>
      </c>
      <c r="D1106" s="60"/>
      <c r="E1106" s="62">
        <v>1</v>
      </c>
    </row>
    <row r="1107" spans="1:5" x14ac:dyDescent="0.35">
      <c r="A1107" s="10" t="s">
        <v>1294</v>
      </c>
      <c r="B1107" s="58" t="s">
        <v>1752</v>
      </c>
      <c r="C1107" s="58" t="s">
        <v>1752</v>
      </c>
      <c r="D1107" s="60"/>
      <c r="E1107" s="62">
        <v>1</v>
      </c>
    </row>
    <row r="1108" spans="1:5" x14ac:dyDescent="0.35">
      <c r="A1108" s="11" t="s">
        <v>1295</v>
      </c>
      <c r="B1108" s="58" t="s">
        <v>1752</v>
      </c>
      <c r="C1108" s="58" t="s">
        <v>1752</v>
      </c>
      <c r="D1108" s="60"/>
      <c r="E1108" s="62">
        <v>1</v>
      </c>
    </row>
    <row r="1109" spans="1:5" x14ac:dyDescent="0.35">
      <c r="A1109" s="10" t="s">
        <v>1296</v>
      </c>
      <c r="B1109" s="58" t="s">
        <v>1752</v>
      </c>
      <c r="C1109" s="58" t="s">
        <v>1752</v>
      </c>
      <c r="D1109" s="60"/>
      <c r="E1109" s="62">
        <v>1</v>
      </c>
    </row>
    <row r="1110" spans="1:5" x14ac:dyDescent="0.35">
      <c r="A1110" s="11" t="s">
        <v>1297</v>
      </c>
      <c r="B1110" s="58" t="s">
        <v>1752</v>
      </c>
      <c r="C1110" s="58" t="s">
        <v>1752</v>
      </c>
      <c r="D1110" s="60"/>
      <c r="E1110" s="62">
        <v>1</v>
      </c>
    </row>
    <row r="1111" spans="1:5" x14ac:dyDescent="0.35">
      <c r="A1111" s="10" t="s">
        <v>1298</v>
      </c>
      <c r="B1111" s="58" t="s">
        <v>1827</v>
      </c>
      <c r="C1111" s="58" t="s">
        <v>1752</v>
      </c>
      <c r="D1111" s="60"/>
      <c r="E1111" s="62">
        <v>1</v>
      </c>
    </row>
    <row r="1112" spans="1:5" x14ac:dyDescent="0.35">
      <c r="A1112" s="11" t="s">
        <v>1299</v>
      </c>
      <c r="B1112" s="58" t="s">
        <v>1752</v>
      </c>
      <c r="C1112" s="58" t="s">
        <v>1752</v>
      </c>
      <c r="D1112" s="60"/>
      <c r="E1112" s="62">
        <v>1</v>
      </c>
    </row>
    <row r="1113" spans="1:5" x14ac:dyDescent="0.35">
      <c r="A1113" s="10" t="s">
        <v>1300</v>
      </c>
      <c r="B1113" s="58" t="s">
        <v>1752</v>
      </c>
      <c r="C1113" s="58" t="s">
        <v>1752</v>
      </c>
      <c r="D1113" s="60"/>
      <c r="E1113" s="62">
        <v>1</v>
      </c>
    </row>
    <row r="1114" spans="1:5" x14ac:dyDescent="0.35">
      <c r="A1114" s="11" t="s">
        <v>1301</v>
      </c>
      <c r="B1114" s="58" t="s">
        <v>1827</v>
      </c>
      <c r="C1114" s="58" t="s">
        <v>1752</v>
      </c>
      <c r="D1114" s="60"/>
      <c r="E1114" s="62">
        <v>1</v>
      </c>
    </row>
    <row r="1115" spans="1:5" x14ac:dyDescent="0.35">
      <c r="A1115" s="11" t="s">
        <v>1302</v>
      </c>
      <c r="B1115" s="58" t="s">
        <v>1752</v>
      </c>
      <c r="C1115" s="58" t="s">
        <v>1752</v>
      </c>
      <c r="D1115" s="60"/>
      <c r="E1115" s="62">
        <v>1</v>
      </c>
    </row>
    <row r="1116" spans="1:5" x14ac:dyDescent="0.35">
      <c r="A1116" s="11" t="s">
        <v>1303</v>
      </c>
      <c r="B1116" s="58" t="s">
        <v>1752</v>
      </c>
      <c r="C1116" s="58" t="s">
        <v>1752</v>
      </c>
      <c r="D1116" s="60"/>
      <c r="E1116" s="62">
        <v>1</v>
      </c>
    </row>
    <row r="1117" spans="1:5" x14ac:dyDescent="0.35">
      <c r="A1117" s="11" t="s">
        <v>1304</v>
      </c>
      <c r="B1117" s="58" t="s">
        <v>1752</v>
      </c>
      <c r="C1117" s="58" t="s">
        <v>1752</v>
      </c>
      <c r="D1117" s="60"/>
      <c r="E1117" s="62">
        <v>1</v>
      </c>
    </row>
    <row r="1118" spans="1:5" x14ac:dyDescent="0.35">
      <c r="A1118" s="10" t="s">
        <v>1305</v>
      </c>
      <c r="B1118" s="58" t="s">
        <v>1752</v>
      </c>
      <c r="C1118" s="58" t="s">
        <v>1752</v>
      </c>
      <c r="D1118" s="60"/>
      <c r="E1118" s="62">
        <v>1</v>
      </c>
    </row>
    <row r="1119" spans="1:5" x14ac:dyDescent="0.35">
      <c r="A1119" s="11" t="s">
        <v>1306</v>
      </c>
      <c r="B1119" s="58" t="s">
        <v>1752</v>
      </c>
      <c r="C1119" s="58" t="s">
        <v>1752</v>
      </c>
      <c r="D1119" s="60"/>
      <c r="E1119" s="62">
        <v>1</v>
      </c>
    </row>
    <row r="1120" spans="1:5" x14ac:dyDescent="0.35">
      <c r="A1120" s="10" t="s">
        <v>1307</v>
      </c>
      <c r="B1120" s="58" t="s">
        <v>1752</v>
      </c>
      <c r="C1120" s="58" t="s">
        <v>1752</v>
      </c>
      <c r="D1120" s="60"/>
      <c r="E1120" s="62">
        <v>1</v>
      </c>
    </row>
    <row r="1121" spans="1:5" x14ac:dyDescent="0.35">
      <c r="A1121" s="11" t="s">
        <v>1308</v>
      </c>
      <c r="B1121" s="58" t="s">
        <v>1752</v>
      </c>
      <c r="C1121" s="58" t="s">
        <v>1752</v>
      </c>
      <c r="D1121" s="60"/>
      <c r="E1121" s="62">
        <v>1</v>
      </c>
    </row>
    <row r="1122" spans="1:5" x14ac:dyDescent="0.35">
      <c r="A1122" s="11" t="s">
        <v>1309</v>
      </c>
      <c r="B1122" s="58" t="s">
        <v>1752</v>
      </c>
      <c r="C1122" s="58" t="s">
        <v>1752</v>
      </c>
      <c r="D1122" s="60"/>
      <c r="E1122" s="62">
        <v>1</v>
      </c>
    </row>
    <row r="1123" spans="1:5" x14ac:dyDescent="0.35">
      <c r="A1123" s="11" t="s">
        <v>1310</v>
      </c>
      <c r="B1123" s="58" t="s">
        <v>1752</v>
      </c>
      <c r="C1123" s="58" t="s">
        <v>1752</v>
      </c>
      <c r="D1123" s="60"/>
      <c r="E1123" s="62">
        <v>1</v>
      </c>
    </row>
    <row r="1124" spans="1:5" x14ac:dyDescent="0.35">
      <c r="A1124" s="10" t="s">
        <v>1311</v>
      </c>
      <c r="B1124" s="58" t="s">
        <v>1752</v>
      </c>
      <c r="C1124" s="58" t="s">
        <v>1752</v>
      </c>
      <c r="D1124" s="60"/>
      <c r="E1124" s="62">
        <v>1</v>
      </c>
    </row>
    <row r="1125" spans="1:5" x14ac:dyDescent="0.35">
      <c r="A1125" s="11" t="s">
        <v>1312</v>
      </c>
      <c r="B1125" s="58" t="s">
        <v>1752</v>
      </c>
      <c r="C1125" s="58" t="s">
        <v>1752</v>
      </c>
      <c r="D1125" s="60"/>
      <c r="E1125" s="62">
        <v>1</v>
      </c>
    </row>
    <row r="1126" spans="1:5" x14ac:dyDescent="0.35">
      <c r="A1126" s="10" t="s">
        <v>1313</v>
      </c>
      <c r="B1126" s="58" t="s">
        <v>1752</v>
      </c>
      <c r="C1126" s="58" t="s">
        <v>1752</v>
      </c>
      <c r="D1126" s="60"/>
      <c r="E1126" s="62">
        <v>1</v>
      </c>
    </row>
    <row r="1127" spans="1:5" x14ac:dyDescent="0.35">
      <c r="A1127" s="11" t="s">
        <v>1314</v>
      </c>
      <c r="B1127" s="58" t="s">
        <v>1752</v>
      </c>
      <c r="C1127" s="58" t="s">
        <v>1752</v>
      </c>
      <c r="D1127" s="60"/>
      <c r="E1127" s="62">
        <v>1</v>
      </c>
    </row>
    <row r="1128" spans="1:5" x14ac:dyDescent="0.35">
      <c r="A1128" s="10" t="s">
        <v>1315</v>
      </c>
      <c r="B1128" s="58" t="s">
        <v>1752</v>
      </c>
      <c r="C1128" s="58" t="s">
        <v>1752</v>
      </c>
      <c r="D1128" s="60"/>
      <c r="E1128" s="62">
        <v>1</v>
      </c>
    </row>
    <row r="1129" spans="1:5" x14ac:dyDescent="0.35">
      <c r="A1129" s="11" t="s">
        <v>1316</v>
      </c>
      <c r="B1129" s="58" t="s">
        <v>1752</v>
      </c>
      <c r="C1129" s="58" t="s">
        <v>1752</v>
      </c>
      <c r="D1129" s="60"/>
      <c r="E1129" s="62">
        <v>1</v>
      </c>
    </row>
    <row r="1130" spans="1:5" x14ac:dyDescent="0.35">
      <c r="A1130" s="10" t="s">
        <v>1317</v>
      </c>
      <c r="B1130" s="58" t="s">
        <v>1752</v>
      </c>
      <c r="C1130" s="58" t="s">
        <v>1752</v>
      </c>
      <c r="D1130" s="60"/>
      <c r="E1130" s="62">
        <v>1</v>
      </c>
    </row>
    <row r="1131" spans="1:5" x14ac:dyDescent="0.35">
      <c r="A1131" s="11" t="s">
        <v>1318</v>
      </c>
      <c r="B1131" s="58" t="s">
        <v>1752</v>
      </c>
      <c r="C1131" s="58" t="s">
        <v>1752</v>
      </c>
      <c r="D1131" s="60"/>
      <c r="E1131" s="62">
        <v>1</v>
      </c>
    </row>
    <row r="1132" spans="1:5" x14ac:dyDescent="0.35">
      <c r="A1132" s="10" t="s">
        <v>1319</v>
      </c>
      <c r="B1132" s="58" t="s">
        <v>1752</v>
      </c>
      <c r="C1132" s="58" t="s">
        <v>1752</v>
      </c>
      <c r="D1132" s="60"/>
      <c r="E1132" s="62">
        <v>1</v>
      </c>
    </row>
    <row r="1133" spans="1:5" x14ac:dyDescent="0.35">
      <c r="A1133" s="11" t="s">
        <v>1320</v>
      </c>
      <c r="B1133" s="58" t="s">
        <v>1752</v>
      </c>
      <c r="C1133" s="58" t="s">
        <v>1752</v>
      </c>
      <c r="D1133" s="60"/>
      <c r="E1133" s="62">
        <v>1</v>
      </c>
    </row>
    <row r="1134" spans="1:5" x14ac:dyDescent="0.35">
      <c r="A1134" s="10" t="s">
        <v>1321</v>
      </c>
      <c r="B1134" s="58" t="s">
        <v>1752</v>
      </c>
      <c r="C1134" s="58" t="s">
        <v>1752</v>
      </c>
      <c r="D1134" s="60"/>
      <c r="E1134" s="62">
        <v>1</v>
      </c>
    </row>
    <row r="1135" spans="1:5" x14ac:dyDescent="0.35">
      <c r="A1135" s="11" t="s">
        <v>1322</v>
      </c>
      <c r="B1135" s="58" t="s">
        <v>1752</v>
      </c>
      <c r="C1135" s="58" t="s">
        <v>1752</v>
      </c>
      <c r="D1135" s="60"/>
      <c r="E1135" s="62">
        <v>1</v>
      </c>
    </row>
    <row r="1136" spans="1:5" x14ac:dyDescent="0.35">
      <c r="A1136" s="10" t="s">
        <v>1323</v>
      </c>
      <c r="B1136" s="58" t="s">
        <v>1752</v>
      </c>
      <c r="C1136" s="58" t="s">
        <v>1752</v>
      </c>
      <c r="D1136" s="60"/>
      <c r="E1136" s="62">
        <v>1</v>
      </c>
    </row>
    <row r="1137" spans="1:5" x14ac:dyDescent="0.35">
      <c r="A1137" s="11" t="s">
        <v>1324</v>
      </c>
      <c r="B1137" s="58" t="s">
        <v>1752</v>
      </c>
      <c r="C1137" s="58" t="s">
        <v>1752</v>
      </c>
      <c r="D1137" s="60"/>
      <c r="E1137" s="62">
        <v>1</v>
      </c>
    </row>
    <row r="1138" spans="1:5" x14ac:dyDescent="0.35">
      <c r="A1138" s="10" t="s">
        <v>1325</v>
      </c>
      <c r="B1138" s="58" t="s">
        <v>1752</v>
      </c>
      <c r="C1138" s="58" t="s">
        <v>1752</v>
      </c>
      <c r="D1138" s="60"/>
      <c r="E1138" s="62">
        <v>1</v>
      </c>
    </row>
    <row r="1139" spans="1:5" x14ac:dyDescent="0.35">
      <c r="A1139" s="11" t="s">
        <v>1326</v>
      </c>
      <c r="B1139" s="58" t="s">
        <v>1752</v>
      </c>
      <c r="C1139" s="58" t="s">
        <v>1752</v>
      </c>
      <c r="D1139" s="60"/>
      <c r="E1139" s="62">
        <v>1</v>
      </c>
    </row>
    <row r="1140" spans="1:5" x14ac:dyDescent="0.35">
      <c r="A1140" s="10" t="s">
        <v>1327</v>
      </c>
      <c r="B1140" s="58" t="s">
        <v>1752</v>
      </c>
      <c r="C1140" s="58" t="s">
        <v>1752</v>
      </c>
      <c r="D1140" s="60"/>
      <c r="E1140" s="62">
        <v>1</v>
      </c>
    </row>
    <row r="1141" spans="1:5" x14ac:dyDescent="0.35">
      <c r="A1141" s="11" t="s">
        <v>1328</v>
      </c>
      <c r="B1141" s="58" t="s">
        <v>1752</v>
      </c>
      <c r="C1141" s="58" t="s">
        <v>1752</v>
      </c>
      <c r="D1141" s="60"/>
      <c r="E1141" s="62">
        <v>1</v>
      </c>
    </row>
    <row r="1142" spans="1:5" x14ac:dyDescent="0.35">
      <c r="A1142" s="10" t="s">
        <v>1329</v>
      </c>
      <c r="B1142" s="58" t="s">
        <v>1752</v>
      </c>
      <c r="C1142" s="58" t="s">
        <v>1752</v>
      </c>
      <c r="D1142" s="60"/>
      <c r="E1142" s="62">
        <v>1</v>
      </c>
    </row>
    <row r="1143" spans="1:5" x14ac:dyDescent="0.35">
      <c r="A1143" s="11" t="s">
        <v>1330</v>
      </c>
      <c r="B1143" s="58" t="s">
        <v>1752</v>
      </c>
      <c r="C1143" s="58" t="s">
        <v>1752</v>
      </c>
      <c r="D1143" s="60"/>
      <c r="E1143" s="62">
        <v>1</v>
      </c>
    </row>
    <row r="1144" spans="1:5" x14ac:dyDescent="0.35">
      <c r="A1144" s="10" t="s">
        <v>1331</v>
      </c>
      <c r="B1144" s="58" t="s">
        <v>1752</v>
      </c>
      <c r="C1144" s="58" t="s">
        <v>1752</v>
      </c>
      <c r="D1144" s="60"/>
      <c r="E1144" s="62">
        <v>1</v>
      </c>
    </row>
    <row r="1145" spans="1:5" x14ac:dyDescent="0.35">
      <c r="A1145" s="11" t="s">
        <v>1332</v>
      </c>
      <c r="B1145" s="58" t="s">
        <v>1752</v>
      </c>
      <c r="C1145" s="58" t="s">
        <v>1752</v>
      </c>
      <c r="D1145" s="60"/>
      <c r="E1145" s="62">
        <v>1</v>
      </c>
    </row>
    <row r="1146" spans="1:5" x14ac:dyDescent="0.35">
      <c r="A1146" s="10" t="s">
        <v>1333</v>
      </c>
      <c r="B1146" s="58" t="s">
        <v>1752</v>
      </c>
      <c r="C1146" s="58" t="s">
        <v>1752</v>
      </c>
      <c r="D1146" s="60"/>
      <c r="E1146" s="62">
        <v>1</v>
      </c>
    </row>
    <row r="1147" spans="1:5" x14ac:dyDescent="0.35">
      <c r="A1147" s="11" t="s">
        <v>1334</v>
      </c>
      <c r="B1147" s="58" t="s">
        <v>1752</v>
      </c>
      <c r="C1147" s="58" t="s">
        <v>1752</v>
      </c>
      <c r="D1147" s="60"/>
      <c r="E1147" s="62">
        <v>1</v>
      </c>
    </row>
    <row r="1148" spans="1:5" x14ac:dyDescent="0.35">
      <c r="A1148" s="10" t="s">
        <v>1335</v>
      </c>
      <c r="B1148" s="58" t="s">
        <v>1827</v>
      </c>
      <c r="C1148" s="58" t="s">
        <v>1752</v>
      </c>
      <c r="D1148" s="60"/>
      <c r="E1148" s="62">
        <v>1</v>
      </c>
    </row>
    <row r="1149" spans="1:5" x14ac:dyDescent="0.35">
      <c r="A1149" s="11" t="s">
        <v>1336</v>
      </c>
      <c r="B1149" s="58" t="s">
        <v>1752</v>
      </c>
      <c r="C1149" s="58" t="s">
        <v>1752</v>
      </c>
      <c r="D1149" s="60"/>
      <c r="E1149" s="62">
        <v>1</v>
      </c>
    </row>
    <row r="1150" spans="1:5" x14ac:dyDescent="0.35">
      <c r="A1150" s="10" t="s">
        <v>1337</v>
      </c>
      <c r="B1150" s="58" t="s">
        <v>1752</v>
      </c>
      <c r="C1150" s="58" t="s">
        <v>1752</v>
      </c>
      <c r="D1150" s="60"/>
      <c r="E1150" s="62">
        <v>1</v>
      </c>
    </row>
    <row r="1151" spans="1:5" x14ac:dyDescent="0.35">
      <c r="A1151" s="10" t="s">
        <v>1338</v>
      </c>
      <c r="B1151" s="58" t="s">
        <v>1752</v>
      </c>
      <c r="C1151" s="58" t="s">
        <v>1752</v>
      </c>
      <c r="D1151" s="60"/>
      <c r="E1151" s="62">
        <v>1</v>
      </c>
    </row>
    <row r="1152" spans="1:5" x14ac:dyDescent="0.35">
      <c r="A1152" s="10" t="s">
        <v>1339</v>
      </c>
      <c r="B1152" s="58" t="s">
        <v>1752</v>
      </c>
      <c r="C1152" s="58" t="s">
        <v>1752</v>
      </c>
      <c r="D1152" s="60"/>
      <c r="E1152" s="62">
        <v>1</v>
      </c>
    </row>
    <row r="1153" spans="1:5" x14ac:dyDescent="0.35">
      <c r="A1153" s="10" t="s">
        <v>1340</v>
      </c>
      <c r="B1153" s="58" t="s">
        <v>1752</v>
      </c>
      <c r="C1153" s="58" t="s">
        <v>1752</v>
      </c>
      <c r="D1153" s="60"/>
      <c r="E1153" s="62">
        <v>1</v>
      </c>
    </row>
    <row r="1154" spans="1:5" x14ac:dyDescent="0.35">
      <c r="A1154" s="11" t="s">
        <v>1341</v>
      </c>
      <c r="B1154" s="58" t="s">
        <v>1827</v>
      </c>
      <c r="C1154" s="58" t="s">
        <v>1752</v>
      </c>
      <c r="D1154" s="60"/>
      <c r="E1154" s="62">
        <v>1</v>
      </c>
    </row>
    <row r="1155" spans="1:5" x14ac:dyDescent="0.35">
      <c r="A1155" s="10" t="s">
        <v>1342</v>
      </c>
      <c r="B1155" s="58" t="s">
        <v>1752</v>
      </c>
      <c r="C1155" s="58" t="s">
        <v>1752</v>
      </c>
      <c r="D1155" s="60"/>
      <c r="E1155" s="62">
        <v>1</v>
      </c>
    </row>
    <row r="1156" spans="1:5" x14ac:dyDescent="0.35">
      <c r="A1156" s="11" t="s">
        <v>1343</v>
      </c>
      <c r="B1156" s="58" t="s">
        <v>1752</v>
      </c>
      <c r="C1156" s="58" t="s">
        <v>1752</v>
      </c>
      <c r="D1156" s="60"/>
      <c r="E1156" s="62">
        <v>1</v>
      </c>
    </row>
    <row r="1157" spans="1:5" x14ac:dyDescent="0.35">
      <c r="A1157" s="11" t="s">
        <v>1344</v>
      </c>
      <c r="B1157" s="58" t="s">
        <v>1827</v>
      </c>
      <c r="C1157" s="58" t="s">
        <v>1752</v>
      </c>
      <c r="D1157" s="60"/>
      <c r="E1157" s="62">
        <v>1</v>
      </c>
    </row>
    <row r="1158" spans="1:5" x14ac:dyDescent="0.35">
      <c r="A1158" s="10" t="s">
        <v>1345</v>
      </c>
      <c r="B1158" s="58" t="s">
        <v>1752</v>
      </c>
      <c r="C1158" s="58" t="s">
        <v>1752</v>
      </c>
      <c r="D1158" s="60"/>
      <c r="E1158" s="62">
        <v>1</v>
      </c>
    </row>
    <row r="1159" spans="1:5" x14ac:dyDescent="0.35">
      <c r="A1159" s="11" t="s">
        <v>1346</v>
      </c>
      <c r="B1159" s="58" t="s">
        <v>1752</v>
      </c>
      <c r="C1159" s="58" t="s">
        <v>1752</v>
      </c>
      <c r="D1159" s="60"/>
      <c r="E1159" s="62">
        <v>1</v>
      </c>
    </row>
    <row r="1160" spans="1:5" x14ac:dyDescent="0.35">
      <c r="A1160" s="11" t="s">
        <v>1347</v>
      </c>
      <c r="B1160" s="58" t="s">
        <v>1752</v>
      </c>
      <c r="C1160" s="58" t="s">
        <v>1752</v>
      </c>
      <c r="D1160" s="60"/>
      <c r="E1160" s="62">
        <v>1</v>
      </c>
    </row>
    <row r="1161" spans="1:5" x14ac:dyDescent="0.35">
      <c r="A1161" s="10" t="s">
        <v>1348</v>
      </c>
      <c r="B1161" s="58" t="s">
        <v>1752</v>
      </c>
      <c r="C1161" s="58" t="s">
        <v>1752</v>
      </c>
      <c r="D1161" s="60"/>
      <c r="E1161" s="62">
        <v>1</v>
      </c>
    </row>
    <row r="1162" spans="1:5" x14ac:dyDescent="0.35">
      <c r="A1162" s="11" t="s">
        <v>1349</v>
      </c>
      <c r="B1162" s="58" t="s">
        <v>1752</v>
      </c>
      <c r="C1162" s="58" t="s">
        <v>1752</v>
      </c>
      <c r="D1162" s="60"/>
      <c r="E1162" s="62">
        <v>1</v>
      </c>
    </row>
    <row r="1163" spans="1:5" x14ac:dyDescent="0.35">
      <c r="A1163" s="10" t="s">
        <v>1350</v>
      </c>
      <c r="B1163" s="58" t="s">
        <v>1827</v>
      </c>
      <c r="C1163" s="58" t="s">
        <v>1752</v>
      </c>
      <c r="D1163" s="60"/>
      <c r="E1163" s="62">
        <v>1</v>
      </c>
    </row>
    <row r="1164" spans="1:5" x14ac:dyDescent="0.35">
      <c r="A1164" s="11" t="s">
        <v>1351</v>
      </c>
      <c r="B1164" s="58" t="s">
        <v>1752</v>
      </c>
      <c r="C1164" s="58" t="s">
        <v>1752</v>
      </c>
      <c r="D1164" s="60"/>
      <c r="E1164" s="62">
        <v>1</v>
      </c>
    </row>
    <row r="1165" spans="1:5" x14ac:dyDescent="0.35">
      <c r="A1165" s="11" t="s">
        <v>1352</v>
      </c>
      <c r="B1165" s="58" t="s">
        <v>1752</v>
      </c>
      <c r="C1165" s="58" t="s">
        <v>1752</v>
      </c>
      <c r="D1165" s="60"/>
      <c r="E1165" s="62">
        <v>1</v>
      </c>
    </row>
    <row r="1166" spans="1:5" x14ac:dyDescent="0.35">
      <c r="A1166" s="10" t="s">
        <v>1353</v>
      </c>
      <c r="B1166" s="58" t="s">
        <v>1752</v>
      </c>
      <c r="C1166" s="58" t="s">
        <v>1752</v>
      </c>
      <c r="D1166" s="60"/>
      <c r="E1166" s="62">
        <v>1</v>
      </c>
    </row>
    <row r="1167" spans="1:5" x14ac:dyDescent="0.35">
      <c r="A1167" s="11" t="s">
        <v>1354</v>
      </c>
      <c r="B1167" s="58" t="s">
        <v>1752</v>
      </c>
      <c r="C1167" s="58" t="s">
        <v>1752</v>
      </c>
      <c r="D1167" s="60"/>
      <c r="E1167" s="62">
        <v>1</v>
      </c>
    </row>
    <row r="1168" spans="1:5" x14ac:dyDescent="0.35">
      <c r="A1168" s="11" t="s">
        <v>1355</v>
      </c>
      <c r="B1168" s="58" t="s">
        <v>1752</v>
      </c>
      <c r="C1168" s="58" t="s">
        <v>1752</v>
      </c>
      <c r="D1168" s="60"/>
      <c r="E1168" s="62">
        <v>1</v>
      </c>
    </row>
    <row r="1169" spans="1:5" x14ac:dyDescent="0.35">
      <c r="A1169" s="10" t="s">
        <v>1356</v>
      </c>
      <c r="B1169" s="58" t="s">
        <v>1827</v>
      </c>
      <c r="C1169" s="58" t="s">
        <v>1752</v>
      </c>
      <c r="D1169" s="60"/>
      <c r="E1169" s="62">
        <v>1</v>
      </c>
    </row>
    <row r="1170" spans="1:5" x14ac:dyDescent="0.35">
      <c r="A1170" s="11" t="s">
        <v>1357</v>
      </c>
      <c r="B1170" s="58" t="s">
        <v>1827</v>
      </c>
      <c r="C1170" s="58" t="s">
        <v>1752</v>
      </c>
      <c r="D1170" s="60"/>
      <c r="E1170" s="62">
        <v>1</v>
      </c>
    </row>
    <row r="1171" spans="1:5" x14ac:dyDescent="0.35">
      <c r="A1171" s="11" t="s">
        <v>1358</v>
      </c>
      <c r="B1171" s="58" t="s">
        <v>1752</v>
      </c>
      <c r="C1171" s="58" t="s">
        <v>1752</v>
      </c>
      <c r="D1171" s="60"/>
      <c r="E1171" s="62">
        <v>1</v>
      </c>
    </row>
    <row r="1172" spans="1:5" x14ac:dyDescent="0.35">
      <c r="A1172" s="10" t="s">
        <v>1359</v>
      </c>
      <c r="B1172" s="58" t="s">
        <v>1752</v>
      </c>
      <c r="C1172" s="58" t="s">
        <v>1752</v>
      </c>
      <c r="D1172" s="60"/>
      <c r="E1172" s="62">
        <v>1</v>
      </c>
    </row>
    <row r="1173" spans="1:5" x14ac:dyDescent="0.35">
      <c r="A1173" s="11" t="s">
        <v>1360</v>
      </c>
      <c r="B1173" s="58" t="s">
        <v>1752</v>
      </c>
      <c r="C1173" s="58" t="s">
        <v>1752</v>
      </c>
      <c r="D1173" s="60"/>
      <c r="E1173" s="62">
        <v>1</v>
      </c>
    </row>
    <row r="1174" spans="1:5" x14ac:dyDescent="0.35">
      <c r="A1174" s="10" t="s">
        <v>1361</v>
      </c>
      <c r="B1174" s="58" t="s">
        <v>1752</v>
      </c>
      <c r="C1174" s="58" t="s">
        <v>1752</v>
      </c>
      <c r="D1174" s="60"/>
      <c r="E1174" s="62">
        <v>1</v>
      </c>
    </row>
    <row r="1175" spans="1:5" x14ac:dyDescent="0.35">
      <c r="A1175" s="11" t="s">
        <v>1362</v>
      </c>
      <c r="B1175" s="58" t="s">
        <v>1752</v>
      </c>
      <c r="C1175" s="58" t="s">
        <v>1752</v>
      </c>
      <c r="D1175" s="60"/>
      <c r="E1175" s="62">
        <v>1</v>
      </c>
    </row>
    <row r="1176" spans="1:5" x14ac:dyDescent="0.35">
      <c r="A1176" s="10" t="s">
        <v>1363</v>
      </c>
      <c r="B1176" s="58" t="s">
        <v>1752</v>
      </c>
      <c r="C1176" s="58" t="s">
        <v>1752</v>
      </c>
      <c r="D1176" s="60"/>
      <c r="E1176" s="62">
        <v>1</v>
      </c>
    </row>
    <row r="1177" spans="1:5" x14ac:dyDescent="0.35">
      <c r="A1177" s="10" t="s">
        <v>1364</v>
      </c>
      <c r="B1177" s="58" t="s">
        <v>1752</v>
      </c>
      <c r="C1177" s="58" t="s">
        <v>1752</v>
      </c>
      <c r="D1177" s="60"/>
      <c r="E1177" s="62">
        <v>1</v>
      </c>
    </row>
    <row r="1178" spans="1:5" x14ac:dyDescent="0.35">
      <c r="A1178" s="11" t="s">
        <v>1365</v>
      </c>
      <c r="B1178" s="58" t="s">
        <v>1752</v>
      </c>
      <c r="C1178" s="58" t="s">
        <v>1752</v>
      </c>
      <c r="D1178" s="60"/>
      <c r="E1178" s="62">
        <v>1</v>
      </c>
    </row>
    <row r="1179" spans="1:5" x14ac:dyDescent="0.35">
      <c r="A1179" s="10" t="s">
        <v>1366</v>
      </c>
      <c r="B1179" s="58" t="s">
        <v>1752</v>
      </c>
      <c r="C1179" s="58" t="s">
        <v>1752</v>
      </c>
      <c r="D1179" s="60"/>
      <c r="E1179" s="62">
        <v>1</v>
      </c>
    </row>
    <row r="1180" spans="1:5" x14ac:dyDescent="0.35">
      <c r="A1180" s="11" t="s">
        <v>1367</v>
      </c>
      <c r="B1180" s="58" t="s">
        <v>1752</v>
      </c>
      <c r="C1180" s="58" t="s">
        <v>1752</v>
      </c>
      <c r="D1180" s="60"/>
      <c r="E1180" s="62">
        <v>1</v>
      </c>
    </row>
    <row r="1181" spans="1:5" x14ac:dyDescent="0.35">
      <c r="A1181" s="10" t="s">
        <v>1368</v>
      </c>
      <c r="B1181" s="58" t="s">
        <v>1752</v>
      </c>
      <c r="C1181" s="58" t="s">
        <v>1752</v>
      </c>
      <c r="D1181" s="60"/>
      <c r="E1181" s="62">
        <v>1</v>
      </c>
    </row>
    <row r="1182" spans="1:5" x14ac:dyDescent="0.35">
      <c r="A1182" s="11" t="s">
        <v>1369</v>
      </c>
      <c r="B1182" s="58" t="s">
        <v>1752</v>
      </c>
      <c r="C1182" s="58" t="s">
        <v>1752</v>
      </c>
      <c r="D1182" s="60"/>
      <c r="E1182" s="62">
        <v>1</v>
      </c>
    </row>
    <row r="1183" spans="1:5" x14ac:dyDescent="0.35">
      <c r="A1183" s="11" t="s">
        <v>1370</v>
      </c>
      <c r="B1183" s="58" t="s">
        <v>1752</v>
      </c>
      <c r="C1183" s="58" t="s">
        <v>1752</v>
      </c>
      <c r="D1183" s="60"/>
      <c r="E1183" s="62">
        <v>1</v>
      </c>
    </row>
    <row r="1184" spans="1:5" x14ac:dyDescent="0.35">
      <c r="A1184" s="10" t="s">
        <v>1371</v>
      </c>
      <c r="B1184" s="58" t="s">
        <v>1752</v>
      </c>
      <c r="C1184" s="58" t="s">
        <v>1752</v>
      </c>
      <c r="D1184" s="60"/>
      <c r="E1184" s="62">
        <v>1</v>
      </c>
    </row>
    <row r="1185" spans="1:5" x14ac:dyDescent="0.35">
      <c r="A1185" s="11" t="s">
        <v>1372</v>
      </c>
      <c r="B1185" s="58" t="s">
        <v>1752</v>
      </c>
      <c r="C1185" s="58" t="s">
        <v>1752</v>
      </c>
      <c r="D1185" s="60"/>
      <c r="E1185" s="62">
        <v>1</v>
      </c>
    </row>
    <row r="1186" spans="1:5" x14ac:dyDescent="0.35">
      <c r="A1186" s="10" t="s">
        <v>1373</v>
      </c>
      <c r="B1186" s="58" t="s">
        <v>1752</v>
      </c>
      <c r="C1186" s="58" t="s">
        <v>1752</v>
      </c>
      <c r="D1186" s="60"/>
      <c r="E1186" s="62">
        <v>1</v>
      </c>
    </row>
    <row r="1187" spans="1:5" x14ac:dyDescent="0.35">
      <c r="A1187" s="11" t="s">
        <v>1374</v>
      </c>
      <c r="B1187" s="58" t="s">
        <v>1752</v>
      </c>
      <c r="C1187" s="58" t="s">
        <v>1752</v>
      </c>
      <c r="D1187" s="60"/>
      <c r="E1187" s="62">
        <v>1</v>
      </c>
    </row>
    <row r="1188" spans="1:5" x14ac:dyDescent="0.35">
      <c r="A1188" s="10" t="s">
        <v>1375</v>
      </c>
      <c r="B1188" s="58" t="s">
        <v>1752</v>
      </c>
      <c r="C1188" s="58" t="s">
        <v>1752</v>
      </c>
      <c r="D1188" s="60"/>
      <c r="E1188" s="62">
        <v>1</v>
      </c>
    </row>
    <row r="1189" spans="1:5" x14ac:dyDescent="0.35">
      <c r="A1189" s="11" t="s">
        <v>1376</v>
      </c>
      <c r="B1189" s="58" t="s">
        <v>1752</v>
      </c>
      <c r="C1189" s="58" t="s">
        <v>1752</v>
      </c>
      <c r="D1189" s="60"/>
      <c r="E1189" s="62">
        <v>1</v>
      </c>
    </row>
    <row r="1190" spans="1:5" x14ac:dyDescent="0.35">
      <c r="A1190" s="11" t="s">
        <v>1377</v>
      </c>
      <c r="B1190" s="58" t="s">
        <v>1827</v>
      </c>
      <c r="C1190" s="58" t="s">
        <v>1752</v>
      </c>
      <c r="D1190" s="60"/>
      <c r="E1190" s="62">
        <v>1</v>
      </c>
    </row>
    <row r="1191" spans="1:5" x14ac:dyDescent="0.35">
      <c r="A1191" s="10" t="s">
        <v>1378</v>
      </c>
      <c r="B1191" s="58" t="s">
        <v>1752</v>
      </c>
      <c r="C1191" s="58" t="s">
        <v>1752</v>
      </c>
      <c r="D1191" s="60"/>
      <c r="E1191" s="62">
        <v>1</v>
      </c>
    </row>
    <row r="1192" spans="1:5" x14ac:dyDescent="0.35">
      <c r="A1192" s="10" t="s">
        <v>1379</v>
      </c>
      <c r="B1192" s="58" t="s">
        <v>1752</v>
      </c>
      <c r="C1192" s="58" t="s">
        <v>1752</v>
      </c>
      <c r="D1192" s="60"/>
      <c r="E1192" s="62">
        <v>1</v>
      </c>
    </row>
    <row r="1193" spans="1:5" x14ac:dyDescent="0.35">
      <c r="A1193" s="10" t="s">
        <v>1380</v>
      </c>
      <c r="B1193" s="58" t="s">
        <v>1752</v>
      </c>
      <c r="C1193" s="58" t="s">
        <v>1752</v>
      </c>
      <c r="D1193" s="60"/>
      <c r="E1193" s="62">
        <v>1</v>
      </c>
    </row>
    <row r="1194" spans="1:5" x14ac:dyDescent="0.35">
      <c r="A1194" s="10" t="s">
        <v>1381</v>
      </c>
      <c r="B1194" s="58" t="s">
        <v>1752</v>
      </c>
      <c r="C1194" s="58" t="s">
        <v>1752</v>
      </c>
      <c r="D1194" s="60"/>
      <c r="E1194" s="62">
        <v>1</v>
      </c>
    </row>
    <row r="1195" spans="1:5" x14ac:dyDescent="0.35">
      <c r="A1195" s="11" t="s">
        <v>1382</v>
      </c>
      <c r="B1195" s="58" t="s">
        <v>1752</v>
      </c>
      <c r="C1195" s="58" t="s">
        <v>1752</v>
      </c>
      <c r="D1195" s="60"/>
      <c r="E1195" s="62">
        <v>1</v>
      </c>
    </row>
    <row r="1196" spans="1:5" x14ac:dyDescent="0.35">
      <c r="A1196" s="11" t="s">
        <v>1383</v>
      </c>
      <c r="B1196" s="58" t="s">
        <v>1752</v>
      </c>
      <c r="C1196" s="58" t="s">
        <v>1752</v>
      </c>
      <c r="D1196" s="60"/>
      <c r="E1196" s="62">
        <v>1</v>
      </c>
    </row>
    <row r="1197" spans="1:5" x14ac:dyDescent="0.35">
      <c r="A1197" s="10" t="s">
        <v>1384</v>
      </c>
      <c r="B1197" s="58" t="s">
        <v>1752</v>
      </c>
      <c r="C1197" s="58" t="s">
        <v>1752</v>
      </c>
      <c r="D1197" s="60"/>
      <c r="E1197" s="62">
        <v>1</v>
      </c>
    </row>
    <row r="1198" spans="1:5" x14ac:dyDescent="0.35">
      <c r="A1198" s="11" t="s">
        <v>1385</v>
      </c>
      <c r="B1198" s="58" t="s">
        <v>1752</v>
      </c>
      <c r="C1198" s="58" t="s">
        <v>1752</v>
      </c>
      <c r="D1198" s="60"/>
      <c r="E1198" s="62">
        <v>1</v>
      </c>
    </row>
    <row r="1199" spans="1:5" x14ac:dyDescent="0.35">
      <c r="A1199" s="10" t="s">
        <v>1386</v>
      </c>
      <c r="B1199" s="58" t="s">
        <v>1752</v>
      </c>
      <c r="C1199" s="58" t="s">
        <v>1752</v>
      </c>
      <c r="D1199" s="60"/>
      <c r="E1199" s="62">
        <v>1</v>
      </c>
    </row>
    <row r="1200" spans="1:5" x14ac:dyDescent="0.35">
      <c r="A1200" s="11" t="s">
        <v>1387</v>
      </c>
      <c r="B1200" s="58" t="s">
        <v>1752</v>
      </c>
      <c r="C1200" s="58" t="s">
        <v>1752</v>
      </c>
      <c r="D1200" s="60"/>
      <c r="E1200" s="62">
        <v>1</v>
      </c>
    </row>
    <row r="1201" spans="1:5" x14ac:dyDescent="0.35">
      <c r="A1201" s="10" t="s">
        <v>1388</v>
      </c>
      <c r="B1201" s="58" t="s">
        <v>1752</v>
      </c>
      <c r="C1201" s="58" t="s">
        <v>1752</v>
      </c>
      <c r="D1201" s="60"/>
      <c r="E1201" s="62">
        <v>1</v>
      </c>
    </row>
    <row r="1202" spans="1:5" x14ac:dyDescent="0.35">
      <c r="A1202" s="11" t="s">
        <v>1389</v>
      </c>
      <c r="B1202" s="58" t="s">
        <v>1752</v>
      </c>
      <c r="C1202" s="58" t="s">
        <v>1752</v>
      </c>
      <c r="D1202" s="60"/>
      <c r="E1202" s="62">
        <v>1</v>
      </c>
    </row>
    <row r="1203" spans="1:5" x14ac:dyDescent="0.35">
      <c r="A1203" s="11" t="s">
        <v>1390</v>
      </c>
      <c r="B1203" s="58" t="s">
        <v>1752</v>
      </c>
      <c r="C1203" s="58" t="s">
        <v>1752</v>
      </c>
      <c r="D1203" s="60"/>
      <c r="E1203" s="62">
        <v>1</v>
      </c>
    </row>
    <row r="1204" spans="1:5" x14ac:dyDescent="0.35">
      <c r="A1204" s="10" t="s">
        <v>1391</v>
      </c>
      <c r="B1204" s="58" t="s">
        <v>1752</v>
      </c>
      <c r="C1204" s="58" t="s">
        <v>1752</v>
      </c>
      <c r="D1204" s="60"/>
      <c r="E1204" s="62">
        <v>1</v>
      </c>
    </row>
    <row r="1205" spans="1:5" x14ac:dyDescent="0.35">
      <c r="A1205" s="11" t="s">
        <v>1392</v>
      </c>
      <c r="B1205" s="58" t="s">
        <v>1752</v>
      </c>
      <c r="C1205" s="58" t="s">
        <v>1752</v>
      </c>
      <c r="D1205" s="60"/>
      <c r="E1205" s="62">
        <v>1</v>
      </c>
    </row>
    <row r="1206" spans="1:5" x14ac:dyDescent="0.35">
      <c r="A1206" s="10" t="s">
        <v>1393</v>
      </c>
      <c r="B1206" s="58" t="s">
        <v>1752</v>
      </c>
      <c r="C1206" s="58" t="s">
        <v>1752</v>
      </c>
      <c r="D1206" s="60"/>
      <c r="E1206" s="62">
        <v>1</v>
      </c>
    </row>
    <row r="1207" spans="1:5" x14ac:dyDescent="0.35">
      <c r="A1207" s="11" t="s">
        <v>1394</v>
      </c>
      <c r="B1207" s="58" t="s">
        <v>1752</v>
      </c>
      <c r="C1207" s="58" t="s">
        <v>1752</v>
      </c>
      <c r="D1207" s="60"/>
      <c r="E1207" s="62">
        <v>1</v>
      </c>
    </row>
    <row r="1208" spans="1:5" x14ac:dyDescent="0.35">
      <c r="A1208" s="10" t="s">
        <v>1395</v>
      </c>
      <c r="B1208" s="58" t="s">
        <v>1752</v>
      </c>
      <c r="C1208" s="58" t="s">
        <v>1752</v>
      </c>
      <c r="D1208" s="60"/>
      <c r="E1208" s="62">
        <v>1</v>
      </c>
    </row>
    <row r="1209" spans="1:5" x14ac:dyDescent="0.35">
      <c r="A1209" s="11" t="s">
        <v>1396</v>
      </c>
      <c r="B1209" s="58" t="s">
        <v>1752</v>
      </c>
      <c r="C1209" s="58" t="s">
        <v>1752</v>
      </c>
      <c r="D1209" s="60"/>
      <c r="E1209" s="62">
        <v>1</v>
      </c>
    </row>
    <row r="1210" spans="1:5" x14ac:dyDescent="0.35">
      <c r="A1210" s="10" t="s">
        <v>1397</v>
      </c>
      <c r="B1210" s="58" t="s">
        <v>1752</v>
      </c>
      <c r="C1210" s="58" t="s">
        <v>1752</v>
      </c>
      <c r="D1210" s="60"/>
      <c r="E1210" s="62">
        <v>1</v>
      </c>
    </row>
    <row r="1211" spans="1:5" x14ac:dyDescent="0.35">
      <c r="A1211" s="11" t="s">
        <v>1398</v>
      </c>
      <c r="B1211" s="58" t="s">
        <v>1752</v>
      </c>
      <c r="C1211" s="58" t="s">
        <v>1752</v>
      </c>
      <c r="D1211" s="60"/>
      <c r="E1211" s="62">
        <v>1</v>
      </c>
    </row>
    <row r="1212" spans="1:5" x14ac:dyDescent="0.35">
      <c r="A1212" s="10" t="s">
        <v>1399</v>
      </c>
      <c r="B1212" s="58" t="s">
        <v>1752</v>
      </c>
      <c r="C1212" s="58" t="s">
        <v>1752</v>
      </c>
      <c r="D1212" s="60"/>
      <c r="E1212" s="62">
        <v>1</v>
      </c>
    </row>
    <row r="1213" spans="1:5" x14ac:dyDescent="0.35">
      <c r="A1213" s="11" t="s">
        <v>1400</v>
      </c>
      <c r="B1213" s="58" t="s">
        <v>1752</v>
      </c>
      <c r="C1213" s="58" t="s">
        <v>1752</v>
      </c>
      <c r="D1213" s="60"/>
      <c r="E1213" s="62">
        <v>1</v>
      </c>
    </row>
    <row r="1214" spans="1:5" x14ac:dyDescent="0.35">
      <c r="A1214" s="10" t="s">
        <v>1401</v>
      </c>
      <c r="B1214" s="58" t="s">
        <v>1752</v>
      </c>
      <c r="C1214" s="58" t="s">
        <v>1752</v>
      </c>
      <c r="D1214" s="60"/>
      <c r="E1214" s="62">
        <v>1</v>
      </c>
    </row>
    <row r="1215" spans="1:5" x14ac:dyDescent="0.35">
      <c r="A1215" s="11" t="s">
        <v>1402</v>
      </c>
      <c r="B1215" s="58" t="s">
        <v>1752</v>
      </c>
      <c r="C1215" s="58" t="s">
        <v>1752</v>
      </c>
      <c r="D1215" s="60"/>
      <c r="E1215" s="62">
        <v>1</v>
      </c>
    </row>
    <row r="1216" spans="1:5" x14ac:dyDescent="0.35">
      <c r="A1216" s="10" t="s">
        <v>1403</v>
      </c>
      <c r="B1216" s="58" t="s">
        <v>1752</v>
      </c>
      <c r="C1216" s="58" t="s">
        <v>1752</v>
      </c>
      <c r="D1216" s="60"/>
      <c r="E1216" s="62">
        <v>1</v>
      </c>
    </row>
    <row r="1217" spans="1:5" x14ac:dyDescent="0.35">
      <c r="A1217" s="11" t="s">
        <v>1404</v>
      </c>
      <c r="B1217" s="58" t="s">
        <v>1827</v>
      </c>
      <c r="C1217" s="58" t="s">
        <v>1752</v>
      </c>
      <c r="D1217" s="60"/>
      <c r="E1217" s="62">
        <v>1</v>
      </c>
    </row>
    <row r="1218" spans="1:5" x14ac:dyDescent="0.35">
      <c r="A1218" s="10" t="s">
        <v>1405</v>
      </c>
      <c r="B1218" s="58" t="s">
        <v>1827</v>
      </c>
      <c r="C1218" s="58" t="s">
        <v>1752</v>
      </c>
      <c r="D1218" s="60"/>
      <c r="E1218" s="62">
        <v>1</v>
      </c>
    </row>
    <row r="1219" spans="1:5" x14ac:dyDescent="0.35">
      <c r="A1219" s="11" t="s">
        <v>1406</v>
      </c>
      <c r="B1219" s="58" t="s">
        <v>1827</v>
      </c>
      <c r="C1219" s="58" t="s">
        <v>1752</v>
      </c>
      <c r="D1219" s="60"/>
      <c r="E1219" s="62">
        <v>1</v>
      </c>
    </row>
    <row r="1220" spans="1:5" x14ac:dyDescent="0.35">
      <c r="A1220" s="10" t="s">
        <v>1407</v>
      </c>
      <c r="B1220" s="58" t="s">
        <v>1827</v>
      </c>
      <c r="C1220" s="58" t="s">
        <v>1752</v>
      </c>
      <c r="D1220" s="60"/>
      <c r="E1220" s="62">
        <v>1</v>
      </c>
    </row>
    <row r="1221" spans="1:5" x14ac:dyDescent="0.35">
      <c r="A1221" s="11" t="s">
        <v>1408</v>
      </c>
      <c r="B1221" s="58" t="s">
        <v>1827</v>
      </c>
      <c r="C1221" s="58" t="s">
        <v>1752</v>
      </c>
      <c r="D1221" s="60"/>
      <c r="E1221" s="62">
        <v>1</v>
      </c>
    </row>
    <row r="1222" spans="1:5" x14ac:dyDescent="0.35">
      <c r="A1222" s="10" t="s">
        <v>1409</v>
      </c>
      <c r="B1222" s="58" t="s">
        <v>1827</v>
      </c>
      <c r="C1222" s="58" t="s">
        <v>1752</v>
      </c>
      <c r="D1222" s="60"/>
      <c r="E1222" s="62">
        <v>1</v>
      </c>
    </row>
    <row r="1223" spans="1:5" x14ac:dyDescent="0.35">
      <c r="A1223" s="11" t="s">
        <v>1410</v>
      </c>
      <c r="B1223" s="58" t="s">
        <v>1827</v>
      </c>
      <c r="C1223" s="58" t="s">
        <v>1752</v>
      </c>
      <c r="D1223" s="60"/>
      <c r="E1223" s="62">
        <v>1</v>
      </c>
    </row>
    <row r="1224" spans="1:5" x14ac:dyDescent="0.35">
      <c r="A1224" s="10" t="s">
        <v>1411</v>
      </c>
      <c r="B1224" s="58" t="s">
        <v>1827</v>
      </c>
      <c r="C1224" s="58" t="s">
        <v>1752</v>
      </c>
      <c r="D1224" s="60"/>
      <c r="E1224" s="62">
        <v>1</v>
      </c>
    </row>
    <row r="1225" spans="1:5" x14ac:dyDescent="0.35">
      <c r="A1225" s="11" t="s">
        <v>1412</v>
      </c>
      <c r="B1225" s="58" t="s">
        <v>1827</v>
      </c>
      <c r="C1225" s="58" t="s">
        <v>1752</v>
      </c>
      <c r="D1225" s="60"/>
      <c r="E1225" s="62">
        <v>1</v>
      </c>
    </row>
    <row r="1226" spans="1:5" x14ac:dyDescent="0.35">
      <c r="A1226" s="10" t="s">
        <v>1413</v>
      </c>
      <c r="B1226" s="58" t="s">
        <v>1752</v>
      </c>
      <c r="C1226" s="58" t="s">
        <v>1752</v>
      </c>
      <c r="D1226" s="60"/>
      <c r="E1226" s="62">
        <v>1</v>
      </c>
    </row>
    <row r="1227" spans="1:5" x14ac:dyDescent="0.35">
      <c r="A1227" s="11" t="s">
        <v>1414</v>
      </c>
      <c r="B1227" s="58" t="s">
        <v>1752</v>
      </c>
      <c r="C1227" s="58" t="s">
        <v>1752</v>
      </c>
      <c r="D1227" s="60"/>
      <c r="E1227" s="62">
        <v>1</v>
      </c>
    </row>
    <row r="1228" spans="1:5" x14ac:dyDescent="0.35">
      <c r="A1228" s="11" t="s">
        <v>1415</v>
      </c>
      <c r="B1228" s="58" t="s">
        <v>1827</v>
      </c>
      <c r="C1228" s="58" t="s">
        <v>1752</v>
      </c>
      <c r="D1228" s="60"/>
      <c r="E1228" s="62">
        <v>1</v>
      </c>
    </row>
    <row r="1229" spans="1:5" x14ac:dyDescent="0.35">
      <c r="A1229" s="10" t="s">
        <v>1416</v>
      </c>
      <c r="B1229" s="58" t="s">
        <v>1827</v>
      </c>
      <c r="C1229" s="58" t="s">
        <v>1752</v>
      </c>
      <c r="D1229" s="60"/>
      <c r="E1229" s="62">
        <v>1</v>
      </c>
    </row>
    <row r="1230" spans="1:5" x14ac:dyDescent="0.35">
      <c r="A1230" s="11" t="s">
        <v>1417</v>
      </c>
      <c r="B1230" s="58" t="s">
        <v>1752</v>
      </c>
      <c r="C1230" s="58" t="s">
        <v>1752</v>
      </c>
      <c r="D1230" s="60"/>
      <c r="E1230" s="62">
        <v>1</v>
      </c>
    </row>
    <row r="1231" spans="1:5" x14ac:dyDescent="0.35">
      <c r="A1231" s="10" t="s">
        <v>1418</v>
      </c>
      <c r="B1231" s="58" t="s">
        <v>1827</v>
      </c>
      <c r="C1231" s="58" t="s">
        <v>1752</v>
      </c>
      <c r="D1231" s="60"/>
      <c r="E1231" s="62">
        <v>1</v>
      </c>
    </row>
    <row r="1232" spans="1:5" x14ac:dyDescent="0.35">
      <c r="A1232" s="11" t="s">
        <v>1419</v>
      </c>
      <c r="B1232" s="58" t="s">
        <v>1827</v>
      </c>
      <c r="C1232" s="58" t="s">
        <v>1752</v>
      </c>
      <c r="D1232" s="60"/>
      <c r="E1232" s="62">
        <v>1</v>
      </c>
    </row>
    <row r="1233" spans="1:5" x14ac:dyDescent="0.35">
      <c r="A1233" s="11" t="s">
        <v>1420</v>
      </c>
      <c r="B1233" s="58" t="s">
        <v>1752</v>
      </c>
      <c r="C1233" s="58" t="s">
        <v>1752</v>
      </c>
      <c r="D1233" s="60"/>
      <c r="E1233" s="62">
        <v>1</v>
      </c>
    </row>
    <row r="1234" spans="1:5" x14ac:dyDescent="0.35">
      <c r="A1234" s="11" t="s">
        <v>1421</v>
      </c>
      <c r="B1234" s="58" t="s">
        <v>1752</v>
      </c>
      <c r="C1234" s="58" t="s">
        <v>1752</v>
      </c>
      <c r="D1234" s="60"/>
      <c r="E1234" s="62">
        <v>1</v>
      </c>
    </row>
    <row r="1235" spans="1:5" x14ac:dyDescent="0.35">
      <c r="A1235" s="10" t="s">
        <v>1422</v>
      </c>
      <c r="B1235" s="58" t="s">
        <v>1827</v>
      </c>
      <c r="C1235" s="58" t="s">
        <v>1752</v>
      </c>
      <c r="D1235" s="60"/>
      <c r="E1235" s="62">
        <v>1</v>
      </c>
    </row>
    <row r="1236" spans="1:5" x14ac:dyDescent="0.35">
      <c r="A1236" s="10" t="s">
        <v>1423</v>
      </c>
      <c r="B1236" s="58" t="s">
        <v>1752</v>
      </c>
      <c r="C1236" s="58" t="s">
        <v>1752</v>
      </c>
      <c r="D1236" s="60"/>
      <c r="E1236" s="62">
        <v>1</v>
      </c>
    </row>
    <row r="1237" spans="1:5" x14ac:dyDescent="0.35">
      <c r="A1237" s="10" t="s">
        <v>1424</v>
      </c>
      <c r="B1237" s="58" t="s">
        <v>1752</v>
      </c>
      <c r="C1237" s="58" t="s">
        <v>1752</v>
      </c>
      <c r="D1237" s="60"/>
      <c r="E1237" s="62">
        <v>1</v>
      </c>
    </row>
    <row r="1238" spans="1:5" x14ac:dyDescent="0.35">
      <c r="A1238" s="10" t="s">
        <v>1425</v>
      </c>
      <c r="B1238" s="58" t="s">
        <v>1752</v>
      </c>
      <c r="C1238" s="58" t="s">
        <v>1752</v>
      </c>
      <c r="D1238" s="60"/>
      <c r="E1238" s="62">
        <v>1</v>
      </c>
    </row>
    <row r="1239" spans="1:5" x14ac:dyDescent="0.35">
      <c r="A1239" s="11" t="s">
        <v>1426</v>
      </c>
      <c r="B1239" s="58" t="s">
        <v>1752</v>
      </c>
      <c r="C1239" s="58" t="s">
        <v>1752</v>
      </c>
      <c r="D1239" s="60"/>
      <c r="E1239" s="62">
        <v>1</v>
      </c>
    </row>
    <row r="1240" spans="1:5" x14ac:dyDescent="0.35">
      <c r="A1240" s="10" t="s">
        <v>1427</v>
      </c>
      <c r="B1240" s="58" t="s">
        <v>1752</v>
      </c>
      <c r="C1240" s="58" t="s">
        <v>1752</v>
      </c>
      <c r="D1240" s="60"/>
      <c r="E1240" s="62">
        <v>1</v>
      </c>
    </row>
    <row r="1241" spans="1:5" x14ac:dyDescent="0.35">
      <c r="A1241" s="10" t="s">
        <v>1428</v>
      </c>
      <c r="B1241" s="58" t="s">
        <v>1752</v>
      </c>
      <c r="C1241" s="58" t="s">
        <v>1752</v>
      </c>
      <c r="D1241" s="60"/>
      <c r="E1241" s="62">
        <v>1</v>
      </c>
    </row>
    <row r="1242" spans="1:5" x14ac:dyDescent="0.35">
      <c r="A1242" s="11" t="s">
        <v>1429</v>
      </c>
      <c r="B1242" s="58" t="s">
        <v>1752</v>
      </c>
      <c r="C1242" s="58" t="s">
        <v>1752</v>
      </c>
      <c r="D1242" s="60"/>
      <c r="E1242" s="62">
        <v>1</v>
      </c>
    </row>
    <row r="1243" spans="1:5" x14ac:dyDescent="0.35">
      <c r="A1243" s="10" t="s">
        <v>1430</v>
      </c>
      <c r="B1243" s="58" t="s">
        <v>1752</v>
      </c>
      <c r="C1243" s="58" t="s">
        <v>1752</v>
      </c>
      <c r="D1243" s="60"/>
      <c r="E1243" s="62">
        <v>1</v>
      </c>
    </row>
    <row r="1244" spans="1:5" x14ac:dyDescent="0.35">
      <c r="A1244" s="10" t="s">
        <v>1431</v>
      </c>
      <c r="B1244" s="58" t="s">
        <v>1752</v>
      </c>
      <c r="C1244" s="58" t="s">
        <v>1752</v>
      </c>
      <c r="D1244" s="60"/>
      <c r="E1244" s="62">
        <v>1</v>
      </c>
    </row>
    <row r="1245" spans="1:5" x14ac:dyDescent="0.35">
      <c r="A1245" s="10" t="s">
        <v>1432</v>
      </c>
      <c r="B1245" s="58" t="s">
        <v>1752</v>
      </c>
      <c r="C1245" s="58" t="s">
        <v>1752</v>
      </c>
      <c r="D1245" s="60"/>
      <c r="E1245" s="62">
        <v>1</v>
      </c>
    </row>
    <row r="1246" spans="1:5" x14ac:dyDescent="0.35">
      <c r="A1246" s="11" t="s">
        <v>1433</v>
      </c>
      <c r="B1246" s="58" t="s">
        <v>1752</v>
      </c>
      <c r="C1246" s="58" t="s">
        <v>1752</v>
      </c>
      <c r="D1246" s="60"/>
      <c r="E1246" s="62">
        <v>1</v>
      </c>
    </row>
    <row r="1247" spans="1:5" x14ac:dyDescent="0.35">
      <c r="A1247" s="11" t="s">
        <v>1434</v>
      </c>
      <c r="B1247" s="58" t="s">
        <v>1752</v>
      </c>
      <c r="C1247" s="58" t="s">
        <v>1752</v>
      </c>
      <c r="D1247" s="60"/>
      <c r="E1247" s="62">
        <v>1</v>
      </c>
    </row>
    <row r="1248" spans="1:5" x14ac:dyDescent="0.35">
      <c r="A1248" s="10" t="s">
        <v>1435</v>
      </c>
      <c r="B1248" s="58" t="s">
        <v>1752</v>
      </c>
      <c r="C1248" s="58" t="s">
        <v>1752</v>
      </c>
      <c r="D1248" s="60"/>
      <c r="E1248" s="62">
        <v>1</v>
      </c>
    </row>
    <row r="1249" spans="1:5" x14ac:dyDescent="0.35">
      <c r="A1249" s="11" t="s">
        <v>1436</v>
      </c>
      <c r="B1249" s="58" t="s">
        <v>1752</v>
      </c>
      <c r="C1249" s="58" t="s">
        <v>1752</v>
      </c>
      <c r="D1249" s="60"/>
      <c r="E1249" s="62">
        <v>1</v>
      </c>
    </row>
    <row r="1250" spans="1:5" x14ac:dyDescent="0.35">
      <c r="A1250" s="10" t="s">
        <v>1437</v>
      </c>
      <c r="B1250" s="58" t="s">
        <v>1752</v>
      </c>
      <c r="C1250" s="58" t="s">
        <v>1752</v>
      </c>
      <c r="D1250" s="60"/>
      <c r="E1250" s="62">
        <v>1</v>
      </c>
    </row>
    <row r="1251" spans="1:5" x14ac:dyDescent="0.35">
      <c r="A1251" s="10" t="s">
        <v>1438</v>
      </c>
      <c r="B1251" s="58" t="s">
        <v>1752</v>
      </c>
      <c r="C1251" s="58" t="s">
        <v>1752</v>
      </c>
      <c r="D1251" s="60"/>
      <c r="E1251" s="62">
        <v>1</v>
      </c>
    </row>
    <row r="1252" spans="1:5" x14ac:dyDescent="0.35">
      <c r="A1252" s="11" t="s">
        <v>1439</v>
      </c>
      <c r="B1252" s="58" t="s">
        <v>1752</v>
      </c>
      <c r="C1252" s="58" t="s">
        <v>1752</v>
      </c>
      <c r="D1252" s="60"/>
      <c r="E1252" s="62">
        <v>1</v>
      </c>
    </row>
    <row r="1253" spans="1:5" x14ac:dyDescent="0.35">
      <c r="A1253" s="11" t="s">
        <v>1440</v>
      </c>
      <c r="B1253" s="58" t="s">
        <v>1752</v>
      </c>
      <c r="C1253" s="58" t="s">
        <v>1752</v>
      </c>
      <c r="D1253" s="60"/>
      <c r="E1253" s="62">
        <v>1</v>
      </c>
    </row>
    <row r="1254" spans="1:5" x14ac:dyDescent="0.35">
      <c r="A1254" s="11" t="s">
        <v>1441</v>
      </c>
      <c r="B1254" s="58" t="s">
        <v>1752</v>
      </c>
      <c r="C1254" s="58" t="s">
        <v>1752</v>
      </c>
      <c r="D1254" s="60"/>
      <c r="E1254" s="62">
        <v>1</v>
      </c>
    </row>
    <row r="1255" spans="1:5" x14ac:dyDescent="0.35">
      <c r="A1255" s="11" t="s">
        <v>1442</v>
      </c>
      <c r="B1255" s="58" t="s">
        <v>1752</v>
      </c>
      <c r="C1255" s="58" t="s">
        <v>1752</v>
      </c>
      <c r="D1255" s="60"/>
      <c r="E1255" s="62">
        <v>1</v>
      </c>
    </row>
    <row r="1256" spans="1:5" x14ac:dyDescent="0.35">
      <c r="A1256" s="11" t="s">
        <v>1443</v>
      </c>
      <c r="B1256" s="58" t="s">
        <v>1752</v>
      </c>
      <c r="C1256" s="58" t="s">
        <v>1752</v>
      </c>
      <c r="D1256" s="60"/>
      <c r="E1256" s="62">
        <v>1</v>
      </c>
    </row>
    <row r="1257" spans="1:5" x14ac:dyDescent="0.35">
      <c r="A1257" s="10" t="s">
        <v>1444</v>
      </c>
      <c r="B1257" s="58" t="s">
        <v>1752</v>
      </c>
      <c r="C1257" s="58" t="s">
        <v>1752</v>
      </c>
      <c r="D1257" s="60"/>
      <c r="E1257" s="62">
        <v>1</v>
      </c>
    </row>
    <row r="1258" spans="1:5" x14ac:dyDescent="0.35">
      <c r="A1258" s="11" t="s">
        <v>1445</v>
      </c>
      <c r="B1258" s="58" t="s">
        <v>1752</v>
      </c>
      <c r="C1258" s="58" t="s">
        <v>1752</v>
      </c>
      <c r="D1258" s="60"/>
      <c r="E1258" s="62">
        <v>1</v>
      </c>
    </row>
    <row r="1259" spans="1:5" x14ac:dyDescent="0.35">
      <c r="A1259" s="10" t="s">
        <v>1446</v>
      </c>
      <c r="B1259" s="58" t="s">
        <v>1752</v>
      </c>
      <c r="C1259" s="58" t="s">
        <v>1752</v>
      </c>
      <c r="D1259" s="60"/>
      <c r="E1259" s="62">
        <v>1</v>
      </c>
    </row>
    <row r="1260" spans="1:5" x14ac:dyDescent="0.35">
      <c r="A1260" s="11" t="s">
        <v>1447</v>
      </c>
      <c r="B1260" s="58" t="s">
        <v>1752</v>
      </c>
      <c r="C1260" s="58" t="s">
        <v>1752</v>
      </c>
      <c r="D1260" s="60"/>
      <c r="E1260" s="62">
        <v>1</v>
      </c>
    </row>
    <row r="1261" spans="1:5" x14ac:dyDescent="0.35">
      <c r="A1261" s="10" t="s">
        <v>1448</v>
      </c>
      <c r="B1261" s="58" t="s">
        <v>1752</v>
      </c>
      <c r="C1261" s="58" t="s">
        <v>1752</v>
      </c>
      <c r="D1261" s="60"/>
      <c r="E1261" s="62">
        <v>1</v>
      </c>
    </row>
    <row r="1262" spans="1:5" x14ac:dyDescent="0.35">
      <c r="A1262" s="11" t="s">
        <v>1449</v>
      </c>
      <c r="B1262" s="58" t="s">
        <v>1752</v>
      </c>
      <c r="C1262" s="58" t="s">
        <v>1752</v>
      </c>
      <c r="D1262" s="60"/>
      <c r="E1262" s="62">
        <v>1</v>
      </c>
    </row>
    <row r="1263" spans="1:5" x14ac:dyDescent="0.35">
      <c r="A1263" s="10" t="s">
        <v>1450</v>
      </c>
      <c r="B1263" s="58" t="s">
        <v>1752</v>
      </c>
      <c r="C1263" s="58" t="s">
        <v>1752</v>
      </c>
      <c r="D1263" s="60"/>
      <c r="E1263" s="62">
        <v>1</v>
      </c>
    </row>
    <row r="1264" spans="1:5" x14ac:dyDescent="0.35">
      <c r="A1264" s="11" t="s">
        <v>1451</v>
      </c>
      <c r="B1264" s="58" t="s">
        <v>1752</v>
      </c>
      <c r="C1264" s="58" t="s">
        <v>1752</v>
      </c>
      <c r="D1264" s="60"/>
      <c r="E1264" s="62">
        <v>1</v>
      </c>
    </row>
    <row r="1265" spans="1:5" x14ac:dyDescent="0.35">
      <c r="A1265" s="10" t="s">
        <v>1452</v>
      </c>
      <c r="B1265" s="58" t="s">
        <v>1752</v>
      </c>
      <c r="C1265" s="58" t="s">
        <v>1752</v>
      </c>
      <c r="D1265" s="60"/>
      <c r="E1265" s="62">
        <v>1</v>
      </c>
    </row>
    <row r="1266" spans="1:5" x14ac:dyDescent="0.35">
      <c r="A1266" s="11" t="s">
        <v>1453</v>
      </c>
      <c r="B1266" s="58" t="s">
        <v>1752</v>
      </c>
      <c r="C1266" s="58" t="s">
        <v>1752</v>
      </c>
      <c r="D1266" s="60"/>
      <c r="E1266" s="62">
        <v>1</v>
      </c>
    </row>
    <row r="1267" spans="1:5" x14ac:dyDescent="0.35">
      <c r="A1267" s="11" t="s">
        <v>1454</v>
      </c>
      <c r="B1267" s="58" t="s">
        <v>1752</v>
      </c>
      <c r="C1267" s="58" t="s">
        <v>1752</v>
      </c>
      <c r="D1267" s="60"/>
      <c r="E1267" s="62">
        <v>1</v>
      </c>
    </row>
    <row r="1268" spans="1:5" x14ac:dyDescent="0.35">
      <c r="A1268" s="10" t="s">
        <v>1455</v>
      </c>
      <c r="B1268" s="58" t="s">
        <v>1752</v>
      </c>
      <c r="C1268" s="58" t="s">
        <v>1752</v>
      </c>
      <c r="D1268" s="60"/>
      <c r="E1268" s="62">
        <v>1</v>
      </c>
    </row>
    <row r="1269" spans="1:5" x14ac:dyDescent="0.35">
      <c r="A1269" s="11" t="s">
        <v>1456</v>
      </c>
      <c r="B1269" s="58" t="s">
        <v>1752</v>
      </c>
      <c r="C1269" s="58" t="s">
        <v>1752</v>
      </c>
      <c r="D1269" s="60"/>
      <c r="E1269" s="62">
        <v>1</v>
      </c>
    </row>
    <row r="1270" spans="1:5" x14ac:dyDescent="0.35">
      <c r="A1270" s="11" t="s">
        <v>1457</v>
      </c>
      <c r="B1270" s="58" t="s">
        <v>1752</v>
      </c>
      <c r="C1270" s="58" t="s">
        <v>1752</v>
      </c>
      <c r="D1270" s="60"/>
      <c r="E1270" s="62">
        <v>1</v>
      </c>
    </row>
    <row r="1271" spans="1:5" x14ac:dyDescent="0.35">
      <c r="A1271" s="11" t="s">
        <v>1458</v>
      </c>
      <c r="B1271" s="58" t="s">
        <v>1752</v>
      </c>
      <c r="C1271" s="58" t="s">
        <v>1752</v>
      </c>
      <c r="D1271" s="60"/>
      <c r="E1271" s="62">
        <v>1</v>
      </c>
    </row>
    <row r="1272" spans="1:5" x14ac:dyDescent="0.35">
      <c r="A1272" s="11" t="s">
        <v>1459</v>
      </c>
      <c r="B1272" s="58" t="s">
        <v>1752</v>
      </c>
      <c r="C1272" s="58" t="s">
        <v>1752</v>
      </c>
      <c r="D1272" s="60"/>
      <c r="E1272" s="62">
        <v>1</v>
      </c>
    </row>
    <row r="1273" spans="1:5" x14ac:dyDescent="0.35">
      <c r="A1273" s="10" t="s">
        <v>1460</v>
      </c>
      <c r="B1273" s="58" t="s">
        <v>1752</v>
      </c>
      <c r="C1273" s="58" t="s">
        <v>1752</v>
      </c>
      <c r="D1273" s="60"/>
      <c r="E1273" s="62">
        <v>1</v>
      </c>
    </row>
    <row r="1274" spans="1:5" x14ac:dyDescent="0.35">
      <c r="A1274" s="10" t="s">
        <v>1461</v>
      </c>
      <c r="B1274" s="58" t="s">
        <v>1752</v>
      </c>
      <c r="C1274" s="58" t="s">
        <v>1752</v>
      </c>
      <c r="D1274" s="60"/>
      <c r="E1274" s="62">
        <v>1</v>
      </c>
    </row>
    <row r="1275" spans="1:5" x14ac:dyDescent="0.35">
      <c r="A1275" s="11" t="s">
        <v>1462</v>
      </c>
      <c r="B1275" s="58" t="s">
        <v>1752</v>
      </c>
      <c r="C1275" s="58" t="s">
        <v>1752</v>
      </c>
      <c r="D1275" s="60"/>
      <c r="E1275" s="62">
        <v>1</v>
      </c>
    </row>
    <row r="1276" spans="1:5" x14ac:dyDescent="0.35">
      <c r="A1276" s="10" t="s">
        <v>1463</v>
      </c>
      <c r="B1276" s="58" t="s">
        <v>1752</v>
      </c>
      <c r="C1276" s="58" t="s">
        <v>1752</v>
      </c>
      <c r="D1276" s="60"/>
      <c r="E1276" s="62">
        <v>1</v>
      </c>
    </row>
    <row r="1277" spans="1:5" x14ac:dyDescent="0.35">
      <c r="A1277" s="10" t="s">
        <v>1464</v>
      </c>
      <c r="B1277" s="58" t="s">
        <v>1752</v>
      </c>
      <c r="C1277" s="58" t="s">
        <v>1752</v>
      </c>
      <c r="D1277" s="60"/>
      <c r="E1277" s="62">
        <v>1</v>
      </c>
    </row>
    <row r="1278" spans="1:5" x14ac:dyDescent="0.35">
      <c r="A1278" s="11" t="s">
        <v>1465</v>
      </c>
      <c r="B1278" s="58" t="s">
        <v>1752</v>
      </c>
      <c r="C1278" s="58" t="s">
        <v>1752</v>
      </c>
      <c r="D1278" s="60"/>
      <c r="E1278" s="62">
        <v>1</v>
      </c>
    </row>
    <row r="1279" spans="1:5" x14ac:dyDescent="0.35">
      <c r="A1279" s="10" t="s">
        <v>1466</v>
      </c>
      <c r="B1279" s="58" t="s">
        <v>1752</v>
      </c>
      <c r="C1279" s="58" t="s">
        <v>1752</v>
      </c>
      <c r="D1279" s="60"/>
      <c r="E1279" s="62">
        <v>1</v>
      </c>
    </row>
    <row r="1280" spans="1:5" x14ac:dyDescent="0.35">
      <c r="A1280" s="11" t="s">
        <v>1467</v>
      </c>
      <c r="B1280" s="58" t="s">
        <v>1752</v>
      </c>
      <c r="C1280" s="58" t="s">
        <v>1752</v>
      </c>
      <c r="D1280" s="60"/>
      <c r="E1280" s="62">
        <v>1</v>
      </c>
    </row>
    <row r="1281" spans="1:5" x14ac:dyDescent="0.35">
      <c r="A1281" s="10" t="s">
        <v>1468</v>
      </c>
      <c r="B1281" s="58" t="s">
        <v>1752</v>
      </c>
      <c r="C1281" s="58" t="s">
        <v>1752</v>
      </c>
      <c r="D1281" s="60"/>
      <c r="E1281" s="62">
        <v>1</v>
      </c>
    </row>
    <row r="1282" spans="1:5" x14ac:dyDescent="0.35">
      <c r="A1282" s="11" t="s">
        <v>1469</v>
      </c>
      <c r="B1282" s="58" t="s">
        <v>1752</v>
      </c>
      <c r="C1282" s="58" t="s">
        <v>1752</v>
      </c>
      <c r="D1282" s="60"/>
      <c r="E1282" s="62">
        <v>1</v>
      </c>
    </row>
    <row r="1283" spans="1:5" x14ac:dyDescent="0.35">
      <c r="A1283" s="10" t="s">
        <v>1470</v>
      </c>
      <c r="B1283" s="58" t="s">
        <v>1752</v>
      </c>
      <c r="C1283" s="58" t="s">
        <v>1752</v>
      </c>
      <c r="D1283" s="60"/>
      <c r="E1283" s="62">
        <v>1</v>
      </c>
    </row>
    <row r="1284" spans="1:5" x14ac:dyDescent="0.35">
      <c r="A1284" s="11" t="s">
        <v>1471</v>
      </c>
      <c r="B1284" s="58" t="s">
        <v>1752</v>
      </c>
      <c r="C1284" s="58" t="s">
        <v>1752</v>
      </c>
      <c r="D1284" s="60"/>
      <c r="E1284" s="62">
        <v>1</v>
      </c>
    </row>
    <row r="1285" spans="1:5" x14ac:dyDescent="0.35">
      <c r="A1285" s="10" t="s">
        <v>1472</v>
      </c>
      <c r="B1285" s="58" t="s">
        <v>1752</v>
      </c>
      <c r="C1285" s="58" t="s">
        <v>1752</v>
      </c>
      <c r="D1285" s="60"/>
      <c r="E1285" s="62">
        <v>1</v>
      </c>
    </row>
    <row r="1286" spans="1:5" x14ac:dyDescent="0.35">
      <c r="A1286" s="11" t="s">
        <v>1473</v>
      </c>
      <c r="B1286" s="58" t="s">
        <v>1752</v>
      </c>
      <c r="C1286" s="58" t="s">
        <v>1752</v>
      </c>
      <c r="D1286" s="60"/>
      <c r="E1286" s="62">
        <v>1</v>
      </c>
    </row>
    <row r="1287" spans="1:5" x14ac:dyDescent="0.35">
      <c r="A1287" s="10" t="s">
        <v>1474</v>
      </c>
      <c r="B1287" s="58" t="s">
        <v>1752</v>
      </c>
      <c r="C1287" s="58" t="s">
        <v>1752</v>
      </c>
      <c r="D1287" s="60"/>
      <c r="E1287" s="62">
        <v>1</v>
      </c>
    </row>
    <row r="1288" spans="1:5" x14ac:dyDescent="0.35">
      <c r="A1288" s="11" t="s">
        <v>1475</v>
      </c>
      <c r="B1288" s="58" t="s">
        <v>1752</v>
      </c>
      <c r="C1288" s="58" t="s">
        <v>1752</v>
      </c>
      <c r="D1288" s="60"/>
      <c r="E1288" s="62">
        <v>1</v>
      </c>
    </row>
    <row r="1289" spans="1:5" x14ac:dyDescent="0.35">
      <c r="A1289" s="10" t="s">
        <v>1476</v>
      </c>
      <c r="B1289" s="58" t="s">
        <v>1827</v>
      </c>
      <c r="C1289" s="58" t="s">
        <v>1752</v>
      </c>
      <c r="D1289" s="60"/>
      <c r="E1289" s="62">
        <v>1</v>
      </c>
    </row>
    <row r="1290" spans="1:5" x14ac:dyDescent="0.35">
      <c r="A1290" s="11" t="s">
        <v>1477</v>
      </c>
      <c r="B1290" s="58" t="s">
        <v>1752</v>
      </c>
      <c r="C1290" s="58" t="s">
        <v>1752</v>
      </c>
      <c r="D1290" s="60"/>
      <c r="E1290" s="62">
        <v>1</v>
      </c>
    </row>
    <row r="1291" spans="1:5" x14ac:dyDescent="0.35">
      <c r="A1291" s="11" t="s">
        <v>1478</v>
      </c>
      <c r="B1291" s="58" t="s">
        <v>1752</v>
      </c>
      <c r="C1291" s="58" t="s">
        <v>1752</v>
      </c>
      <c r="D1291" s="60"/>
      <c r="E1291" s="62">
        <v>1</v>
      </c>
    </row>
    <row r="1292" spans="1:5" x14ac:dyDescent="0.35">
      <c r="A1292" s="10" t="s">
        <v>1479</v>
      </c>
      <c r="B1292" s="58" t="s">
        <v>1752</v>
      </c>
      <c r="C1292" s="58" t="s">
        <v>1752</v>
      </c>
      <c r="D1292" s="60"/>
      <c r="E1292" s="62">
        <v>1</v>
      </c>
    </row>
    <row r="1293" spans="1:5" x14ac:dyDescent="0.35">
      <c r="A1293" s="11" t="s">
        <v>1480</v>
      </c>
      <c r="B1293" s="58" t="s">
        <v>1752</v>
      </c>
      <c r="C1293" s="58" t="s">
        <v>1752</v>
      </c>
      <c r="D1293" s="60"/>
      <c r="E1293" s="62">
        <v>1</v>
      </c>
    </row>
    <row r="1294" spans="1:5" x14ac:dyDescent="0.35">
      <c r="A1294" s="11" t="s">
        <v>1481</v>
      </c>
      <c r="B1294" s="58" t="s">
        <v>1752</v>
      </c>
      <c r="C1294" s="58" t="s">
        <v>1752</v>
      </c>
      <c r="D1294" s="60"/>
      <c r="E1294" s="62">
        <v>1</v>
      </c>
    </row>
    <row r="1295" spans="1:5" x14ac:dyDescent="0.35">
      <c r="A1295" s="11" t="s">
        <v>1482</v>
      </c>
      <c r="B1295" s="58" t="s">
        <v>1752</v>
      </c>
      <c r="C1295" s="58" t="s">
        <v>1752</v>
      </c>
      <c r="D1295" s="60"/>
      <c r="E1295" s="62">
        <v>1</v>
      </c>
    </row>
    <row r="1296" spans="1:5" x14ac:dyDescent="0.35">
      <c r="A1296" s="10" t="s">
        <v>1483</v>
      </c>
      <c r="B1296" s="58" t="s">
        <v>1752</v>
      </c>
      <c r="C1296" s="58" t="s">
        <v>1752</v>
      </c>
      <c r="D1296" s="60"/>
      <c r="E1296" s="62">
        <v>1</v>
      </c>
    </row>
    <row r="1297" spans="1:5" x14ac:dyDescent="0.35">
      <c r="A1297" s="11" t="s">
        <v>1484</v>
      </c>
      <c r="B1297" s="58" t="s">
        <v>1827</v>
      </c>
      <c r="C1297" s="58" t="s">
        <v>1752</v>
      </c>
      <c r="D1297" s="60"/>
      <c r="E1297" s="62">
        <v>1</v>
      </c>
    </row>
    <row r="1298" spans="1:5" x14ac:dyDescent="0.35">
      <c r="A1298" s="10" t="s">
        <v>1485</v>
      </c>
      <c r="B1298" s="58" t="s">
        <v>1827</v>
      </c>
      <c r="C1298" s="58" t="s">
        <v>1752</v>
      </c>
      <c r="D1298" s="60"/>
      <c r="E1298" s="62">
        <v>1</v>
      </c>
    </row>
    <row r="1299" spans="1:5" x14ac:dyDescent="0.35">
      <c r="A1299" s="11" t="s">
        <v>1486</v>
      </c>
      <c r="B1299" s="58" t="s">
        <v>1752</v>
      </c>
      <c r="C1299" s="58" t="s">
        <v>1752</v>
      </c>
      <c r="D1299" s="60"/>
      <c r="E1299" s="62">
        <v>1</v>
      </c>
    </row>
    <row r="1300" spans="1:5" x14ac:dyDescent="0.35">
      <c r="A1300" s="10" t="s">
        <v>1487</v>
      </c>
      <c r="B1300" s="58" t="s">
        <v>1827</v>
      </c>
      <c r="C1300" s="58" t="s">
        <v>1752</v>
      </c>
      <c r="D1300" s="60"/>
      <c r="E1300" s="62">
        <v>1</v>
      </c>
    </row>
    <row r="1301" spans="1:5" x14ac:dyDescent="0.35">
      <c r="A1301" s="11" t="s">
        <v>1488</v>
      </c>
      <c r="B1301" s="58" t="s">
        <v>1752</v>
      </c>
      <c r="C1301" s="58" t="s">
        <v>1752</v>
      </c>
      <c r="D1301" s="60"/>
      <c r="E1301" s="62">
        <v>1</v>
      </c>
    </row>
    <row r="1302" spans="1:5" x14ac:dyDescent="0.35">
      <c r="A1302" s="10" t="s">
        <v>1489</v>
      </c>
      <c r="B1302" s="58" t="s">
        <v>1752</v>
      </c>
      <c r="C1302" s="58" t="s">
        <v>1752</v>
      </c>
      <c r="D1302" s="60"/>
      <c r="E1302" s="62">
        <v>1</v>
      </c>
    </row>
    <row r="1303" spans="1:5" x14ac:dyDescent="0.35">
      <c r="A1303" s="11" t="s">
        <v>1490</v>
      </c>
      <c r="B1303" s="58" t="s">
        <v>1752</v>
      </c>
      <c r="C1303" s="58" t="s">
        <v>1752</v>
      </c>
      <c r="D1303" s="60"/>
      <c r="E1303" s="62">
        <v>1</v>
      </c>
    </row>
    <row r="1304" spans="1:5" x14ac:dyDescent="0.35">
      <c r="A1304" s="11" t="s">
        <v>1491</v>
      </c>
      <c r="B1304" s="58" t="s">
        <v>1752</v>
      </c>
      <c r="C1304" s="58" t="s">
        <v>1752</v>
      </c>
      <c r="D1304" s="60"/>
      <c r="E1304" s="62">
        <v>1</v>
      </c>
    </row>
    <row r="1305" spans="1:5" x14ac:dyDescent="0.35">
      <c r="A1305" s="10" t="s">
        <v>1492</v>
      </c>
      <c r="B1305" s="58" t="s">
        <v>1752</v>
      </c>
      <c r="C1305" s="58" t="s">
        <v>1752</v>
      </c>
      <c r="D1305" s="60"/>
      <c r="E1305" s="62">
        <v>1</v>
      </c>
    </row>
    <row r="1306" spans="1:5" x14ac:dyDescent="0.35">
      <c r="A1306" s="11" t="s">
        <v>1493</v>
      </c>
      <c r="B1306" s="58" t="s">
        <v>1752</v>
      </c>
      <c r="C1306" s="58" t="s">
        <v>1752</v>
      </c>
      <c r="D1306" s="60"/>
      <c r="E1306" s="62">
        <v>1</v>
      </c>
    </row>
    <row r="1307" spans="1:5" x14ac:dyDescent="0.35">
      <c r="A1307" s="10" t="s">
        <v>1494</v>
      </c>
      <c r="B1307" s="58" t="s">
        <v>1752</v>
      </c>
      <c r="C1307" s="58" t="s">
        <v>1752</v>
      </c>
      <c r="D1307" s="60"/>
      <c r="E1307" s="62">
        <v>1</v>
      </c>
    </row>
    <row r="1308" spans="1:5" x14ac:dyDescent="0.35">
      <c r="A1308" s="10" t="s">
        <v>1495</v>
      </c>
      <c r="B1308" s="58" t="s">
        <v>1752</v>
      </c>
      <c r="C1308" s="58" t="s">
        <v>1752</v>
      </c>
      <c r="D1308" s="60"/>
      <c r="E1308" s="62">
        <v>1</v>
      </c>
    </row>
    <row r="1309" spans="1:5" x14ac:dyDescent="0.35">
      <c r="A1309" s="11" t="s">
        <v>1496</v>
      </c>
      <c r="B1309" s="58" t="s">
        <v>1827</v>
      </c>
      <c r="C1309" s="58" t="s">
        <v>1752</v>
      </c>
      <c r="D1309" s="60"/>
      <c r="E1309" s="62">
        <v>1</v>
      </c>
    </row>
    <row r="1310" spans="1:5" x14ac:dyDescent="0.35">
      <c r="A1310" s="11" t="s">
        <v>1497</v>
      </c>
      <c r="B1310" s="58" t="s">
        <v>1752</v>
      </c>
      <c r="C1310" s="58" t="s">
        <v>1752</v>
      </c>
      <c r="D1310" s="60"/>
      <c r="E1310" s="62">
        <v>1</v>
      </c>
    </row>
    <row r="1311" spans="1:5" x14ac:dyDescent="0.35">
      <c r="A1311" s="10" t="s">
        <v>1498</v>
      </c>
      <c r="B1311" s="58" t="s">
        <v>1752</v>
      </c>
      <c r="C1311" s="58" t="s">
        <v>1752</v>
      </c>
      <c r="D1311" s="60"/>
      <c r="E1311" s="62">
        <v>1</v>
      </c>
    </row>
    <row r="1312" spans="1:5" x14ac:dyDescent="0.35">
      <c r="A1312" s="11" t="s">
        <v>1499</v>
      </c>
      <c r="B1312" s="58" t="s">
        <v>1752</v>
      </c>
      <c r="C1312" s="58" t="s">
        <v>1752</v>
      </c>
      <c r="D1312" s="60"/>
      <c r="E1312" s="62">
        <v>1</v>
      </c>
    </row>
    <row r="1313" spans="1:5" x14ac:dyDescent="0.35">
      <c r="A1313" s="11" t="s">
        <v>1500</v>
      </c>
      <c r="B1313" s="58" t="s">
        <v>1752</v>
      </c>
      <c r="C1313" s="58" t="s">
        <v>1752</v>
      </c>
      <c r="D1313" s="60"/>
      <c r="E1313" s="62">
        <v>1</v>
      </c>
    </row>
    <row r="1314" spans="1:5" x14ac:dyDescent="0.35">
      <c r="A1314" s="11" t="s">
        <v>1501</v>
      </c>
      <c r="B1314" s="58" t="s">
        <v>1752</v>
      </c>
      <c r="C1314" s="58" t="s">
        <v>1752</v>
      </c>
      <c r="D1314" s="60"/>
      <c r="E1314" s="62">
        <v>1</v>
      </c>
    </row>
    <row r="1315" spans="1:5" x14ac:dyDescent="0.35">
      <c r="A1315" s="10" t="s">
        <v>1502</v>
      </c>
      <c r="B1315" s="58" t="s">
        <v>1752</v>
      </c>
      <c r="C1315" s="58" t="s">
        <v>1752</v>
      </c>
      <c r="D1315" s="60"/>
      <c r="E1315" s="62">
        <v>1</v>
      </c>
    </row>
    <row r="1316" spans="1:5" x14ac:dyDescent="0.35">
      <c r="A1316" s="11" t="s">
        <v>1503</v>
      </c>
      <c r="B1316" s="58" t="s">
        <v>1752</v>
      </c>
      <c r="C1316" s="58" t="s">
        <v>1752</v>
      </c>
      <c r="D1316" s="60"/>
      <c r="E1316" s="62">
        <v>1</v>
      </c>
    </row>
    <row r="1317" spans="1:5" x14ac:dyDescent="0.35">
      <c r="A1317" s="11" t="s">
        <v>1504</v>
      </c>
      <c r="B1317" s="58" t="s">
        <v>1752</v>
      </c>
      <c r="C1317" s="58" t="s">
        <v>1752</v>
      </c>
      <c r="D1317" s="60"/>
      <c r="E1317" s="62">
        <v>1</v>
      </c>
    </row>
    <row r="1318" spans="1:5" x14ac:dyDescent="0.35">
      <c r="A1318" s="10" t="s">
        <v>1505</v>
      </c>
      <c r="B1318" s="58" t="s">
        <v>1752</v>
      </c>
      <c r="C1318" s="58" t="s">
        <v>1752</v>
      </c>
      <c r="D1318" s="60"/>
      <c r="E1318" s="62">
        <v>1</v>
      </c>
    </row>
    <row r="1319" spans="1:5" x14ac:dyDescent="0.35">
      <c r="A1319" s="11" t="s">
        <v>1506</v>
      </c>
      <c r="B1319" s="58" t="s">
        <v>1752</v>
      </c>
      <c r="C1319" s="58" t="s">
        <v>1752</v>
      </c>
      <c r="D1319" s="60"/>
      <c r="E1319" s="62">
        <v>1</v>
      </c>
    </row>
    <row r="1320" spans="1:5" x14ac:dyDescent="0.35">
      <c r="A1320" s="10" t="s">
        <v>1507</v>
      </c>
      <c r="B1320" s="58" t="s">
        <v>1752</v>
      </c>
      <c r="C1320" s="58" t="s">
        <v>1752</v>
      </c>
      <c r="D1320" s="60"/>
      <c r="E1320" s="62">
        <v>1</v>
      </c>
    </row>
    <row r="1321" spans="1:5" x14ac:dyDescent="0.35">
      <c r="A1321" s="10" t="s">
        <v>1508</v>
      </c>
      <c r="B1321" s="58" t="s">
        <v>1752</v>
      </c>
      <c r="C1321" s="58" t="s">
        <v>1752</v>
      </c>
      <c r="D1321" s="60"/>
      <c r="E1321" s="62">
        <v>1</v>
      </c>
    </row>
    <row r="1322" spans="1:5" x14ac:dyDescent="0.35">
      <c r="A1322" s="11" t="s">
        <v>1509</v>
      </c>
      <c r="B1322" s="58" t="s">
        <v>1752</v>
      </c>
      <c r="C1322" s="58" t="s">
        <v>1752</v>
      </c>
      <c r="D1322" s="60"/>
      <c r="E1322" s="62">
        <v>1</v>
      </c>
    </row>
    <row r="1323" spans="1:5" x14ac:dyDescent="0.35">
      <c r="A1323" s="10" t="s">
        <v>1510</v>
      </c>
      <c r="B1323" s="58" t="s">
        <v>1752</v>
      </c>
      <c r="C1323" s="58" t="s">
        <v>1752</v>
      </c>
      <c r="D1323" s="60"/>
      <c r="E1323" s="62">
        <v>1</v>
      </c>
    </row>
    <row r="1324" spans="1:5" x14ac:dyDescent="0.35">
      <c r="A1324" s="11" t="s">
        <v>1511</v>
      </c>
      <c r="B1324" s="58" t="s">
        <v>1827</v>
      </c>
      <c r="C1324" s="58" t="s">
        <v>1752</v>
      </c>
      <c r="D1324" s="60"/>
      <c r="E1324" s="62">
        <v>1</v>
      </c>
    </row>
    <row r="1325" spans="1:5" x14ac:dyDescent="0.35">
      <c r="A1325" s="10" t="s">
        <v>1512</v>
      </c>
      <c r="B1325" s="58" t="s">
        <v>1827</v>
      </c>
      <c r="C1325" s="58" t="s">
        <v>1752</v>
      </c>
      <c r="D1325" s="60"/>
      <c r="E1325" s="62">
        <v>1</v>
      </c>
    </row>
    <row r="1326" spans="1:5" x14ac:dyDescent="0.35">
      <c r="A1326" s="10" t="s">
        <v>1513</v>
      </c>
      <c r="B1326" s="58" t="s">
        <v>1752</v>
      </c>
      <c r="C1326" s="58" t="s">
        <v>1752</v>
      </c>
      <c r="D1326" s="60"/>
      <c r="E1326" s="62">
        <v>1</v>
      </c>
    </row>
    <row r="1327" spans="1:5" x14ac:dyDescent="0.35">
      <c r="A1327" s="11" t="s">
        <v>1514</v>
      </c>
      <c r="B1327" s="58" t="s">
        <v>1752</v>
      </c>
      <c r="C1327" s="58" t="s">
        <v>1752</v>
      </c>
      <c r="D1327" s="60"/>
      <c r="E1327" s="62">
        <v>1</v>
      </c>
    </row>
    <row r="1328" spans="1:5" x14ac:dyDescent="0.35">
      <c r="A1328" s="10" t="s">
        <v>1515</v>
      </c>
      <c r="B1328" s="58" t="s">
        <v>1752</v>
      </c>
      <c r="C1328" s="58" t="s">
        <v>1752</v>
      </c>
      <c r="D1328" s="60"/>
      <c r="E1328" s="62">
        <v>1</v>
      </c>
    </row>
    <row r="1329" spans="1:5" x14ac:dyDescent="0.35">
      <c r="A1329" s="11" t="s">
        <v>1516</v>
      </c>
      <c r="B1329" s="58" t="s">
        <v>1752</v>
      </c>
      <c r="C1329" s="58" t="s">
        <v>1752</v>
      </c>
      <c r="D1329" s="60"/>
      <c r="E1329" s="62">
        <v>1</v>
      </c>
    </row>
    <row r="1330" spans="1:5" x14ac:dyDescent="0.35">
      <c r="A1330" s="10" t="s">
        <v>1517</v>
      </c>
      <c r="B1330" s="58" t="s">
        <v>1752</v>
      </c>
      <c r="C1330" s="58" t="s">
        <v>1752</v>
      </c>
      <c r="D1330" s="60"/>
      <c r="E1330" s="62">
        <v>1</v>
      </c>
    </row>
    <row r="1331" spans="1:5" x14ac:dyDescent="0.35">
      <c r="A1331" s="10" t="s">
        <v>1518</v>
      </c>
      <c r="B1331" s="58" t="s">
        <v>1752</v>
      </c>
      <c r="C1331" s="58" t="s">
        <v>1752</v>
      </c>
      <c r="D1331" s="60"/>
      <c r="E1331" s="62">
        <v>1</v>
      </c>
    </row>
    <row r="1332" spans="1:5" x14ac:dyDescent="0.35">
      <c r="A1332" s="11" t="s">
        <v>1519</v>
      </c>
      <c r="B1332" s="58" t="s">
        <v>1752</v>
      </c>
      <c r="C1332" s="58" t="s">
        <v>1752</v>
      </c>
      <c r="D1332" s="60"/>
      <c r="E1332" s="62">
        <v>1</v>
      </c>
    </row>
    <row r="1333" spans="1:5" x14ac:dyDescent="0.35">
      <c r="A1333" s="10" t="s">
        <v>1520</v>
      </c>
      <c r="B1333" s="58" t="s">
        <v>1752</v>
      </c>
      <c r="C1333" s="58" t="s">
        <v>1752</v>
      </c>
      <c r="D1333" s="60"/>
      <c r="E1333" s="62">
        <v>1</v>
      </c>
    </row>
    <row r="1334" spans="1:5" x14ac:dyDescent="0.35">
      <c r="A1334" s="10" t="s">
        <v>1521</v>
      </c>
      <c r="B1334" s="58" t="s">
        <v>1752</v>
      </c>
      <c r="C1334" s="58" t="s">
        <v>1752</v>
      </c>
      <c r="D1334" s="60"/>
      <c r="E1334" s="62">
        <v>1</v>
      </c>
    </row>
    <row r="1335" spans="1:5" x14ac:dyDescent="0.35">
      <c r="A1335" s="11" t="s">
        <v>1522</v>
      </c>
      <c r="B1335" s="58" t="s">
        <v>1752</v>
      </c>
      <c r="C1335" s="58" t="s">
        <v>1752</v>
      </c>
      <c r="D1335" s="60"/>
      <c r="E1335" s="62">
        <v>1</v>
      </c>
    </row>
    <row r="1336" spans="1:5" x14ac:dyDescent="0.35">
      <c r="A1336" s="10" t="s">
        <v>1523</v>
      </c>
      <c r="B1336" s="58" t="s">
        <v>1752</v>
      </c>
      <c r="C1336" s="58" t="s">
        <v>1752</v>
      </c>
      <c r="D1336" s="60"/>
      <c r="E1336" s="62">
        <v>1</v>
      </c>
    </row>
    <row r="1337" spans="1:5" x14ac:dyDescent="0.35">
      <c r="A1337" s="11" t="s">
        <v>1524</v>
      </c>
      <c r="B1337" s="58" t="s">
        <v>1752</v>
      </c>
      <c r="C1337" s="58" t="s">
        <v>1752</v>
      </c>
      <c r="D1337" s="60"/>
      <c r="E1337" s="62">
        <v>1</v>
      </c>
    </row>
    <row r="1338" spans="1:5" x14ac:dyDescent="0.35">
      <c r="A1338" s="10" t="s">
        <v>1525</v>
      </c>
      <c r="B1338" s="58" t="s">
        <v>1752</v>
      </c>
      <c r="C1338" s="58" t="s">
        <v>1752</v>
      </c>
      <c r="D1338" s="60"/>
      <c r="E1338" s="62">
        <v>1</v>
      </c>
    </row>
    <row r="1339" spans="1:5" x14ac:dyDescent="0.35">
      <c r="A1339" s="11" t="s">
        <v>1526</v>
      </c>
      <c r="B1339" s="58" t="s">
        <v>1752</v>
      </c>
      <c r="C1339" s="58" t="s">
        <v>1752</v>
      </c>
      <c r="D1339" s="60"/>
      <c r="E1339" s="62">
        <v>1</v>
      </c>
    </row>
    <row r="1340" spans="1:5" x14ac:dyDescent="0.35">
      <c r="A1340" s="10" t="s">
        <v>1527</v>
      </c>
      <c r="B1340" s="58" t="s">
        <v>1827</v>
      </c>
      <c r="C1340" s="58" t="s">
        <v>1752</v>
      </c>
      <c r="D1340" s="60"/>
      <c r="E1340" s="62">
        <v>1</v>
      </c>
    </row>
    <row r="1341" spans="1:5" x14ac:dyDescent="0.35">
      <c r="A1341" s="11" t="s">
        <v>1528</v>
      </c>
      <c r="B1341" s="58" t="s">
        <v>1827</v>
      </c>
      <c r="C1341" s="58" t="s">
        <v>1752</v>
      </c>
      <c r="D1341" s="60"/>
      <c r="E1341" s="62">
        <v>1</v>
      </c>
    </row>
    <row r="1342" spans="1:5" x14ac:dyDescent="0.35">
      <c r="A1342" s="10" t="s">
        <v>1529</v>
      </c>
      <c r="B1342" s="58" t="s">
        <v>1827</v>
      </c>
      <c r="C1342" s="58" t="s">
        <v>1752</v>
      </c>
      <c r="D1342" s="60"/>
      <c r="E1342" s="62">
        <v>1</v>
      </c>
    </row>
    <row r="1343" spans="1:5" x14ac:dyDescent="0.35">
      <c r="A1343" s="11" t="s">
        <v>1530</v>
      </c>
      <c r="B1343" s="58" t="s">
        <v>1827</v>
      </c>
      <c r="C1343" s="58" t="s">
        <v>1752</v>
      </c>
      <c r="D1343" s="60"/>
      <c r="E1343" s="62">
        <v>1</v>
      </c>
    </row>
    <row r="1344" spans="1:5" x14ac:dyDescent="0.35">
      <c r="A1344" s="10" t="s">
        <v>1531</v>
      </c>
      <c r="B1344" s="58" t="s">
        <v>1827</v>
      </c>
      <c r="C1344" s="58" t="s">
        <v>1752</v>
      </c>
      <c r="D1344" s="60"/>
      <c r="E1344" s="62">
        <v>1</v>
      </c>
    </row>
    <row r="1345" spans="1:5" x14ac:dyDescent="0.35">
      <c r="A1345" s="11" t="s">
        <v>1532</v>
      </c>
      <c r="B1345" s="58" t="s">
        <v>1827</v>
      </c>
      <c r="C1345" s="58" t="s">
        <v>1752</v>
      </c>
      <c r="D1345" s="60"/>
      <c r="E1345" s="62">
        <v>1</v>
      </c>
    </row>
    <row r="1346" spans="1:5" x14ac:dyDescent="0.35">
      <c r="A1346" s="10" t="s">
        <v>1533</v>
      </c>
      <c r="B1346" s="58" t="s">
        <v>1752</v>
      </c>
      <c r="C1346" s="58" t="s">
        <v>1752</v>
      </c>
      <c r="D1346" s="60"/>
      <c r="E1346" s="62">
        <v>1</v>
      </c>
    </row>
    <row r="1347" spans="1:5" x14ac:dyDescent="0.35">
      <c r="A1347" s="10" t="s">
        <v>1534</v>
      </c>
      <c r="B1347" s="58" t="s">
        <v>1752</v>
      </c>
      <c r="C1347" s="58" t="s">
        <v>1752</v>
      </c>
      <c r="D1347" s="60"/>
      <c r="E1347" s="62">
        <v>1</v>
      </c>
    </row>
    <row r="1348" spans="1:5" x14ac:dyDescent="0.35">
      <c r="A1348" s="11" t="s">
        <v>1535</v>
      </c>
      <c r="B1348" s="58" t="s">
        <v>1752</v>
      </c>
      <c r="C1348" s="58" t="s">
        <v>1752</v>
      </c>
      <c r="D1348" s="60"/>
      <c r="E1348" s="62">
        <v>1</v>
      </c>
    </row>
    <row r="1349" spans="1:5" x14ac:dyDescent="0.35">
      <c r="A1349" s="10" t="s">
        <v>1536</v>
      </c>
      <c r="B1349" s="58" t="s">
        <v>1752</v>
      </c>
      <c r="C1349" s="58" t="s">
        <v>1752</v>
      </c>
      <c r="D1349" s="60"/>
      <c r="E1349" s="62">
        <v>1</v>
      </c>
    </row>
    <row r="1350" spans="1:5" x14ac:dyDescent="0.35">
      <c r="A1350" s="11" t="s">
        <v>1537</v>
      </c>
      <c r="B1350" s="58" t="s">
        <v>1752</v>
      </c>
      <c r="C1350" s="58" t="s">
        <v>1752</v>
      </c>
      <c r="D1350" s="60"/>
      <c r="E1350" s="62">
        <v>1</v>
      </c>
    </row>
    <row r="1351" spans="1:5" x14ac:dyDescent="0.35">
      <c r="A1351" s="10" t="s">
        <v>1538</v>
      </c>
      <c r="B1351" s="58" t="s">
        <v>1752</v>
      </c>
      <c r="C1351" s="58" t="s">
        <v>1752</v>
      </c>
      <c r="D1351" s="60"/>
      <c r="E1351" s="62">
        <v>1</v>
      </c>
    </row>
    <row r="1352" spans="1:5" x14ac:dyDescent="0.35">
      <c r="A1352" s="11" t="s">
        <v>1539</v>
      </c>
      <c r="B1352" s="58" t="s">
        <v>1752</v>
      </c>
      <c r="C1352" s="58" t="s">
        <v>1752</v>
      </c>
      <c r="D1352" s="60"/>
      <c r="E1352" s="62">
        <v>1</v>
      </c>
    </row>
    <row r="1353" spans="1:5" x14ac:dyDescent="0.35">
      <c r="A1353" s="11" t="s">
        <v>1540</v>
      </c>
      <c r="B1353" s="58" t="s">
        <v>1752</v>
      </c>
      <c r="C1353" s="58" t="s">
        <v>1752</v>
      </c>
      <c r="D1353" s="60"/>
      <c r="E1353" s="62">
        <v>1</v>
      </c>
    </row>
    <row r="1354" spans="1:5" x14ac:dyDescent="0.35">
      <c r="A1354" s="10" t="s">
        <v>1541</v>
      </c>
      <c r="B1354" s="58" t="s">
        <v>1752</v>
      </c>
      <c r="C1354" s="58" t="s">
        <v>1752</v>
      </c>
      <c r="D1354" s="60"/>
      <c r="E1354" s="62">
        <v>1</v>
      </c>
    </row>
    <row r="1355" spans="1:5" x14ac:dyDescent="0.35">
      <c r="A1355" s="10" t="s">
        <v>1542</v>
      </c>
      <c r="B1355" s="58" t="s">
        <v>1752</v>
      </c>
      <c r="C1355" s="58" t="s">
        <v>1752</v>
      </c>
      <c r="D1355" s="60"/>
      <c r="E1355" s="62">
        <v>1</v>
      </c>
    </row>
    <row r="1356" spans="1:5" x14ac:dyDescent="0.35">
      <c r="A1356" s="11" t="s">
        <v>1543</v>
      </c>
      <c r="B1356" s="58" t="s">
        <v>1752</v>
      </c>
      <c r="C1356" s="58" t="s">
        <v>1752</v>
      </c>
      <c r="D1356" s="60"/>
      <c r="E1356" s="62">
        <v>1</v>
      </c>
    </row>
    <row r="1357" spans="1:5" x14ac:dyDescent="0.35">
      <c r="A1357" s="10" t="s">
        <v>1544</v>
      </c>
      <c r="B1357" s="58" t="s">
        <v>1752</v>
      </c>
      <c r="C1357" s="58" t="s">
        <v>1752</v>
      </c>
      <c r="D1357" s="60"/>
      <c r="E1357" s="62">
        <v>1</v>
      </c>
    </row>
    <row r="1358" spans="1:5" x14ac:dyDescent="0.35">
      <c r="A1358" s="10" t="s">
        <v>1545</v>
      </c>
      <c r="B1358" s="58" t="s">
        <v>1752</v>
      </c>
      <c r="C1358" s="58" t="s">
        <v>1752</v>
      </c>
      <c r="D1358" s="60"/>
      <c r="E1358" s="62">
        <v>1</v>
      </c>
    </row>
    <row r="1359" spans="1:5" x14ac:dyDescent="0.35">
      <c r="A1359" s="10" t="s">
        <v>1546</v>
      </c>
      <c r="B1359" s="58" t="s">
        <v>1752</v>
      </c>
      <c r="C1359" s="58" t="s">
        <v>1752</v>
      </c>
      <c r="D1359" s="60"/>
      <c r="E1359" s="62">
        <v>1</v>
      </c>
    </row>
    <row r="1360" spans="1:5" x14ac:dyDescent="0.35">
      <c r="A1360" s="11" t="s">
        <v>1547</v>
      </c>
      <c r="B1360" s="58" t="s">
        <v>1752</v>
      </c>
      <c r="C1360" s="58" t="s">
        <v>1752</v>
      </c>
      <c r="D1360" s="60"/>
      <c r="E1360" s="62">
        <v>1</v>
      </c>
    </row>
    <row r="1361" spans="1:5" x14ac:dyDescent="0.35">
      <c r="A1361" s="11" t="s">
        <v>1548</v>
      </c>
      <c r="B1361" s="58" t="s">
        <v>1752</v>
      </c>
      <c r="C1361" s="58" t="s">
        <v>1752</v>
      </c>
      <c r="D1361" s="60"/>
      <c r="E1361" s="62">
        <v>1</v>
      </c>
    </row>
    <row r="1362" spans="1:5" x14ac:dyDescent="0.35">
      <c r="A1362" s="10" t="s">
        <v>1549</v>
      </c>
      <c r="B1362" s="58" t="s">
        <v>1752</v>
      </c>
      <c r="C1362" s="58" t="s">
        <v>1752</v>
      </c>
      <c r="D1362" s="60"/>
      <c r="E1362" s="62">
        <v>1</v>
      </c>
    </row>
    <row r="1363" spans="1:5" x14ac:dyDescent="0.35">
      <c r="A1363" s="11" t="s">
        <v>1550</v>
      </c>
      <c r="B1363" s="58" t="s">
        <v>1752</v>
      </c>
      <c r="C1363" s="58" t="s">
        <v>1752</v>
      </c>
      <c r="D1363" s="60"/>
      <c r="E1363" s="62">
        <v>1</v>
      </c>
    </row>
    <row r="1364" spans="1:5" x14ac:dyDescent="0.35">
      <c r="A1364" s="10" t="s">
        <v>1551</v>
      </c>
      <c r="B1364" s="58" t="s">
        <v>1752</v>
      </c>
      <c r="C1364" s="58" t="s">
        <v>1752</v>
      </c>
      <c r="D1364" s="60"/>
      <c r="E1364" s="62">
        <v>1</v>
      </c>
    </row>
    <row r="1365" spans="1:5" x14ac:dyDescent="0.35">
      <c r="A1365" s="10" t="s">
        <v>1552</v>
      </c>
      <c r="B1365" s="58" t="s">
        <v>1752</v>
      </c>
      <c r="C1365" s="58" t="s">
        <v>1752</v>
      </c>
      <c r="D1365" s="60"/>
      <c r="E1365" s="62">
        <v>1</v>
      </c>
    </row>
    <row r="1366" spans="1:5" x14ac:dyDescent="0.35">
      <c r="A1366" s="10" t="s">
        <v>1553</v>
      </c>
      <c r="B1366" s="58" t="s">
        <v>1752</v>
      </c>
      <c r="C1366" s="58" t="s">
        <v>1752</v>
      </c>
      <c r="D1366" s="60"/>
      <c r="E1366" s="62">
        <v>1</v>
      </c>
    </row>
    <row r="1367" spans="1:5" x14ac:dyDescent="0.35">
      <c r="A1367" s="10" t="s">
        <v>1554</v>
      </c>
      <c r="B1367" s="58" t="s">
        <v>1752</v>
      </c>
      <c r="C1367" s="58" t="s">
        <v>1752</v>
      </c>
      <c r="D1367" s="60"/>
      <c r="E1367" s="62">
        <v>1</v>
      </c>
    </row>
    <row r="1368" spans="1:5" x14ac:dyDescent="0.35">
      <c r="A1368" s="10" t="s">
        <v>1555</v>
      </c>
      <c r="B1368" s="58" t="s">
        <v>1752</v>
      </c>
      <c r="C1368" s="58" t="s">
        <v>1752</v>
      </c>
      <c r="D1368" s="60"/>
      <c r="E1368" s="62">
        <v>1</v>
      </c>
    </row>
    <row r="1369" spans="1:5" x14ac:dyDescent="0.35">
      <c r="A1369" s="11" t="s">
        <v>1556</v>
      </c>
      <c r="B1369" s="58" t="s">
        <v>1752</v>
      </c>
      <c r="C1369" s="58" t="s">
        <v>1752</v>
      </c>
      <c r="D1369" s="60"/>
      <c r="E1369" s="62">
        <v>1</v>
      </c>
    </row>
    <row r="1370" spans="1:5" x14ac:dyDescent="0.35">
      <c r="A1370" s="10" t="s">
        <v>1557</v>
      </c>
      <c r="B1370" s="58" t="s">
        <v>1827</v>
      </c>
      <c r="C1370" s="58" t="s">
        <v>1752</v>
      </c>
      <c r="D1370" s="60"/>
      <c r="E1370" s="62">
        <v>1</v>
      </c>
    </row>
    <row r="1371" spans="1:5" x14ac:dyDescent="0.35">
      <c r="A1371" s="11" t="s">
        <v>1558</v>
      </c>
      <c r="B1371" s="58" t="s">
        <v>1752</v>
      </c>
      <c r="C1371" s="58" t="s">
        <v>1752</v>
      </c>
      <c r="D1371" s="60"/>
      <c r="E1371" s="62">
        <v>1</v>
      </c>
    </row>
    <row r="1372" spans="1:5" x14ac:dyDescent="0.35">
      <c r="A1372" s="10" t="s">
        <v>1559</v>
      </c>
      <c r="B1372" s="58" t="s">
        <v>1752</v>
      </c>
      <c r="C1372" s="58" t="s">
        <v>1752</v>
      </c>
      <c r="D1372" s="60"/>
      <c r="E1372" s="62">
        <v>1</v>
      </c>
    </row>
    <row r="1373" spans="1:5" x14ac:dyDescent="0.35">
      <c r="A1373" s="11" t="s">
        <v>1560</v>
      </c>
      <c r="B1373" s="58" t="s">
        <v>1827</v>
      </c>
      <c r="C1373" s="58" t="s">
        <v>1752</v>
      </c>
      <c r="D1373" s="60"/>
      <c r="E1373" s="62">
        <v>1</v>
      </c>
    </row>
    <row r="1374" spans="1:5" x14ac:dyDescent="0.35">
      <c r="A1374" s="10" t="s">
        <v>1561</v>
      </c>
      <c r="B1374" s="58" t="s">
        <v>1827</v>
      </c>
      <c r="C1374" s="58" t="s">
        <v>1752</v>
      </c>
      <c r="D1374" s="60"/>
      <c r="E1374" s="62">
        <v>1</v>
      </c>
    </row>
    <row r="1375" spans="1:5" x14ac:dyDescent="0.35">
      <c r="A1375" s="11" t="s">
        <v>1562</v>
      </c>
      <c r="B1375" s="58" t="s">
        <v>1827</v>
      </c>
      <c r="C1375" s="58" t="s">
        <v>1752</v>
      </c>
      <c r="D1375" s="60"/>
      <c r="E1375" s="62">
        <v>1</v>
      </c>
    </row>
    <row r="1376" spans="1:5" x14ac:dyDescent="0.35">
      <c r="A1376" s="10" t="s">
        <v>1563</v>
      </c>
      <c r="B1376" s="58" t="s">
        <v>1827</v>
      </c>
      <c r="C1376" s="58" t="s">
        <v>1752</v>
      </c>
      <c r="D1376" s="60"/>
      <c r="E1376" s="62">
        <v>1</v>
      </c>
    </row>
    <row r="1377" spans="1:5" x14ac:dyDescent="0.35">
      <c r="A1377" s="11" t="s">
        <v>1564</v>
      </c>
      <c r="B1377" s="58" t="s">
        <v>1827</v>
      </c>
      <c r="C1377" s="58" t="s">
        <v>1752</v>
      </c>
      <c r="D1377" s="60"/>
      <c r="E1377" s="62">
        <v>1</v>
      </c>
    </row>
    <row r="1378" spans="1:5" x14ac:dyDescent="0.35">
      <c r="A1378" s="10" t="s">
        <v>1565</v>
      </c>
      <c r="B1378" s="58" t="s">
        <v>1752</v>
      </c>
      <c r="C1378" s="58" t="s">
        <v>1752</v>
      </c>
      <c r="D1378" s="60"/>
      <c r="E1378" s="62">
        <v>1</v>
      </c>
    </row>
    <row r="1379" spans="1:5" x14ac:dyDescent="0.35">
      <c r="A1379" s="11" t="s">
        <v>1566</v>
      </c>
      <c r="B1379" s="58" t="s">
        <v>1752</v>
      </c>
      <c r="C1379" s="58" t="s">
        <v>1752</v>
      </c>
      <c r="D1379" s="60"/>
      <c r="E1379" s="62">
        <v>1</v>
      </c>
    </row>
    <row r="1380" spans="1:5" x14ac:dyDescent="0.35">
      <c r="A1380" s="10" t="s">
        <v>1567</v>
      </c>
      <c r="B1380" s="58" t="s">
        <v>1752</v>
      </c>
      <c r="C1380" s="58" t="s">
        <v>1752</v>
      </c>
      <c r="D1380" s="60"/>
      <c r="E1380" s="62">
        <v>1</v>
      </c>
    </row>
    <row r="1381" spans="1:5" x14ac:dyDescent="0.35">
      <c r="A1381" s="11" t="s">
        <v>1568</v>
      </c>
      <c r="B1381" s="58" t="s">
        <v>1752</v>
      </c>
      <c r="C1381" s="58" t="s">
        <v>1752</v>
      </c>
      <c r="D1381" s="60"/>
      <c r="E1381" s="62">
        <v>1</v>
      </c>
    </row>
    <row r="1382" spans="1:5" x14ac:dyDescent="0.35">
      <c r="A1382" s="11" t="s">
        <v>1569</v>
      </c>
      <c r="B1382" s="58" t="s">
        <v>1752</v>
      </c>
      <c r="C1382" s="58" t="s">
        <v>1752</v>
      </c>
      <c r="D1382" s="60"/>
      <c r="E1382" s="62">
        <v>1</v>
      </c>
    </row>
    <row r="1383" spans="1:5" x14ac:dyDescent="0.35">
      <c r="A1383" s="11" t="s">
        <v>1570</v>
      </c>
      <c r="B1383" s="58" t="s">
        <v>1827</v>
      </c>
      <c r="C1383" s="58" t="s">
        <v>1752</v>
      </c>
      <c r="D1383" s="60"/>
      <c r="E1383" s="62">
        <v>1</v>
      </c>
    </row>
    <row r="1384" spans="1:5" x14ac:dyDescent="0.35">
      <c r="A1384" s="11" t="s">
        <v>1571</v>
      </c>
      <c r="B1384" s="58" t="s">
        <v>1752</v>
      </c>
      <c r="C1384" s="58" t="s">
        <v>1752</v>
      </c>
      <c r="D1384" s="60"/>
      <c r="E1384" s="62">
        <v>1</v>
      </c>
    </row>
    <row r="1385" spans="1:5" x14ac:dyDescent="0.35">
      <c r="A1385" s="11" t="s">
        <v>1572</v>
      </c>
      <c r="B1385" s="58" t="s">
        <v>1752</v>
      </c>
      <c r="C1385" s="58" t="s">
        <v>1752</v>
      </c>
      <c r="D1385" s="60"/>
      <c r="E1385" s="62">
        <v>1</v>
      </c>
    </row>
    <row r="1386" spans="1:5" x14ac:dyDescent="0.35">
      <c r="A1386" s="10" t="s">
        <v>1573</v>
      </c>
      <c r="B1386" s="58" t="s">
        <v>1752</v>
      </c>
      <c r="C1386" s="58" t="s">
        <v>1752</v>
      </c>
      <c r="D1386" s="60"/>
      <c r="E1386" s="62">
        <v>1</v>
      </c>
    </row>
    <row r="1387" spans="1:5" x14ac:dyDescent="0.35">
      <c r="A1387" s="11" t="s">
        <v>1574</v>
      </c>
      <c r="B1387" s="58" t="s">
        <v>1752</v>
      </c>
      <c r="C1387" s="58" t="s">
        <v>1752</v>
      </c>
      <c r="D1387" s="60"/>
      <c r="E1387" s="62">
        <v>1</v>
      </c>
    </row>
    <row r="1388" spans="1:5" x14ac:dyDescent="0.35">
      <c r="A1388" s="10" t="s">
        <v>1575</v>
      </c>
      <c r="B1388" s="58" t="s">
        <v>1752</v>
      </c>
      <c r="C1388" s="58" t="s">
        <v>1752</v>
      </c>
      <c r="D1388" s="60"/>
      <c r="E1388" s="62">
        <v>1</v>
      </c>
    </row>
    <row r="1389" spans="1:5" x14ac:dyDescent="0.35">
      <c r="A1389" s="10" t="s">
        <v>1576</v>
      </c>
      <c r="B1389" s="58" t="s">
        <v>1752</v>
      </c>
      <c r="C1389" s="58" t="s">
        <v>1752</v>
      </c>
      <c r="D1389" s="60"/>
      <c r="E1389" s="62">
        <v>1</v>
      </c>
    </row>
    <row r="1390" spans="1:5" x14ac:dyDescent="0.35">
      <c r="A1390" s="11" t="s">
        <v>1577</v>
      </c>
      <c r="B1390" s="58" t="s">
        <v>1752</v>
      </c>
      <c r="C1390" s="58" t="s">
        <v>1752</v>
      </c>
      <c r="D1390" s="60"/>
      <c r="E1390" s="62">
        <v>1</v>
      </c>
    </row>
    <row r="1391" spans="1:5" x14ac:dyDescent="0.35">
      <c r="A1391" s="11" t="s">
        <v>1578</v>
      </c>
      <c r="B1391" s="58" t="s">
        <v>1752</v>
      </c>
      <c r="C1391" s="58" t="s">
        <v>1752</v>
      </c>
      <c r="D1391" s="60"/>
      <c r="E1391" s="62">
        <v>1</v>
      </c>
    </row>
    <row r="1392" spans="1:5" x14ac:dyDescent="0.35">
      <c r="A1392" s="10" t="s">
        <v>1579</v>
      </c>
      <c r="B1392" s="58" t="s">
        <v>1752</v>
      </c>
      <c r="C1392" s="58" t="s">
        <v>1752</v>
      </c>
      <c r="D1392" s="60"/>
      <c r="E1392" s="62">
        <v>1</v>
      </c>
    </row>
    <row r="1393" spans="1:5" x14ac:dyDescent="0.35">
      <c r="A1393" s="11" t="s">
        <v>1580</v>
      </c>
      <c r="B1393" s="58" t="s">
        <v>1752</v>
      </c>
      <c r="C1393" s="58" t="s">
        <v>1752</v>
      </c>
      <c r="D1393" s="60"/>
      <c r="E1393" s="62">
        <v>1</v>
      </c>
    </row>
    <row r="1394" spans="1:5" x14ac:dyDescent="0.35">
      <c r="A1394" s="11" t="s">
        <v>1581</v>
      </c>
      <c r="B1394" s="58" t="s">
        <v>1752</v>
      </c>
      <c r="C1394" s="58" t="s">
        <v>1752</v>
      </c>
      <c r="D1394" s="60"/>
      <c r="E1394" s="62">
        <v>1</v>
      </c>
    </row>
    <row r="1395" spans="1:5" x14ac:dyDescent="0.35">
      <c r="A1395" s="10" t="s">
        <v>1582</v>
      </c>
      <c r="B1395" s="58" t="s">
        <v>1752</v>
      </c>
      <c r="C1395" s="58" t="s">
        <v>1752</v>
      </c>
      <c r="D1395" s="60"/>
      <c r="E1395" s="62">
        <v>1</v>
      </c>
    </row>
    <row r="1396" spans="1:5" x14ac:dyDescent="0.35">
      <c r="A1396" s="11" t="s">
        <v>1583</v>
      </c>
      <c r="B1396" s="58" t="s">
        <v>1752</v>
      </c>
      <c r="C1396" s="58" t="s">
        <v>1752</v>
      </c>
      <c r="D1396" s="60"/>
      <c r="E1396" s="62">
        <v>1</v>
      </c>
    </row>
    <row r="1397" spans="1:5" x14ac:dyDescent="0.35">
      <c r="A1397" s="10" t="s">
        <v>1584</v>
      </c>
      <c r="B1397" s="58" t="s">
        <v>1752</v>
      </c>
      <c r="C1397" s="58" t="s">
        <v>1752</v>
      </c>
      <c r="D1397" s="60"/>
      <c r="E1397" s="62">
        <v>1</v>
      </c>
    </row>
    <row r="1398" spans="1:5" x14ac:dyDescent="0.35">
      <c r="A1398" s="11" t="s">
        <v>1585</v>
      </c>
      <c r="B1398" s="58" t="s">
        <v>1752</v>
      </c>
      <c r="C1398" s="58" t="s">
        <v>1752</v>
      </c>
      <c r="D1398" s="60"/>
      <c r="E1398" s="62">
        <v>1</v>
      </c>
    </row>
    <row r="1399" spans="1:5" x14ac:dyDescent="0.35">
      <c r="A1399" s="11" t="s">
        <v>1586</v>
      </c>
      <c r="B1399" s="58" t="s">
        <v>1752</v>
      </c>
      <c r="C1399" s="58" t="s">
        <v>1752</v>
      </c>
      <c r="D1399" s="60"/>
      <c r="E1399" s="62">
        <v>1</v>
      </c>
    </row>
    <row r="1400" spans="1:5" x14ac:dyDescent="0.35">
      <c r="A1400" s="11" t="s">
        <v>1587</v>
      </c>
      <c r="B1400" s="58" t="s">
        <v>1752</v>
      </c>
      <c r="C1400" s="58" t="s">
        <v>1752</v>
      </c>
      <c r="D1400" s="60"/>
      <c r="E1400" s="62">
        <v>1</v>
      </c>
    </row>
    <row r="1401" spans="1:5" x14ac:dyDescent="0.35">
      <c r="A1401" s="10" t="s">
        <v>1588</v>
      </c>
      <c r="B1401" s="58" t="s">
        <v>1752</v>
      </c>
      <c r="C1401" s="58" t="s">
        <v>1752</v>
      </c>
      <c r="D1401" s="60"/>
      <c r="E1401" s="62">
        <v>1</v>
      </c>
    </row>
    <row r="1402" spans="1:5" x14ac:dyDescent="0.35">
      <c r="A1402" s="10" t="s">
        <v>1589</v>
      </c>
      <c r="B1402" s="58" t="s">
        <v>1752</v>
      </c>
      <c r="C1402" s="58" t="s">
        <v>1752</v>
      </c>
      <c r="D1402" s="60"/>
      <c r="E1402" s="62">
        <v>1</v>
      </c>
    </row>
    <row r="1403" spans="1:5" x14ac:dyDescent="0.35">
      <c r="A1403" s="11" t="s">
        <v>1590</v>
      </c>
      <c r="B1403" s="58" t="s">
        <v>1752</v>
      </c>
      <c r="C1403" s="58" t="s">
        <v>1752</v>
      </c>
      <c r="D1403" s="60"/>
      <c r="E1403" s="62">
        <v>1</v>
      </c>
    </row>
    <row r="1404" spans="1:5" x14ac:dyDescent="0.35">
      <c r="A1404" s="11" t="s">
        <v>1591</v>
      </c>
      <c r="B1404" s="58" t="s">
        <v>1752</v>
      </c>
      <c r="C1404" s="58" t="s">
        <v>1752</v>
      </c>
      <c r="D1404" s="60"/>
      <c r="E1404" s="62">
        <v>1</v>
      </c>
    </row>
    <row r="1405" spans="1:5" x14ac:dyDescent="0.35">
      <c r="A1405" s="11" t="s">
        <v>1592</v>
      </c>
      <c r="B1405" s="58" t="s">
        <v>1752</v>
      </c>
      <c r="C1405" s="58" t="s">
        <v>1752</v>
      </c>
      <c r="D1405" s="60"/>
      <c r="E1405" s="62">
        <v>1</v>
      </c>
    </row>
    <row r="1406" spans="1:5" x14ac:dyDescent="0.35">
      <c r="A1406" s="10" t="s">
        <v>1593</v>
      </c>
      <c r="B1406" s="58" t="s">
        <v>1752</v>
      </c>
      <c r="C1406" s="58" t="s">
        <v>1752</v>
      </c>
      <c r="D1406" s="60"/>
      <c r="E1406" s="62">
        <v>1</v>
      </c>
    </row>
    <row r="1407" spans="1:5" x14ac:dyDescent="0.35">
      <c r="A1407" s="11" t="s">
        <v>1594</v>
      </c>
      <c r="B1407" s="58" t="s">
        <v>1752</v>
      </c>
      <c r="C1407" s="58" t="s">
        <v>1752</v>
      </c>
      <c r="D1407" s="60"/>
      <c r="E1407" s="62">
        <v>1</v>
      </c>
    </row>
    <row r="1408" spans="1:5" x14ac:dyDescent="0.35">
      <c r="A1408" s="11" t="s">
        <v>1595</v>
      </c>
      <c r="B1408" s="58" t="s">
        <v>1752</v>
      </c>
      <c r="C1408" s="58" t="s">
        <v>1752</v>
      </c>
      <c r="D1408" s="60"/>
      <c r="E1408" s="62">
        <v>1</v>
      </c>
    </row>
    <row r="1409" spans="1:5" x14ac:dyDescent="0.35">
      <c r="A1409" s="10" t="s">
        <v>1596</v>
      </c>
      <c r="B1409" s="58" t="s">
        <v>1752</v>
      </c>
      <c r="C1409" s="58" t="s">
        <v>1752</v>
      </c>
      <c r="D1409" s="60"/>
      <c r="E1409" s="62">
        <v>1</v>
      </c>
    </row>
    <row r="1410" spans="1:5" x14ac:dyDescent="0.35">
      <c r="A1410" s="11" t="s">
        <v>1597</v>
      </c>
      <c r="B1410" s="58" t="s">
        <v>1752</v>
      </c>
      <c r="C1410" s="58" t="s">
        <v>1752</v>
      </c>
      <c r="D1410" s="60"/>
      <c r="E1410" s="62">
        <v>1</v>
      </c>
    </row>
    <row r="1411" spans="1:5" x14ac:dyDescent="0.35">
      <c r="A1411" s="10" t="s">
        <v>1598</v>
      </c>
      <c r="B1411" s="58" t="s">
        <v>1752</v>
      </c>
      <c r="C1411" s="58" t="s">
        <v>1752</v>
      </c>
      <c r="D1411" s="60"/>
      <c r="E1411" s="62">
        <v>1</v>
      </c>
    </row>
    <row r="1412" spans="1:5" x14ac:dyDescent="0.35">
      <c r="A1412" s="11" t="s">
        <v>1599</v>
      </c>
      <c r="B1412" s="58" t="s">
        <v>1752</v>
      </c>
      <c r="C1412" s="58" t="s">
        <v>1752</v>
      </c>
      <c r="D1412" s="60"/>
      <c r="E1412" s="62">
        <v>1</v>
      </c>
    </row>
    <row r="1413" spans="1:5" x14ac:dyDescent="0.35">
      <c r="A1413" s="10" t="s">
        <v>1600</v>
      </c>
      <c r="B1413" s="58" t="s">
        <v>1752</v>
      </c>
      <c r="C1413" s="58" t="s">
        <v>1752</v>
      </c>
      <c r="D1413" s="60"/>
      <c r="E1413" s="62">
        <v>1</v>
      </c>
    </row>
    <row r="1414" spans="1:5" x14ac:dyDescent="0.35">
      <c r="A1414" s="11" t="s">
        <v>1601</v>
      </c>
      <c r="B1414" s="58" t="s">
        <v>1752</v>
      </c>
      <c r="C1414" s="58" t="s">
        <v>1752</v>
      </c>
      <c r="D1414" s="60"/>
      <c r="E1414" s="62">
        <v>1</v>
      </c>
    </row>
    <row r="1415" spans="1:5" x14ac:dyDescent="0.35">
      <c r="A1415" s="10" t="s">
        <v>1602</v>
      </c>
      <c r="B1415" s="58" t="s">
        <v>1752</v>
      </c>
      <c r="C1415" s="58" t="s">
        <v>1752</v>
      </c>
      <c r="D1415" s="60"/>
      <c r="E1415" s="62">
        <v>1</v>
      </c>
    </row>
    <row r="1416" spans="1:5" x14ac:dyDescent="0.35">
      <c r="A1416" s="11" t="s">
        <v>1603</v>
      </c>
      <c r="B1416" s="58" t="s">
        <v>1752</v>
      </c>
      <c r="C1416" s="58" t="s">
        <v>1752</v>
      </c>
      <c r="D1416" s="60"/>
      <c r="E1416" s="62">
        <v>1</v>
      </c>
    </row>
    <row r="1417" spans="1:5" x14ac:dyDescent="0.35">
      <c r="A1417" s="10" t="s">
        <v>1604</v>
      </c>
      <c r="B1417" s="58" t="s">
        <v>1752</v>
      </c>
      <c r="C1417" s="58" t="s">
        <v>1752</v>
      </c>
      <c r="D1417" s="60"/>
      <c r="E1417" s="62">
        <v>1</v>
      </c>
    </row>
    <row r="1418" spans="1:5" x14ac:dyDescent="0.35">
      <c r="A1418" s="11" t="s">
        <v>1605</v>
      </c>
      <c r="B1418" s="58" t="s">
        <v>1827</v>
      </c>
      <c r="C1418" s="58" t="s">
        <v>1752</v>
      </c>
      <c r="D1418" s="60"/>
      <c r="E1418" s="62">
        <v>1</v>
      </c>
    </row>
    <row r="1419" spans="1:5" x14ac:dyDescent="0.35">
      <c r="A1419" s="10" t="s">
        <v>1606</v>
      </c>
      <c r="B1419" s="58" t="s">
        <v>1752</v>
      </c>
      <c r="C1419" s="58" t="s">
        <v>1752</v>
      </c>
      <c r="D1419" s="60"/>
      <c r="E1419" s="62">
        <v>1</v>
      </c>
    </row>
    <row r="1420" spans="1:5" x14ac:dyDescent="0.35">
      <c r="A1420" s="11" t="s">
        <v>1607</v>
      </c>
      <c r="B1420" s="58" t="s">
        <v>1752</v>
      </c>
      <c r="C1420" s="58" t="s">
        <v>1752</v>
      </c>
      <c r="D1420" s="60"/>
      <c r="E1420" s="62">
        <v>1</v>
      </c>
    </row>
    <row r="1421" spans="1:5" x14ac:dyDescent="0.35">
      <c r="A1421" s="10" t="s">
        <v>1608</v>
      </c>
      <c r="B1421" s="58" t="s">
        <v>1752</v>
      </c>
      <c r="C1421" s="58" t="s">
        <v>1752</v>
      </c>
      <c r="D1421" s="60"/>
      <c r="E1421" s="62">
        <v>1</v>
      </c>
    </row>
    <row r="1422" spans="1:5" x14ac:dyDescent="0.35">
      <c r="A1422" s="10" t="s">
        <v>1609</v>
      </c>
      <c r="B1422" s="58" t="s">
        <v>1752</v>
      </c>
      <c r="C1422" s="58" t="s">
        <v>1752</v>
      </c>
      <c r="D1422" s="60"/>
      <c r="E1422" s="62">
        <v>1</v>
      </c>
    </row>
    <row r="1423" spans="1:5" x14ac:dyDescent="0.35">
      <c r="A1423" s="11" t="s">
        <v>1610</v>
      </c>
      <c r="B1423" s="58" t="s">
        <v>1752</v>
      </c>
      <c r="C1423" s="58" t="s">
        <v>1752</v>
      </c>
      <c r="D1423" s="60"/>
      <c r="E1423" s="62">
        <v>1</v>
      </c>
    </row>
    <row r="1424" spans="1:5" x14ac:dyDescent="0.35">
      <c r="A1424" s="10" t="s">
        <v>1611</v>
      </c>
      <c r="B1424" s="58" t="s">
        <v>1752</v>
      </c>
      <c r="C1424" s="58" t="s">
        <v>1752</v>
      </c>
      <c r="D1424" s="60"/>
      <c r="E1424" s="62">
        <v>1</v>
      </c>
    </row>
    <row r="1425" spans="1:5" x14ac:dyDescent="0.35">
      <c r="A1425" s="10" t="s">
        <v>1612</v>
      </c>
      <c r="B1425" s="58" t="s">
        <v>1752</v>
      </c>
      <c r="C1425" s="58" t="s">
        <v>1752</v>
      </c>
      <c r="D1425" s="60"/>
      <c r="E1425" s="62">
        <v>1</v>
      </c>
    </row>
    <row r="1426" spans="1:5" x14ac:dyDescent="0.35">
      <c r="A1426" s="11" t="s">
        <v>1613</v>
      </c>
      <c r="B1426" s="58" t="s">
        <v>1752</v>
      </c>
      <c r="C1426" s="58" t="s">
        <v>1752</v>
      </c>
      <c r="D1426" s="60"/>
      <c r="E1426" s="62">
        <v>1</v>
      </c>
    </row>
    <row r="1427" spans="1:5" x14ac:dyDescent="0.35">
      <c r="A1427" s="11" t="s">
        <v>1614</v>
      </c>
      <c r="B1427" s="58" t="s">
        <v>1752</v>
      </c>
      <c r="C1427" s="58" t="s">
        <v>1752</v>
      </c>
      <c r="D1427" s="60"/>
      <c r="E1427" s="62">
        <v>1</v>
      </c>
    </row>
    <row r="1428" spans="1:5" x14ac:dyDescent="0.35">
      <c r="A1428" s="10" t="s">
        <v>1615</v>
      </c>
      <c r="B1428" s="58" t="s">
        <v>1752</v>
      </c>
      <c r="C1428" s="58" t="s">
        <v>1752</v>
      </c>
      <c r="D1428" s="60"/>
      <c r="E1428" s="62">
        <v>1</v>
      </c>
    </row>
    <row r="1429" spans="1:5" x14ac:dyDescent="0.35">
      <c r="A1429" s="10" t="s">
        <v>1616</v>
      </c>
      <c r="B1429" s="58" t="s">
        <v>1752</v>
      </c>
      <c r="C1429" s="58" t="s">
        <v>1752</v>
      </c>
      <c r="D1429" s="60"/>
      <c r="E1429" s="62">
        <v>1</v>
      </c>
    </row>
    <row r="1430" spans="1:5" x14ac:dyDescent="0.35">
      <c r="A1430" s="11" t="s">
        <v>1617</v>
      </c>
      <c r="B1430" s="58" t="s">
        <v>1752</v>
      </c>
      <c r="C1430" s="58" t="s">
        <v>1752</v>
      </c>
      <c r="D1430" s="60"/>
      <c r="E1430" s="62">
        <v>1</v>
      </c>
    </row>
    <row r="1431" spans="1:5" x14ac:dyDescent="0.35">
      <c r="A1431" s="11" t="s">
        <v>1618</v>
      </c>
      <c r="B1431" s="58" t="s">
        <v>1752</v>
      </c>
      <c r="C1431" s="58" t="s">
        <v>1752</v>
      </c>
      <c r="D1431" s="60"/>
      <c r="E1431" s="62">
        <v>1</v>
      </c>
    </row>
    <row r="1432" spans="1:5" x14ac:dyDescent="0.35">
      <c r="A1432" s="11" t="s">
        <v>1619</v>
      </c>
      <c r="B1432" s="58" t="s">
        <v>1752</v>
      </c>
      <c r="C1432" s="58" t="s">
        <v>1752</v>
      </c>
      <c r="D1432" s="60"/>
      <c r="E1432" s="62">
        <v>1</v>
      </c>
    </row>
    <row r="1433" spans="1:5" x14ac:dyDescent="0.35">
      <c r="A1433" s="11" t="s">
        <v>1620</v>
      </c>
      <c r="B1433" s="58" t="s">
        <v>1752</v>
      </c>
      <c r="C1433" s="58" t="s">
        <v>1752</v>
      </c>
      <c r="D1433" s="60"/>
      <c r="E1433" s="62">
        <v>1</v>
      </c>
    </row>
    <row r="1434" spans="1:5" x14ac:dyDescent="0.35">
      <c r="A1434" s="10" t="s">
        <v>1621</v>
      </c>
      <c r="B1434" s="58" t="s">
        <v>1752</v>
      </c>
      <c r="C1434" s="58" t="s">
        <v>1752</v>
      </c>
      <c r="D1434" s="60"/>
      <c r="E1434" s="62">
        <v>1</v>
      </c>
    </row>
    <row r="1435" spans="1:5" x14ac:dyDescent="0.35">
      <c r="A1435" s="11" t="s">
        <v>1622</v>
      </c>
      <c r="B1435" s="58" t="s">
        <v>1752</v>
      </c>
      <c r="C1435" s="58" t="s">
        <v>1752</v>
      </c>
      <c r="D1435" s="60"/>
      <c r="E1435" s="62">
        <v>1</v>
      </c>
    </row>
    <row r="1436" spans="1:5" x14ac:dyDescent="0.35">
      <c r="A1436" s="10" t="s">
        <v>1623</v>
      </c>
      <c r="B1436" s="58" t="s">
        <v>1752</v>
      </c>
      <c r="C1436" s="58" t="s">
        <v>1752</v>
      </c>
      <c r="D1436" s="60"/>
      <c r="E1436" s="62">
        <v>1</v>
      </c>
    </row>
    <row r="1437" spans="1:5" x14ac:dyDescent="0.35">
      <c r="A1437" s="10" t="s">
        <v>1624</v>
      </c>
      <c r="B1437" s="58" t="s">
        <v>1752</v>
      </c>
      <c r="C1437" s="58" t="s">
        <v>1752</v>
      </c>
      <c r="D1437" s="60"/>
      <c r="E1437" s="62">
        <v>1</v>
      </c>
    </row>
    <row r="1438" spans="1:5" x14ac:dyDescent="0.35">
      <c r="A1438" s="10" t="s">
        <v>1625</v>
      </c>
      <c r="B1438" s="58" t="s">
        <v>1752</v>
      </c>
      <c r="C1438" s="58" t="s">
        <v>1752</v>
      </c>
      <c r="D1438" s="60"/>
      <c r="E1438" s="62">
        <v>1</v>
      </c>
    </row>
    <row r="1439" spans="1:5" x14ac:dyDescent="0.35">
      <c r="A1439" s="11" t="s">
        <v>1626</v>
      </c>
      <c r="B1439" s="58" t="s">
        <v>1752</v>
      </c>
      <c r="C1439" s="58" t="s">
        <v>1752</v>
      </c>
      <c r="D1439" s="60"/>
      <c r="E1439" s="62">
        <v>1</v>
      </c>
    </row>
    <row r="1440" spans="1:5" x14ac:dyDescent="0.35">
      <c r="A1440" s="10" t="s">
        <v>1627</v>
      </c>
      <c r="B1440" s="58" t="s">
        <v>1752</v>
      </c>
      <c r="C1440" s="58" t="s">
        <v>1752</v>
      </c>
      <c r="D1440" s="60"/>
      <c r="E1440" s="62">
        <v>1</v>
      </c>
    </row>
    <row r="1441" spans="1:5" x14ac:dyDescent="0.35">
      <c r="A1441" s="11" t="s">
        <v>1628</v>
      </c>
      <c r="B1441" s="58" t="s">
        <v>1827</v>
      </c>
      <c r="C1441" s="58" t="s">
        <v>1752</v>
      </c>
      <c r="D1441" s="60"/>
      <c r="E1441" s="62">
        <v>1</v>
      </c>
    </row>
    <row r="1442" spans="1:5" x14ac:dyDescent="0.35">
      <c r="A1442" s="11" t="s">
        <v>1629</v>
      </c>
      <c r="B1442" s="58" t="s">
        <v>1752</v>
      </c>
      <c r="C1442" s="58" t="s">
        <v>1752</v>
      </c>
      <c r="D1442" s="60"/>
      <c r="E1442" s="62">
        <v>1</v>
      </c>
    </row>
    <row r="1443" spans="1:5" x14ac:dyDescent="0.35">
      <c r="A1443" s="11" t="s">
        <v>1630</v>
      </c>
      <c r="B1443" s="58" t="s">
        <v>1752</v>
      </c>
      <c r="C1443" s="58" t="s">
        <v>1752</v>
      </c>
      <c r="D1443" s="60"/>
      <c r="E1443" s="62">
        <v>1</v>
      </c>
    </row>
    <row r="1444" spans="1:5" x14ac:dyDescent="0.35">
      <c r="A1444" s="11" t="s">
        <v>1631</v>
      </c>
      <c r="B1444" s="58" t="s">
        <v>1752</v>
      </c>
      <c r="C1444" s="58" t="s">
        <v>1752</v>
      </c>
      <c r="D1444" s="60"/>
      <c r="E1444" s="62">
        <v>1</v>
      </c>
    </row>
    <row r="1445" spans="1:5" x14ac:dyDescent="0.35">
      <c r="A1445" s="10" t="s">
        <v>1632</v>
      </c>
      <c r="B1445" s="58" t="s">
        <v>1752</v>
      </c>
      <c r="C1445" s="58" t="s">
        <v>1752</v>
      </c>
      <c r="D1445" s="60"/>
      <c r="E1445" s="62">
        <v>1</v>
      </c>
    </row>
    <row r="1446" spans="1:5" x14ac:dyDescent="0.35">
      <c r="A1446" s="10" t="s">
        <v>1633</v>
      </c>
      <c r="B1446" s="58" t="s">
        <v>1752</v>
      </c>
      <c r="C1446" s="58" t="s">
        <v>1752</v>
      </c>
      <c r="D1446" s="60"/>
      <c r="E1446" s="62">
        <v>1</v>
      </c>
    </row>
    <row r="1447" spans="1:5" x14ac:dyDescent="0.35">
      <c r="A1447" s="11" t="s">
        <v>1634</v>
      </c>
      <c r="B1447" s="58" t="s">
        <v>1752</v>
      </c>
      <c r="C1447" s="58" t="s">
        <v>1752</v>
      </c>
      <c r="D1447" s="60"/>
      <c r="E1447" s="62">
        <v>1</v>
      </c>
    </row>
    <row r="1448" spans="1:5" x14ac:dyDescent="0.35">
      <c r="A1448" s="11" t="s">
        <v>1635</v>
      </c>
      <c r="B1448" s="58" t="s">
        <v>1827</v>
      </c>
      <c r="C1448" s="58" t="s">
        <v>1752</v>
      </c>
      <c r="D1448" s="60"/>
      <c r="E1448" s="62">
        <v>1</v>
      </c>
    </row>
    <row r="1449" spans="1:5" x14ac:dyDescent="0.35">
      <c r="A1449" s="10" t="s">
        <v>1636</v>
      </c>
      <c r="B1449" s="58" t="s">
        <v>1752</v>
      </c>
      <c r="C1449" s="58" t="s">
        <v>1752</v>
      </c>
      <c r="D1449" s="60"/>
      <c r="E1449" s="62">
        <v>1</v>
      </c>
    </row>
    <row r="1450" spans="1:5" x14ac:dyDescent="0.35">
      <c r="A1450" s="11" t="s">
        <v>1637</v>
      </c>
      <c r="B1450" s="58" t="s">
        <v>1752</v>
      </c>
      <c r="C1450" s="58" t="s">
        <v>1752</v>
      </c>
      <c r="D1450" s="60"/>
      <c r="E1450" s="62">
        <v>1</v>
      </c>
    </row>
    <row r="1451" spans="1:5" x14ac:dyDescent="0.35">
      <c r="A1451" s="10" t="s">
        <v>1638</v>
      </c>
      <c r="B1451" s="58" t="s">
        <v>1827</v>
      </c>
      <c r="C1451" s="58" t="s">
        <v>1752</v>
      </c>
      <c r="D1451" s="60"/>
      <c r="E1451" s="62">
        <v>1</v>
      </c>
    </row>
    <row r="1452" spans="1:5" x14ac:dyDescent="0.35">
      <c r="A1452" s="10" t="s">
        <v>1639</v>
      </c>
      <c r="B1452" s="58" t="s">
        <v>1752</v>
      </c>
      <c r="C1452" s="58" t="s">
        <v>1752</v>
      </c>
      <c r="D1452" s="60"/>
      <c r="E1452" s="62">
        <v>1</v>
      </c>
    </row>
    <row r="1453" spans="1:5" x14ac:dyDescent="0.35">
      <c r="A1453" s="10" t="s">
        <v>1640</v>
      </c>
      <c r="B1453" s="58" t="s">
        <v>1752</v>
      </c>
      <c r="C1453" s="58" t="s">
        <v>1752</v>
      </c>
      <c r="D1453" s="60"/>
      <c r="E1453" s="62">
        <v>1</v>
      </c>
    </row>
    <row r="1454" spans="1:5" x14ac:dyDescent="0.35">
      <c r="A1454" s="11" t="s">
        <v>1641</v>
      </c>
      <c r="B1454" s="58" t="s">
        <v>1752</v>
      </c>
      <c r="C1454" s="58" t="s">
        <v>1752</v>
      </c>
      <c r="D1454" s="60"/>
      <c r="E1454" s="62">
        <v>1</v>
      </c>
    </row>
    <row r="1455" spans="1:5" x14ac:dyDescent="0.35">
      <c r="A1455" s="10" t="s">
        <v>1642</v>
      </c>
      <c r="B1455" s="58" t="s">
        <v>1752</v>
      </c>
      <c r="C1455" s="58" t="s">
        <v>1752</v>
      </c>
      <c r="D1455" s="60"/>
      <c r="E1455" s="62">
        <v>1</v>
      </c>
    </row>
    <row r="1456" spans="1:5" x14ac:dyDescent="0.35">
      <c r="A1456" s="11" t="s">
        <v>1643</v>
      </c>
      <c r="B1456" s="58" t="s">
        <v>1752</v>
      </c>
      <c r="C1456" s="58" t="s">
        <v>1752</v>
      </c>
      <c r="D1456" s="60"/>
      <c r="E1456" s="62">
        <v>1</v>
      </c>
    </row>
    <row r="1457" spans="1:5" x14ac:dyDescent="0.35">
      <c r="A1457" s="10" t="s">
        <v>1644</v>
      </c>
      <c r="B1457" s="58" t="s">
        <v>1752</v>
      </c>
      <c r="C1457" s="58" t="s">
        <v>1752</v>
      </c>
      <c r="D1457" s="60"/>
      <c r="E1457" s="62">
        <v>1</v>
      </c>
    </row>
    <row r="1458" spans="1:5" x14ac:dyDescent="0.35">
      <c r="A1458" s="10" t="s">
        <v>1645</v>
      </c>
      <c r="B1458" s="58" t="s">
        <v>1752</v>
      </c>
      <c r="C1458" s="58" t="s">
        <v>1752</v>
      </c>
      <c r="D1458" s="60"/>
      <c r="E1458" s="62">
        <v>1</v>
      </c>
    </row>
    <row r="1459" spans="1:5" x14ac:dyDescent="0.35">
      <c r="A1459" s="11" t="s">
        <v>1646</v>
      </c>
      <c r="B1459" s="58" t="s">
        <v>1752</v>
      </c>
      <c r="C1459" s="58" t="s">
        <v>1752</v>
      </c>
      <c r="D1459" s="60"/>
      <c r="E1459" s="62">
        <v>1</v>
      </c>
    </row>
    <row r="1460" spans="1:5" x14ac:dyDescent="0.35">
      <c r="A1460" s="11" t="s">
        <v>1647</v>
      </c>
      <c r="B1460" s="58" t="s">
        <v>1752</v>
      </c>
      <c r="C1460" s="58" t="s">
        <v>1752</v>
      </c>
      <c r="D1460" s="60"/>
      <c r="E1460" s="62">
        <v>1</v>
      </c>
    </row>
    <row r="1461" spans="1:5" x14ac:dyDescent="0.35">
      <c r="A1461" s="11" t="s">
        <v>1648</v>
      </c>
      <c r="B1461" s="58" t="s">
        <v>1752</v>
      </c>
      <c r="C1461" s="58" t="s">
        <v>1752</v>
      </c>
      <c r="D1461" s="60"/>
      <c r="E1461" s="62">
        <v>1</v>
      </c>
    </row>
    <row r="1462" spans="1:5" x14ac:dyDescent="0.35">
      <c r="A1462" s="10" t="s">
        <v>1649</v>
      </c>
      <c r="B1462" s="58" t="s">
        <v>1752</v>
      </c>
      <c r="C1462" s="58" t="s">
        <v>1752</v>
      </c>
      <c r="D1462" s="60"/>
      <c r="E1462" s="62">
        <v>1</v>
      </c>
    </row>
    <row r="1463" spans="1:5" x14ac:dyDescent="0.35">
      <c r="A1463" s="11" t="s">
        <v>1650</v>
      </c>
      <c r="B1463" s="58" t="s">
        <v>1827</v>
      </c>
      <c r="C1463" s="58" t="s">
        <v>1752</v>
      </c>
      <c r="D1463" s="60"/>
      <c r="E1463" s="62">
        <v>1</v>
      </c>
    </row>
    <row r="1464" spans="1:5" x14ac:dyDescent="0.35">
      <c r="A1464" s="10" t="s">
        <v>1651</v>
      </c>
      <c r="B1464" s="58" t="s">
        <v>1752</v>
      </c>
      <c r="C1464" s="58" t="s">
        <v>1752</v>
      </c>
      <c r="D1464" s="60"/>
      <c r="E1464" s="62">
        <v>1</v>
      </c>
    </row>
    <row r="1465" spans="1:5" x14ac:dyDescent="0.35">
      <c r="A1465" s="11" t="s">
        <v>1652</v>
      </c>
      <c r="B1465" s="58" t="s">
        <v>1752</v>
      </c>
      <c r="C1465" s="58" t="s">
        <v>1752</v>
      </c>
      <c r="D1465" s="60"/>
      <c r="E1465" s="62">
        <v>1</v>
      </c>
    </row>
    <row r="1466" spans="1:5" x14ac:dyDescent="0.35">
      <c r="A1466" s="10" t="s">
        <v>1653</v>
      </c>
      <c r="B1466" s="58" t="s">
        <v>1752</v>
      </c>
      <c r="C1466" s="58" t="s">
        <v>1752</v>
      </c>
      <c r="D1466" s="60"/>
      <c r="E1466" s="62">
        <v>1</v>
      </c>
    </row>
    <row r="1467" spans="1:5" x14ac:dyDescent="0.35">
      <c r="A1467" s="11" t="s">
        <v>1654</v>
      </c>
      <c r="B1467" s="58" t="s">
        <v>1752</v>
      </c>
      <c r="C1467" s="58" t="s">
        <v>1752</v>
      </c>
      <c r="D1467" s="60"/>
      <c r="E1467" s="62">
        <v>1</v>
      </c>
    </row>
    <row r="1468" spans="1:5" x14ac:dyDescent="0.35">
      <c r="A1468" s="11" t="s">
        <v>1655</v>
      </c>
      <c r="B1468" s="58" t="s">
        <v>1752</v>
      </c>
      <c r="C1468" s="58" t="s">
        <v>1752</v>
      </c>
      <c r="D1468" s="60"/>
      <c r="E1468" s="62">
        <v>1</v>
      </c>
    </row>
    <row r="1469" spans="1:5" x14ac:dyDescent="0.35">
      <c r="A1469" s="10" t="s">
        <v>1656</v>
      </c>
      <c r="B1469" s="58" t="s">
        <v>1752</v>
      </c>
      <c r="C1469" s="58" t="s">
        <v>1752</v>
      </c>
      <c r="D1469" s="60"/>
      <c r="E1469" s="62">
        <v>1</v>
      </c>
    </row>
    <row r="1470" spans="1:5" x14ac:dyDescent="0.35">
      <c r="A1470" s="11" t="s">
        <v>1657</v>
      </c>
      <c r="B1470" s="58" t="s">
        <v>1752</v>
      </c>
      <c r="C1470" s="58" t="s">
        <v>1752</v>
      </c>
      <c r="D1470" s="60"/>
      <c r="E1470" s="62">
        <v>1</v>
      </c>
    </row>
    <row r="1471" spans="1:5" x14ac:dyDescent="0.35">
      <c r="A1471" s="10" t="s">
        <v>1658</v>
      </c>
      <c r="B1471" s="58" t="s">
        <v>1752</v>
      </c>
      <c r="C1471" s="58" t="s">
        <v>1752</v>
      </c>
      <c r="D1471" s="60"/>
      <c r="E1471" s="62">
        <v>1</v>
      </c>
    </row>
    <row r="1472" spans="1:5" x14ac:dyDescent="0.35">
      <c r="A1472" s="11" t="s">
        <v>1659</v>
      </c>
      <c r="B1472" s="58" t="s">
        <v>1752</v>
      </c>
      <c r="C1472" s="58" t="s">
        <v>1752</v>
      </c>
      <c r="D1472" s="60"/>
      <c r="E1472" s="62">
        <v>1</v>
      </c>
    </row>
    <row r="1473" spans="1:5" x14ac:dyDescent="0.35">
      <c r="A1473" s="10" t="s">
        <v>1660</v>
      </c>
      <c r="B1473" s="58" t="s">
        <v>1752</v>
      </c>
      <c r="C1473" s="58" t="s">
        <v>1752</v>
      </c>
      <c r="D1473" s="60"/>
      <c r="E1473" s="62">
        <v>1</v>
      </c>
    </row>
    <row r="1474" spans="1:5" x14ac:dyDescent="0.35">
      <c r="A1474" s="11" t="s">
        <v>1661</v>
      </c>
      <c r="B1474" s="58" t="s">
        <v>1752</v>
      </c>
      <c r="C1474" s="58" t="s">
        <v>1752</v>
      </c>
      <c r="D1474" s="60"/>
      <c r="E1474" s="62">
        <v>1</v>
      </c>
    </row>
    <row r="1475" spans="1:5" x14ac:dyDescent="0.35">
      <c r="A1475" s="10" t="s">
        <v>1662</v>
      </c>
      <c r="B1475" s="58" t="s">
        <v>1752</v>
      </c>
      <c r="C1475" s="58" t="s">
        <v>1752</v>
      </c>
      <c r="D1475" s="60"/>
      <c r="E1475" s="62">
        <v>1</v>
      </c>
    </row>
    <row r="1476" spans="1:5" x14ac:dyDescent="0.35">
      <c r="A1476" s="11" t="s">
        <v>1663</v>
      </c>
      <c r="B1476" s="58" t="s">
        <v>1752</v>
      </c>
      <c r="C1476" s="58" t="s">
        <v>1752</v>
      </c>
      <c r="D1476" s="60"/>
      <c r="E1476" s="62">
        <v>1</v>
      </c>
    </row>
    <row r="1477" spans="1:5" x14ac:dyDescent="0.35">
      <c r="A1477" s="10" t="s">
        <v>1664</v>
      </c>
      <c r="B1477" s="58" t="s">
        <v>1752</v>
      </c>
      <c r="C1477" s="58" t="s">
        <v>1752</v>
      </c>
      <c r="D1477" s="60"/>
      <c r="E1477" s="62">
        <v>1</v>
      </c>
    </row>
    <row r="1478" spans="1:5" x14ac:dyDescent="0.35">
      <c r="A1478" s="10" t="s">
        <v>1665</v>
      </c>
      <c r="B1478" s="58" t="s">
        <v>1752</v>
      </c>
      <c r="C1478" s="58" t="s">
        <v>1752</v>
      </c>
      <c r="D1478" s="60"/>
      <c r="E1478" s="62">
        <v>1</v>
      </c>
    </row>
    <row r="1479" spans="1:5" x14ac:dyDescent="0.35">
      <c r="A1479" s="11" t="s">
        <v>1666</v>
      </c>
      <c r="B1479" s="58" t="s">
        <v>1752</v>
      </c>
      <c r="C1479" s="58" t="s">
        <v>1752</v>
      </c>
      <c r="D1479" s="60"/>
      <c r="E1479" s="62">
        <v>1</v>
      </c>
    </row>
    <row r="1480" spans="1:5" x14ac:dyDescent="0.35">
      <c r="A1480" s="11" t="s">
        <v>1667</v>
      </c>
      <c r="B1480" s="58" t="s">
        <v>1752</v>
      </c>
      <c r="C1480" s="58" t="s">
        <v>1752</v>
      </c>
      <c r="D1480" s="60"/>
      <c r="E1480" s="62">
        <v>1</v>
      </c>
    </row>
    <row r="1481" spans="1:5" x14ac:dyDescent="0.35">
      <c r="A1481" s="10" t="s">
        <v>1668</v>
      </c>
      <c r="B1481" s="58" t="s">
        <v>1752</v>
      </c>
      <c r="C1481" s="58" t="s">
        <v>1752</v>
      </c>
      <c r="D1481" s="60"/>
      <c r="E1481" s="62">
        <v>1</v>
      </c>
    </row>
    <row r="1482" spans="1:5" x14ac:dyDescent="0.35">
      <c r="A1482" s="11" t="s">
        <v>1669</v>
      </c>
      <c r="B1482" s="58" t="s">
        <v>1752</v>
      </c>
      <c r="C1482" s="58" t="s">
        <v>1752</v>
      </c>
      <c r="D1482" s="60"/>
      <c r="E1482" s="62">
        <v>1</v>
      </c>
    </row>
    <row r="1483" spans="1:5" x14ac:dyDescent="0.35">
      <c r="A1483" s="10" t="s">
        <v>1670</v>
      </c>
      <c r="B1483" s="58" t="s">
        <v>1752</v>
      </c>
      <c r="C1483" s="58" t="s">
        <v>1752</v>
      </c>
      <c r="D1483" s="60"/>
      <c r="E1483" s="62">
        <v>1</v>
      </c>
    </row>
    <row r="1484" spans="1:5" x14ac:dyDescent="0.35">
      <c r="A1484" s="11" t="s">
        <v>1671</v>
      </c>
      <c r="B1484" s="58" t="s">
        <v>1752</v>
      </c>
      <c r="C1484" s="58" t="s">
        <v>1752</v>
      </c>
      <c r="D1484" s="60"/>
      <c r="E1484" s="62">
        <v>1</v>
      </c>
    </row>
    <row r="1485" spans="1:5" x14ac:dyDescent="0.35">
      <c r="A1485" s="10" t="s">
        <v>1672</v>
      </c>
      <c r="B1485" s="58" t="s">
        <v>1752</v>
      </c>
      <c r="C1485" s="58" t="s">
        <v>1752</v>
      </c>
      <c r="D1485" s="60"/>
      <c r="E1485" s="62">
        <v>1</v>
      </c>
    </row>
    <row r="1486" spans="1:5" x14ac:dyDescent="0.35">
      <c r="A1486" s="11" t="s">
        <v>1673</v>
      </c>
      <c r="B1486" s="58" t="s">
        <v>1752</v>
      </c>
      <c r="C1486" s="58" t="s">
        <v>1752</v>
      </c>
      <c r="D1486" s="60"/>
      <c r="E1486" s="62">
        <v>1</v>
      </c>
    </row>
    <row r="1487" spans="1:5" x14ac:dyDescent="0.35">
      <c r="A1487" s="10" t="s">
        <v>1674</v>
      </c>
      <c r="B1487" s="58" t="s">
        <v>1752</v>
      </c>
      <c r="C1487" s="58" t="s">
        <v>1752</v>
      </c>
      <c r="D1487" s="60"/>
      <c r="E1487" s="62">
        <v>1</v>
      </c>
    </row>
    <row r="1488" spans="1:5" x14ac:dyDescent="0.35">
      <c r="A1488" s="11" t="s">
        <v>1675</v>
      </c>
      <c r="B1488" s="58" t="s">
        <v>1752</v>
      </c>
      <c r="C1488" s="58" t="s">
        <v>1752</v>
      </c>
      <c r="D1488" s="60"/>
      <c r="E1488" s="62">
        <v>1</v>
      </c>
    </row>
    <row r="1489" spans="1:5" x14ac:dyDescent="0.35">
      <c r="A1489" s="10" t="s">
        <v>1676</v>
      </c>
      <c r="B1489" s="58" t="s">
        <v>1752</v>
      </c>
      <c r="C1489" s="58" t="s">
        <v>1752</v>
      </c>
      <c r="D1489" s="60"/>
      <c r="E1489" s="62">
        <v>1</v>
      </c>
    </row>
    <row r="1490" spans="1:5" x14ac:dyDescent="0.35">
      <c r="A1490" s="11" t="s">
        <v>1677</v>
      </c>
      <c r="B1490" s="58" t="s">
        <v>1827</v>
      </c>
      <c r="C1490" s="58" t="s">
        <v>1752</v>
      </c>
      <c r="D1490" s="60"/>
      <c r="E1490" s="62">
        <v>1</v>
      </c>
    </row>
    <row r="1491" spans="1:5" x14ac:dyDescent="0.35">
      <c r="A1491" s="10" t="s">
        <v>1678</v>
      </c>
      <c r="B1491" s="58" t="s">
        <v>1752</v>
      </c>
      <c r="C1491" s="58" t="s">
        <v>1752</v>
      </c>
      <c r="D1491" s="60"/>
      <c r="E1491" s="62">
        <v>1</v>
      </c>
    </row>
    <row r="1492" spans="1:5" x14ac:dyDescent="0.35">
      <c r="A1492" s="10" t="s">
        <v>1679</v>
      </c>
      <c r="B1492" s="58" t="s">
        <v>1752</v>
      </c>
      <c r="C1492" s="58" t="s">
        <v>1752</v>
      </c>
      <c r="D1492" s="60"/>
      <c r="E1492" s="62">
        <v>1</v>
      </c>
    </row>
    <row r="1493" spans="1:5" x14ac:dyDescent="0.35">
      <c r="A1493" s="10" t="s">
        <v>1680</v>
      </c>
      <c r="B1493" s="58" t="s">
        <v>1752</v>
      </c>
      <c r="C1493" s="58" t="s">
        <v>1752</v>
      </c>
      <c r="D1493" s="60"/>
      <c r="E1493" s="62">
        <v>1</v>
      </c>
    </row>
    <row r="1494" spans="1:5" x14ac:dyDescent="0.35">
      <c r="A1494" s="11" t="s">
        <v>1681</v>
      </c>
      <c r="B1494" s="58" t="s">
        <v>1752</v>
      </c>
      <c r="C1494" s="58" t="s">
        <v>1752</v>
      </c>
      <c r="D1494" s="60"/>
      <c r="E1494" s="62">
        <v>1</v>
      </c>
    </row>
    <row r="1495" spans="1:5" x14ac:dyDescent="0.35">
      <c r="A1495" s="10" t="s">
        <v>1682</v>
      </c>
      <c r="B1495" s="58" t="s">
        <v>1752</v>
      </c>
      <c r="C1495" s="58" t="s">
        <v>1752</v>
      </c>
      <c r="D1495" s="60"/>
      <c r="E1495" s="62">
        <v>1</v>
      </c>
    </row>
    <row r="1496" spans="1:5" x14ac:dyDescent="0.35">
      <c r="A1496" s="10" t="s">
        <v>1683</v>
      </c>
      <c r="B1496" s="58" t="s">
        <v>1752</v>
      </c>
      <c r="C1496" s="58" t="s">
        <v>1752</v>
      </c>
      <c r="D1496" s="60"/>
      <c r="E1496" s="62">
        <v>1</v>
      </c>
    </row>
    <row r="1497" spans="1:5" x14ac:dyDescent="0.35">
      <c r="A1497" s="11" t="s">
        <v>1684</v>
      </c>
      <c r="B1497" s="58" t="s">
        <v>1752</v>
      </c>
      <c r="C1497" s="58" t="s">
        <v>1752</v>
      </c>
      <c r="D1497" s="60"/>
      <c r="E1497" s="62">
        <v>1</v>
      </c>
    </row>
    <row r="1498" spans="1:5" x14ac:dyDescent="0.35">
      <c r="A1498" s="11" t="s">
        <v>1685</v>
      </c>
      <c r="B1498" s="58" t="s">
        <v>1752</v>
      </c>
      <c r="C1498" s="58" t="s">
        <v>1752</v>
      </c>
      <c r="D1498" s="60"/>
      <c r="E1498" s="62">
        <v>1</v>
      </c>
    </row>
    <row r="1499" spans="1:5" x14ac:dyDescent="0.35">
      <c r="A1499" s="11" t="s">
        <v>1686</v>
      </c>
      <c r="B1499" s="58" t="s">
        <v>1752</v>
      </c>
      <c r="C1499" s="58" t="s">
        <v>1752</v>
      </c>
      <c r="D1499" s="60"/>
      <c r="E1499" s="62">
        <v>1</v>
      </c>
    </row>
    <row r="1500" spans="1:5" x14ac:dyDescent="0.35">
      <c r="A1500" s="11" t="s">
        <v>1687</v>
      </c>
      <c r="B1500" s="58" t="s">
        <v>1752</v>
      </c>
      <c r="C1500" s="58" t="s">
        <v>1752</v>
      </c>
      <c r="D1500" s="60"/>
      <c r="E1500" s="62">
        <v>1</v>
      </c>
    </row>
    <row r="1501" spans="1:5" x14ac:dyDescent="0.35">
      <c r="A1501" s="10" t="s">
        <v>1688</v>
      </c>
      <c r="B1501" s="58" t="s">
        <v>1752</v>
      </c>
      <c r="C1501" s="58" t="s">
        <v>1752</v>
      </c>
      <c r="D1501" s="60"/>
      <c r="E1501" s="62">
        <v>1</v>
      </c>
    </row>
    <row r="1502" spans="1:5" x14ac:dyDescent="0.35">
      <c r="A1502" s="11" t="s">
        <v>1689</v>
      </c>
      <c r="B1502" s="58" t="s">
        <v>1752</v>
      </c>
      <c r="C1502" s="58" t="s">
        <v>1752</v>
      </c>
      <c r="D1502" s="60"/>
      <c r="E1502" s="62">
        <v>1</v>
      </c>
    </row>
    <row r="1503" spans="1:5" x14ac:dyDescent="0.35">
      <c r="A1503" s="10" t="s">
        <v>1690</v>
      </c>
      <c r="B1503" s="58" t="s">
        <v>1752</v>
      </c>
      <c r="C1503" s="58" t="s">
        <v>1752</v>
      </c>
      <c r="D1503" s="60"/>
      <c r="E1503" s="62">
        <v>1</v>
      </c>
    </row>
    <row r="1504" spans="1:5" x14ac:dyDescent="0.35">
      <c r="A1504" s="11" t="s">
        <v>1691</v>
      </c>
      <c r="B1504" s="58" t="s">
        <v>1752</v>
      </c>
      <c r="C1504" s="58" t="s">
        <v>1752</v>
      </c>
      <c r="D1504" s="60"/>
      <c r="E1504" s="62">
        <v>1</v>
      </c>
    </row>
    <row r="1505" spans="1:5" x14ac:dyDescent="0.35">
      <c r="A1505" s="11" t="s">
        <v>1692</v>
      </c>
      <c r="B1505" s="58" t="s">
        <v>1752</v>
      </c>
      <c r="C1505" s="58" t="s">
        <v>1752</v>
      </c>
      <c r="D1505" s="60"/>
      <c r="E1505" s="62">
        <v>1</v>
      </c>
    </row>
    <row r="1506" spans="1:5" x14ac:dyDescent="0.35">
      <c r="A1506" s="10" t="s">
        <v>1693</v>
      </c>
      <c r="B1506" s="58" t="s">
        <v>1752</v>
      </c>
      <c r="C1506" s="58" t="s">
        <v>1752</v>
      </c>
      <c r="D1506" s="60"/>
      <c r="E1506" s="62">
        <v>1</v>
      </c>
    </row>
    <row r="1507" spans="1:5" x14ac:dyDescent="0.35">
      <c r="A1507" s="10" t="s">
        <v>1694</v>
      </c>
      <c r="B1507" s="58" t="s">
        <v>1752</v>
      </c>
      <c r="C1507" s="58" t="s">
        <v>1752</v>
      </c>
      <c r="D1507" s="60"/>
      <c r="E1507" s="62">
        <v>1</v>
      </c>
    </row>
    <row r="1508" spans="1:5" x14ac:dyDescent="0.35">
      <c r="A1508" s="11" t="s">
        <v>1695</v>
      </c>
      <c r="B1508" s="58" t="s">
        <v>1752</v>
      </c>
      <c r="C1508" s="58" t="s">
        <v>1752</v>
      </c>
      <c r="D1508" s="60"/>
      <c r="E1508" s="62">
        <v>1</v>
      </c>
    </row>
    <row r="1509" spans="1:5" x14ac:dyDescent="0.35">
      <c r="A1509" s="10" t="s">
        <v>1696</v>
      </c>
      <c r="B1509" s="58" t="s">
        <v>1752</v>
      </c>
      <c r="C1509" s="58" t="s">
        <v>1752</v>
      </c>
      <c r="D1509" s="60"/>
      <c r="E1509" s="62">
        <v>1</v>
      </c>
    </row>
    <row r="1510" spans="1:5" x14ac:dyDescent="0.35">
      <c r="A1510" s="11" t="s">
        <v>1697</v>
      </c>
      <c r="B1510" s="58" t="s">
        <v>1752</v>
      </c>
      <c r="C1510" s="58" t="s">
        <v>1752</v>
      </c>
      <c r="D1510" s="60"/>
      <c r="E1510" s="62">
        <v>1</v>
      </c>
    </row>
    <row r="1511" spans="1:5" x14ac:dyDescent="0.35">
      <c r="A1511" s="10" t="s">
        <v>1698</v>
      </c>
      <c r="B1511" s="58" t="s">
        <v>1752</v>
      </c>
      <c r="C1511" s="58" t="s">
        <v>1752</v>
      </c>
      <c r="D1511" s="60"/>
      <c r="E1511" s="62">
        <v>1</v>
      </c>
    </row>
    <row r="1512" spans="1:5" x14ac:dyDescent="0.35">
      <c r="A1512" s="11" t="s">
        <v>1699</v>
      </c>
      <c r="B1512" s="58" t="s">
        <v>1752</v>
      </c>
      <c r="C1512" s="58" t="s">
        <v>1752</v>
      </c>
      <c r="D1512" s="60"/>
      <c r="E1512" s="62">
        <v>1</v>
      </c>
    </row>
    <row r="1513" spans="1:5" x14ac:dyDescent="0.35">
      <c r="A1513" s="10" t="s">
        <v>1700</v>
      </c>
      <c r="B1513" s="58" t="s">
        <v>1752</v>
      </c>
      <c r="C1513" s="58" t="s">
        <v>1752</v>
      </c>
      <c r="D1513" s="60"/>
      <c r="E1513" s="62">
        <v>1</v>
      </c>
    </row>
    <row r="1514" spans="1:5" x14ac:dyDescent="0.35">
      <c r="A1514" s="11" t="s">
        <v>1701</v>
      </c>
      <c r="B1514" s="58" t="s">
        <v>1752</v>
      </c>
      <c r="C1514" s="58" t="s">
        <v>1752</v>
      </c>
      <c r="D1514" s="60"/>
      <c r="E1514" s="62">
        <v>1</v>
      </c>
    </row>
    <row r="1515" spans="1:5" x14ac:dyDescent="0.35">
      <c r="A1515" s="10" t="s">
        <v>1702</v>
      </c>
      <c r="B1515" s="58" t="s">
        <v>1752</v>
      </c>
      <c r="C1515" s="58" t="s">
        <v>1752</v>
      </c>
      <c r="D1515" s="60"/>
      <c r="E1515" s="62">
        <v>1</v>
      </c>
    </row>
    <row r="1516" spans="1:5" x14ac:dyDescent="0.35">
      <c r="A1516" s="11" t="s">
        <v>1703</v>
      </c>
      <c r="B1516" s="58" t="s">
        <v>1752</v>
      </c>
      <c r="C1516" s="58" t="s">
        <v>1752</v>
      </c>
      <c r="D1516" s="60"/>
      <c r="E1516" s="62">
        <v>1</v>
      </c>
    </row>
    <row r="1517" spans="1:5" x14ac:dyDescent="0.35">
      <c r="A1517" s="10" t="s">
        <v>1704</v>
      </c>
      <c r="B1517" s="58" t="s">
        <v>1752</v>
      </c>
      <c r="C1517" s="58" t="s">
        <v>1752</v>
      </c>
      <c r="D1517" s="60"/>
      <c r="E1517" s="62">
        <v>1</v>
      </c>
    </row>
    <row r="1518" spans="1:5" x14ac:dyDescent="0.35">
      <c r="A1518" s="11" t="s">
        <v>1705</v>
      </c>
      <c r="B1518" s="58" t="s">
        <v>1752</v>
      </c>
      <c r="C1518" s="58" t="s">
        <v>1752</v>
      </c>
      <c r="D1518" s="60"/>
      <c r="E1518" s="62">
        <v>1</v>
      </c>
    </row>
    <row r="1519" spans="1:5" x14ac:dyDescent="0.35">
      <c r="A1519" s="10" t="s">
        <v>1706</v>
      </c>
      <c r="B1519" s="58" t="s">
        <v>1752</v>
      </c>
      <c r="C1519" s="58" t="s">
        <v>1752</v>
      </c>
      <c r="D1519" s="60"/>
      <c r="E1519" s="62">
        <v>1</v>
      </c>
    </row>
    <row r="1520" spans="1:5" x14ac:dyDescent="0.35">
      <c r="A1520" s="11" t="s">
        <v>1707</v>
      </c>
      <c r="B1520" s="58" t="s">
        <v>1752</v>
      </c>
      <c r="C1520" s="58" t="s">
        <v>1752</v>
      </c>
      <c r="D1520" s="60"/>
      <c r="E1520" s="62">
        <v>1</v>
      </c>
    </row>
    <row r="1521" spans="1:5" x14ac:dyDescent="0.35">
      <c r="A1521" s="10" t="s">
        <v>1708</v>
      </c>
      <c r="B1521" s="58" t="s">
        <v>1752</v>
      </c>
      <c r="C1521" s="58" t="s">
        <v>1752</v>
      </c>
      <c r="D1521" s="60"/>
      <c r="E1521" s="62">
        <v>1</v>
      </c>
    </row>
    <row r="1522" spans="1:5" x14ac:dyDescent="0.35">
      <c r="A1522" s="10" t="s">
        <v>1709</v>
      </c>
      <c r="B1522" s="58" t="s">
        <v>1752</v>
      </c>
      <c r="C1522" s="58" t="s">
        <v>1752</v>
      </c>
      <c r="D1522" s="60"/>
      <c r="E1522" s="62">
        <v>1</v>
      </c>
    </row>
    <row r="1523" spans="1:5" x14ac:dyDescent="0.35">
      <c r="A1523" s="11" t="s">
        <v>1710</v>
      </c>
      <c r="B1523" s="58" t="s">
        <v>1752</v>
      </c>
      <c r="C1523" s="58" t="s">
        <v>1752</v>
      </c>
      <c r="D1523" s="60"/>
      <c r="E1523" s="62">
        <v>1</v>
      </c>
    </row>
    <row r="1524" spans="1:5" x14ac:dyDescent="0.35">
      <c r="A1524" s="10" t="s">
        <v>1711</v>
      </c>
      <c r="B1524" s="58" t="s">
        <v>1752</v>
      </c>
      <c r="C1524" s="58" t="s">
        <v>1752</v>
      </c>
      <c r="D1524" s="60"/>
      <c r="E1524" s="62">
        <v>1</v>
      </c>
    </row>
    <row r="1525" spans="1:5" x14ac:dyDescent="0.35">
      <c r="A1525" s="11" t="s">
        <v>1712</v>
      </c>
      <c r="B1525" s="58" t="s">
        <v>1752</v>
      </c>
      <c r="C1525" s="58" t="s">
        <v>1752</v>
      </c>
      <c r="D1525" s="60"/>
      <c r="E1525" s="62">
        <v>1</v>
      </c>
    </row>
    <row r="1526" spans="1:5" x14ac:dyDescent="0.35">
      <c r="A1526" s="10" t="s">
        <v>1713</v>
      </c>
      <c r="B1526" s="58" t="s">
        <v>1752</v>
      </c>
      <c r="C1526" s="58" t="s">
        <v>1752</v>
      </c>
      <c r="D1526" s="60"/>
      <c r="E1526" s="62">
        <v>1</v>
      </c>
    </row>
    <row r="1527" spans="1:5" x14ac:dyDescent="0.35">
      <c r="A1527" s="10" t="s">
        <v>1714</v>
      </c>
      <c r="B1527" s="58" t="s">
        <v>1752</v>
      </c>
      <c r="C1527" s="58" t="s">
        <v>1752</v>
      </c>
      <c r="D1527" s="60"/>
      <c r="E1527" s="62">
        <v>1</v>
      </c>
    </row>
    <row r="1528" spans="1:5" x14ac:dyDescent="0.35">
      <c r="A1528" s="11" t="s">
        <v>1715</v>
      </c>
      <c r="B1528" s="58" t="s">
        <v>1752</v>
      </c>
      <c r="C1528" s="58" t="s">
        <v>1752</v>
      </c>
      <c r="D1528" s="60"/>
      <c r="E1528" s="62">
        <v>1</v>
      </c>
    </row>
    <row r="1529" spans="1:5" x14ac:dyDescent="0.35">
      <c r="A1529" s="10" t="s">
        <v>1716</v>
      </c>
      <c r="B1529" s="58" t="s">
        <v>1752</v>
      </c>
      <c r="C1529" s="58" t="s">
        <v>1752</v>
      </c>
      <c r="D1529" s="60"/>
      <c r="E1529" s="62">
        <v>1</v>
      </c>
    </row>
    <row r="1530" spans="1:5" x14ac:dyDescent="0.35">
      <c r="A1530" s="10" t="s">
        <v>1717</v>
      </c>
      <c r="B1530" s="58" t="s">
        <v>1752</v>
      </c>
      <c r="C1530" s="58" t="s">
        <v>1752</v>
      </c>
      <c r="D1530" s="60"/>
      <c r="E1530" s="62">
        <v>1</v>
      </c>
    </row>
    <row r="1531" spans="1:5" x14ac:dyDescent="0.35">
      <c r="A1531" s="11" t="s">
        <v>1718</v>
      </c>
      <c r="B1531" s="58" t="s">
        <v>1752</v>
      </c>
      <c r="C1531" s="58" t="s">
        <v>1752</v>
      </c>
      <c r="D1531" s="60"/>
      <c r="E1531" s="62">
        <v>1</v>
      </c>
    </row>
    <row r="1532" spans="1:5" x14ac:dyDescent="0.35">
      <c r="A1532" s="10" t="s">
        <v>1719</v>
      </c>
      <c r="B1532" s="58" t="s">
        <v>1752</v>
      </c>
      <c r="C1532" s="58" t="s">
        <v>1752</v>
      </c>
      <c r="D1532" s="60"/>
      <c r="E1532" s="62">
        <v>1</v>
      </c>
    </row>
    <row r="1533" spans="1:5" x14ac:dyDescent="0.35">
      <c r="A1533" s="11" t="s">
        <v>1720</v>
      </c>
      <c r="B1533" s="58" t="s">
        <v>1752</v>
      </c>
      <c r="C1533" s="58" t="s">
        <v>1752</v>
      </c>
      <c r="D1533" s="60"/>
      <c r="E1533" s="62">
        <v>1</v>
      </c>
    </row>
    <row r="1534" spans="1:5" x14ac:dyDescent="0.35">
      <c r="A1534" s="10" t="s">
        <v>1721</v>
      </c>
      <c r="B1534" s="58" t="s">
        <v>1752</v>
      </c>
      <c r="C1534" s="58" t="s">
        <v>1752</v>
      </c>
      <c r="D1534" s="60"/>
      <c r="E1534" s="62">
        <v>1</v>
      </c>
    </row>
    <row r="1535" spans="1:5" x14ac:dyDescent="0.35">
      <c r="A1535" s="11" t="s">
        <v>1722</v>
      </c>
      <c r="B1535" s="58" t="s">
        <v>1752</v>
      </c>
      <c r="C1535" s="58" t="s">
        <v>1752</v>
      </c>
      <c r="D1535" s="60"/>
      <c r="E1535" s="62">
        <v>1</v>
      </c>
    </row>
    <row r="1536" spans="1:5" x14ac:dyDescent="0.35">
      <c r="A1536" s="10" t="s">
        <v>1723</v>
      </c>
      <c r="B1536" s="58" t="s">
        <v>1752</v>
      </c>
      <c r="C1536" s="58" t="s">
        <v>1752</v>
      </c>
      <c r="D1536" s="60"/>
      <c r="E1536" s="62">
        <v>1</v>
      </c>
    </row>
    <row r="1537" spans="1:5" x14ac:dyDescent="0.35">
      <c r="A1537" s="11" t="s">
        <v>1724</v>
      </c>
      <c r="B1537" s="58" t="s">
        <v>1752</v>
      </c>
      <c r="C1537" s="58" t="s">
        <v>1752</v>
      </c>
      <c r="D1537" s="60"/>
      <c r="E1537" s="62">
        <v>1</v>
      </c>
    </row>
    <row r="1538" spans="1:5" x14ac:dyDescent="0.35">
      <c r="A1538" s="10" t="s">
        <v>1725</v>
      </c>
      <c r="B1538" s="58" t="s">
        <v>1752</v>
      </c>
      <c r="C1538" s="58" t="s">
        <v>1752</v>
      </c>
      <c r="D1538" s="60"/>
      <c r="E1538" s="62">
        <v>1</v>
      </c>
    </row>
    <row r="1539" spans="1:5" x14ac:dyDescent="0.35">
      <c r="A1539" s="11" t="s">
        <v>1726</v>
      </c>
      <c r="B1539" s="58" t="s">
        <v>1752</v>
      </c>
      <c r="C1539" s="58" t="s">
        <v>1752</v>
      </c>
      <c r="D1539" s="60"/>
      <c r="E1539" s="62">
        <v>1</v>
      </c>
    </row>
    <row r="1540" spans="1:5" x14ac:dyDescent="0.35">
      <c r="A1540" s="10" t="s">
        <v>1727</v>
      </c>
      <c r="B1540" s="58" t="s">
        <v>1752</v>
      </c>
      <c r="C1540" s="58" t="s">
        <v>1752</v>
      </c>
      <c r="D1540" s="60"/>
      <c r="E1540" s="62">
        <v>1</v>
      </c>
    </row>
    <row r="1541" spans="1:5" x14ac:dyDescent="0.35">
      <c r="A1541" s="11" t="s">
        <v>1728</v>
      </c>
      <c r="B1541" s="58" t="s">
        <v>1752</v>
      </c>
      <c r="C1541" s="58" t="s">
        <v>1752</v>
      </c>
      <c r="D1541" s="60"/>
      <c r="E1541" s="62">
        <v>1</v>
      </c>
    </row>
    <row r="1542" spans="1:5" x14ac:dyDescent="0.35">
      <c r="A1542" s="10" t="s">
        <v>1729</v>
      </c>
      <c r="B1542" s="58" t="s">
        <v>1752</v>
      </c>
      <c r="C1542" s="58" t="s">
        <v>1752</v>
      </c>
      <c r="D1542" s="60"/>
      <c r="E1542" s="62">
        <v>1</v>
      </c>
    </row>
    <row r="1543" spans="1:5" x14ac:dyDescent="0.35">
      <c r="A1543" s="11" t="s">
        <v>1730</v>
      </c>
      <c r="B1543" s="58" t="s">
        <v>1752</v>
      </c>
      <c r="C1543" s="58" t="s">
        <v>1752</v>
      </c>
      <c r="D1543" s="60"/>
      <c r="E1543" s="62">
        <v>1</v>
      </c>
    </row>
    <row r="1544" spans="1:5" x14ac:dyDescent="0.35">
      <c r="A1544" s="10" t="s">
        <v>1731</v>
      </c>
      <c r="B1544" s="58" t="s">
        <v>1752</v>
      </c>
      <c r="C1544" s="58" t="s">
        <v>1752</v>
      </c>
      <c r="D1544" s="60"/>
      <c r="E1544" s="62">
        <v>1</v>
      </c>
    </row>
    <row r="1545" spans="1:5" x14ac:dyDescent="0.35">
      <c r="A1545" s="11" t="s">
        <v>1732</v>
      </c>
      <c r="B1545" s="58" t="s">
        <v>1752</v>
      </c>
      <c r="C1545" s="58" t="s">
        <v>1752</v>
      </c>
      <c r="D1545" s="60"/>
      <c r="E1545" s="62">
        <v>1</v>
      </c>
    </row>
    <row r="1546" spans="1:5" x14ac:dyDescent="0.35">
      <c r="A1546" s="10" t="s">
        <v>1733</v>
      </c>
      <c r="B1546" s="58" t="s">
        <v>1827</v>
      </c>
      <c r="C1546" s="58" t="s">
        <v>1752</v>
      </c>
      <c r="D1546" s="60"/>
      <c r="E1546" s="62">
        <v>1</v>
      </c>
    </row>
    <row r="1547" spans="1:5" x14ac:dyDescent="0.35">
      <c r="A1547" s="11" t="s">
        <v>1734</v>
      </c>
      <c r="B1547" s="58" t="s">
        <v>1827</v>
      </c>
      <c r="C1547" s="58" t="s">
        <v>1752</v>
      </c>
      <c r="D1547" s="60"/>
      <c r="E1547" s="62">
        <v>1</v>
      </c>
    </row>
    <row r="1548" spans="1:5" x14ac:dyDescent="0.35">
      <c r="A1548" s="10" t="s">
        <v>1735</v>
      </c>
      <c r="B1548" s="58" t="s">
        <v>1827</v>
      </c>
      <c r="C1548" s="58" t="s">
        <v>1752</v>
      </c>
      <c r="D1548" s="60"/>
      <c r="E1548" s="62">
        <v>1</v>
      </c>
    </row>
    <row r="1549" spans="1:5" x14ac:dyDescent="0.35">
      <c r="A1549" s="11" t="s">
        <v>1736</v>
      </c>
      <c r="B1549" s="58" t="s">
        <v>1827</v>
      </c>
      <c r="C1549" s="58" t="s">
        <v>1752</v>
      </c>
      <c r="D1549" s="60"/>
      <c r="E1549" s="62">
        <v>1</v>
      </c>
    </row>
    <row r="1550" spans="1:5" x14ac:dyDescent="0.35">
      <c r="A1550" s="10" t="s">
        <v>1737</v>
      </c>
      <c r="B1550" s="58" t="s">
        <v>1827</v>
      </c>
      <c r="C1550" s="58" t="s">
        <v>1752</v>
      </c>
      <c r="D1550" s="60"/>
      <c r="E1550" s="62">
        <v>1</v>
      </c>
    </row>
    <row r="1551" spans="1:5" x14ac:dyDescent="0.35">
      <c r="A1551" s="10" t="s">
        <v>1738</v>
      </c>
      <c r="B1551" s="58" t="s">
        <v>1752</v>
      </c>
      <c r="C1551" s="58" t="s">
        <v>1752</v>
      </c>
      <c r="D1551" s="60"/>
      <c r="E1551" s="62">
        <v>1</v>
      </c>
    </row>
    <row r="1552" spans="1:5" x14ac:dyDescent="0.35">
      <c r="A1552" s="11" t="s">
        <v>1739</v>
      </c>
      <c r="B1552" s="58" t="s">
        <v>1752</v>
      </c>
      <c r="C1552" s="58" t="s">
        <v>1752</v>
      </c>
      <c r="D1552" s="60"/>
      <c r="E1552" s="62">
        <v>1</v>
      </c>
    </row>
    <row r="1553" spans="1:5" x14ac:dyDescent="0.35">
      <c r="A1553" s="10" t="s">
        <v>1740</v>
      </c>
      <c r="B1553" s="58" t="s">
        <v>1752</v>
      </c>
      <c r="C1553" s="58" t="s">
        <v>1752</v>
      </c>
      <c r="D1553" s="60"/>
      <c r="E1553" s="62">
        <v>1</v>
      </c>
    </row>
    <row r="1554" spans="1:5" x14ac:dyDescent="0.35">
      <c r="A1554" s="11" t="s">
        <v>1741</v>
      </c>
      <c r="B1554" s="58" t="s">
        <v>1752</v>
      </c>
      <c r="C1554" s="58" t="s">
        <v>1752</v>
      </c>
      <c r="D1554" s="60"/>
      <c r="E1554" s="62">
        <v>1</v>
      </c>
    </row>
    <row r="1555" spans="1:5" x14ac:dyDescent="0.35">
      <c r="A1555" s="11" t="s">
        <v>1742</v>
      </c>
      <c r="B1555" s="58" t="s">
        <v>1752</v>
      </c>
      <c r="C1555" s="58" t="s">
        <v>1752</v>
      </c>
      <c r="D1555" s="60"/>
      <c r="E1555" s="62">
        <v>1</v>
      </c>
    </row>
    <row r="1556" spans="1:5" x14ac:dyDescent="0.35">
      <c r="A1556" s="10" t="s">
        <v>1743</v>
      </c>
      <c r="B1556" s="58" t="s">
        <v>1752</v>
      </c>
      <c r="C1556" s="58" t="s">
        <v>1752</v>
      </c>
      <c r="D1556" s="60"/>
      <c r="E1556" s="62">
        <v>1</v>
      </c>
    </row>
    <row r="1557" spans="1:5" x14ac:dyDescent="0.35">
      <c r="A1557" s="11" t="s">
        <v>1744</v>
      </c>
      <c r="B1557" s="58" t="s">
        <v>1752</v>
      </c>
      <c r="C1557" s="58" t="s">
        <v>1752</v>
      </c>
      <c r="D1557" s="60"/>
      <c r="E1557" s="62">
        <v>1</v>
      </c>
    </row>
    <row r="1558" spans="1:5" x14ac:dyDescent="0.35">
      <c r="A1558" s="10" t="s">
        <v>1745</v>
      </c>
      <c r="B1558" s="58" t="s">
        <v>1752</v>
      </c>
      <c r="C1558" s="58" t="s">
        <v>1752</v>
      </c>
      <c r="D1558" s="60"/>
      <c r="E1558" s="62">
        <v>1</v>
      </c>
    </row>
    <row r="1559" spans="1:5" x14ac:dyDescent="0.35">
      <c r="A1559" s="11" t="s">
        <v>1746</v>
      </c>
      <c r="B1559" s="58" t="s">
        <v>1752</v>
      </c>
      <c r="C1559" s="58" t="s">
        <v>1752</v>
      </c>
      <c r="D1559" s="60"/>
      <c r="E1559" s="62">
        <v>1</v>
      </c>
    </row>
    <row r="1560" spans="1:5" x14ac:dyDescent="0.35">
      <c r="A1560" s="11" t="s">
        <v>1747</v>
      </c>
      <c r="B1560" s="58" t="s">
        <v>1752</v>
      </c>
      <c r="C1560" s="58" t="s">
        <v>1752</v>
      </c>
      <c r="D1560" s="60"/>
      <c r="E1560" s="62">
        <v>1</v>
      </c>
    </row>
    <row r="1561" spans="1:5" x14ac:dyDescent="0.35">
      <c r="A1561" s="12" t="s">
        <v>1753</v>
      </c>
      <c r="B1561" s="58" t="s">
        <v>1752</v>
      </c>
      <c r="C1561" s="58" t="s">
        <v>1827</v>
      </c>
      <c r="D1561" s="60"/>
      <c r="E1561" s="62">
        <v>1</v>
      </c>
    </row>
    <row r="1562" spans="1:5" x14ac:dyDescent="0.35">
      <c r="A1562" s="63" t="s">
        <v>1754</v>
      </c>
      <c r="B1562" s="58" t="s">
        <v>1752</v>
      </c>
      <c r="C1562" s="58" t="s">
        <v>1827</v>
      </c>
      <c r="D1562" s="60"/>
      <c r="E1562" s="62">
        <v>1</v>
      </c>
    </row>
    <row r="1563" spans="1:5" x14ac:dyDescent="0.35">
      <c r="A1563" s="63" t="s">
        <v>1755</v>
      </c>
      <c r="B1563" s="58" t="s">
        <v>1752</v>
      </c>
      <c r="C1563" s="58" t="s">
        <v>1827</v>
      </c>
      <c r="D1563" s="60"/>
      <c r="E1563" s="62">
        <v>1</v>
      </c>
    </row>
    <row r="1564" spans="1:5" x14ac:dyDescent="0.35">
      <c r="A1564" s="63" t="s">
        <v>1756</v>
      </c>
      <c r="B1564" s="58" t="s">
        <v>1752</v>
      </c>
      <c r="C1564" s="58" t="s">
        <v>1827</v>
      </c>
      <c r="D1564" s="60"/>
      <c r="E1564" s="62">
        <v>1</v>
      </c>
    </row>
    <row r="1565" spans="1:5" x14ac:dyDescent="0.35">
      <c r="A1565" s="12" t="s">
        <v>1757</v>
      </c>
      <c r="B1565" s="58" t="s">
        <v>1752</v>
      </c>
      <c r="C1565" s="58" t="s">
        <v>1827</v>
      </c>
      <c r="D1565" s="60"/>
      <c r="E1565" s="62">
        <v>1</v>
      </c>
    </row>
    <row r="1566" spans="1:5" x14ac:dyDescent="0.35">
      <c r="A1566" s="12" t="s">
        <v>1758</v>
      </c>
      <c r="B1566" s="58" t="s">
        <v>1752</v>
      </c>
      <c r="C1566" s="58" t="s">
        <v>1827</v>
      </c>
      <c r="D1566" s="60"/>
      <c r="E1566" s="62">
        <v>1</v>
      </c>
    </row>
    <row r="1567" spans="1:5" x14ac:dyDescent="0.35">
      <c r="A1567" s="12" t="s">
        <v>1759</v>
      </c>
      <c r="B1567" s="58" t="s">
        <v>1752</v>
      </c>
      <c r="C1567" s="58" t="s">
        <v>1827</v>
      </c>
      <c r="D1567" s="60"/>
      <c r="E1567" s="62">
        <v>1</v>
      </c>
    </row>
    <row r="1568" spans="1:5" x14ac:dyDescent="0.35">
      <c r="A1568" s="12" t="s">
        <v>1760</v>
      </c>
      <c r="B1568" s="58" t="s">
        <v>1752</v>
      </c>
      <c r="C1568" s="58" t="s">
        <v>1827</v>
      </c>
      <c r="D1568" s="60"/>
      <c r="E1568" s="62">
        <v>1</v>
      </c>
    </row>
    <row r="1569" spans="1:5" x14ac:dyDescent="0.35">
      <c r="A1569" s="63" t="s">
        <v>1761</v>
      </c>
      <c r="B1569" s="58" t="s">
        <v>1752</v>
      </c>
      <c r="C1569" s="58" t="s">
        <v>1827</v>
      </c>
      <c r="D1569" s="60"/>
      <c r="E1569" s="62">
        <v>1</v>
      </c>
    </row>
    <row r="1570" spans="1:5" x14ac:dyDescent="0.35">
      <c r="A1570" s="12" t="s">
        <v>1762</v>
      </c>
      <c r="B1570" s="58" t="s">
        <v>1752</v>
      </c>
      <c r="C1570" s="58" t="s">
        <v>1827</v>
      </c>
      <c r="D1570" s="60"/>
      <c r="E1570" s="62">
        <v>1</v>
      </c>
    </row>
    <row r="1571" spans="1:5" x14ac:dyDescent="0.35">
      <c r="A1571" s="12" t="s">
        <v>1763</v>
      </c>
      <c r="B1571" s="58" t="s">
        <v>1752</v>
      </c>
      <c r="C1571" s="58" t="s">
        <v>1827</v>
      </c>
      <c r="D1571" s="60"/>
      <c r="E1571" s="62">
        <v>1</v>
      </c>
    </row>
    <row r="1572" spans="1:5" x14ac:dyDescent="0.35">
      <c r="A1572" s="12" t="s">
        <v>1764</v>
      </c>
      <c r="B1572" s="58" t="s">
        <v>1752</v>
      </c>
      <c r="C1572" s="58" t="s">
        <v>1827</v>
      </c>
      <c r="D1572" s="60"/>
      <c r="E1572" s="62">
        <v>1</v>
      </c>
    </row>
    <row r="1573" spans="1:5" x14ac:dyDescent="0.35">
      <c r="A1573" s="12" t="s">
        <v>1765</v>
      </c>
      <c r="B1573" s="58" t="s">
        <v>1752</v>
      </c>
      <c r="C1573" s="58" t="s">
        <v>1827</v>
      </c>
      <c r="D1573" s="60"/>
      <c r="E1573" s="62">
        <v>1</v>
      </c>
    </row>
    <row r="1574" spans="1:5" x14ac:dyDescent="0.35">
      <c r="A1574" s="12" t="s">
        <v>1766</v>
      </c>
      <c r="B1574" s="58" t="s">
        <v>1752</v>
      </c>
      <c r="C1574" s="58" t="s">
        <v>1827</v>
      </c>
      <c r="D1574" s="60"/>
      <c r="E1574" s="62">
        <v>1</v>
      </c>
    </row>
    <row r="1575" spans="1:5" x14ac:dyDescent="0.35">
      <c r="A1575" s="63" t="s">
        <v>1767</v>
      </c>
      <c r="B1575" s="58" t="s">
        <v>1752</v>
      </c>
      <c r="C1575" s="58" t="s">
        <v>1827</v>
      </c>
      <c r="D1575" s="60"/>
      <c r="E1575" s="62">
        <v>1</v>
      </c>
    </row>
    <row r="1576" spans="1:5" x14ac:dyDescent="0.35">
      <c r="A1576" s="12" t="s">
        <v>1768</v>
      </c>
      <c r="B1576" s="58" t="s">
        <v>1752</v>
      </c>
      <c r="C1576" s="58" t="s">
        <v>1827</v>
      </c>
      <c r="D1576" s="60"/>
      <c r="E1576" s="62">
        <v>1</v>
      </c>
    </row>
    <row r="1577" spans="1:5" x14ac:dyDescent="0.35">
      <c r="A1577" s="63" t="s">
        <v>1769</v>
      </c>
      <c r="B1577" s="58" t="s">
        <v>1752</v>
      </c>
      <c r="C1577" s="58" t="s">
        <v>1827</v>
      </c>
      <c r="D1577" s="60"/>
      <c r="E1577" s="62">
        <v>1</v>
      </c>
    </row>
    <row r="1578" spans="1:5" x14ac:dyDescent="0.35">
      <c r="A1578" s="12" t="s">
        <v>1770</v>
      </c>
      <c r="B1578" s="58" t="s">
        <v>1752</v>
      </c>
      <c r="C1578" s="58" t="s">
        <v>1827</v>
      </c>
      <c r="D1578" s="60"/>
      <c r="E1578" s="62">
        <v>1</v>
      </c>
    </row>
    <row r="1579" spans="1:5" x14ac:dyDescent="0.35">
      <c r="A1579" s="12" t="s">
        <v>1771</v>
      </c>
      <c r="B1579" s="58" t="s">
        <v>1752</v>
      </c>
      <c r="C1579" s="58" t="s">
        <v>1827</v>
      </c>
      <c r="D1579" s="60"/>
      <c r="E1579" s="62">
        <v>1</v>
      </c>
    </row>
    <row r="1580" spans="1:5" x14ac:dyDescent="0.35">
      <c r="A1580" s="63" t="s">
        <v>1772</v>
      </c>
      <c r="B1580" s="58" t="s">
        <v>1752</v>
      </c>
      <c r="C1580" s="58" t="s">
        <v>1827</v>
      </c>
      <c r="D1580" s="60"/>
      <c r="E1580" s="62">
        <v>1</v>
      </c>
    </row>
    <row r="1581" spans="1:5" x14ac:dyDescent="0.35">
      <c r="A1581" s="63" t="s">
        <v>1773</v>
      </c>
      <c r="B1581" s="58" t="s">
        <v>1752</v>
      </c>
      <c r="C1581" s="58" t="s">
        <v>1827</v>
      </c>
      <c r="D1581" s="60"/>
      <c r="E1581" s="62">
        <v>1</v>
      </c>
    </row>
    <row r="1582" spans="1:5" x14ac:dyDescent="0.35">
      <c r="A1582" s="12" t="s">
        <v>1774</v>
      </c>
      <c r="B1582" s="58" t="s">
        <v>1752</v>
      </c>
      <c r="C1582" s="58" t="s">
        <v>1827</v>
      </c>
      <c r="D1582" s="60"/>
      <c r="E1582" s="62">
        <v>1</v>
      </c>
    </row>
    <row r="1583" spans="1:5" x14ac:dyDescent="0.35">
      <c r="A1583" s="12" t="s">
        <v>1775</v>
      </c>
      <c r="B1583" s="58" t="s">
        <v>1752</v>
      </c>
      <c r="C1583" s="58" t="s">
        <v>1827</v>
      </c>
      <c r="D1583" s="60"/>
      <c r="E1583" s="62">
        <v>1</v>
      </c>
    </row>
    <row r="1584" spans="1:5" x14ac:dyDescent="0.35">
      <c r="A1584" s="12" t="s">
        <v>1776</v>
      </c>
      <c r="B1584" s="58" t="s">
        <v>1752</v>
      </c>
      <c r="C1584" s="58" t="s">
        <v>1827</v>
      </c>
      <c r="D1584" s="60"/>
      <c r="E1584" s="62">
        <v>1</v>
      </c>
    </row>
    <row r="1585" spans="1:5" x14ac:dyDescent="0.35">
      <c r="A1585" s="12" t="s">
        <v>1777</v>
      </c>
      <c r="B1585" s="58" t="s">
        <v>1752</v>
      </c>
      <c r="C1585" s="58" t="s">
        <v>1827</v>
      </c>
      <c r="D1585" s="60"/>
      <c r="E1585" s="62">
        <v>1</v>
      </c>
    </row>
    <row r="1586" spans="1:5" x14ac:dyDescent="0.35">
      <c r="A1586" s="12" t="s">
        <v>1778</v>
      </c>
      <c r="B1586" s="58" t="s">
        <v>1752</v>
      </c>
      <c r="C1586" s="58" t="s">
        <v>1827</v>
      </c>
      <c r="D1586" s="60"/>
      <c r="E1586" s="62">
        <v>1</v>
      </c>
    </row>
    <row r="1587" spans="1:5" x14ac:dyDescent="0.35">
      <c r="A1587" s="63" t="s">
        <v>1779</v>
      </c>
      <c r="B1587" s="58" t="s">
        <v>1752</v>
      </c>
      <c r="C1587" s="58" t="s">
        <v>1827</v>
      </c>
      <c r="D1587" s="60"/>
      <c r="E1587" s="62">
        <v>1</v>
      </c>
    </row>
    <row r="1588" spans="1:5" x14ac:dyDescent="0.35">
      <c r="A1588" s="63" t="s">
        <v>1780</v>
      </c>
      <c r="B1588" s="58" t="s">
        <v>1752</v>
      </c>
      <c r="C1588" s="58" t="s">
        <v>1827</v>
      </c>
      <c r="D1588" s="60"/>
      <c r="E1588" s="62">
        <v>1</v>
      </c>
    </row>
    <row r="1589" spans="1:5" x14ac:dyDescent="0.35">
      <c r="A1589" s="12" t="s">
        <v>1781</v>
      </c>
      <c r="B1589" s="58" t="s">
        <v>1752</v>
      </c>
      <c r="C1589" s="58" t="s">
        <v>1827</v>
      </c>
      <c r="D1589" s="60"/>
      <c r="E1589" s="62">
        <v>1</v>
      </c>
    </row>
    <row r="1590" spans="1:5" x14ac:dyDescent="0.35">
      <c r="A1590" s="12" t="s">
        <v>1782</v>
      </c>
      <c r="B1590" s="58" t="s">
        <v>1752</v>
      </c>
      <c r="C1590" s="58" t="s">
        <v>1827</v>
      </c>
      <c r="D1590" s="60"/>
      <c r="E1590" s="62">
        <v>1</v>
      </c>
    </row>
    <row r="1591" spans="1:5" x14ac:dyDescent="0.35">
      <c r="A1591" s="63" t="s">
        <v>1783</v>
      </c>
      <c r="B1591" s="58" t="s">
        <v>1752</v>
      </c>
      <c r="C1591" s="58" t="s">
        <v>1827</v>
      </c>
      <c r="D1591" s="60"/>
      <c r="E1591" s="62">
        <v>1</v>
      </c>
    </row>
    <row r="1592" spans="1:5" x14ac:dyDescent="0.35">
      <c r="A1592" s="12" t="s">
        <v>1784</v>
      </c>
      <c r="B1592" s="58" t="s">
        <v>1752</v>
      </c>
      <c r="C1592" s="58" t="s">
        <v>1827</v>
      </c>
      <c r="D1592" s="60"/>
      <c r="E1592" s="62">
        <v>1</v>
      </c>
    </row>
    <row r="1593" spans="1:5" x14ac:dyDescent="0.35">
      <c r="A1593" s="12" t="s">
        <v>1785</v>
      </c>
      <c r="B1593" s="58" t="s">
        <v>1752</v>
      </c>
      <c r="C1593" s="58" t="s">
        <v>1827</v>
      </c>
      <c r="D1593" s="60"/>
      <c r="E1593" s="62">
        <v>1</v>
      </c>
    </row>
    <row r="1594" spans="1:5" x14ac:dyDescent="0.35">
      <c r="A1594" s="12" t="s">
        <v>1786</v>
      </c>
      <c r="B1594" s="58" t="s">
        <v>1752</v>
      </c>
      <c r="C1594" s="58" t="s">
        <v>1827</v>
      </c>
      <c r="D1594" s="60"/>
      <c r="E1594" s="62">
        <v>1</v>
      </c>
    </row>
    <row r="1595" spans="1:5" x14ac:dyDescent="0.35">
      <c r="A1595" s="63" t="s">
        <v>1787</v>
      </c>
      <c r="B1595" s="58" t="s">
        <v>1752</v>
      </c>
      <c r="C1595" s="58" t="s">
        <v>1827</v>
      </c>
      <c r="D1595" s="60"/>
      <c r="E1595" s="62">
        <v>1</v>
      </c>
    </row>
    <row r="1596" spans="1:5" x14ac:dyDescent="0.35">
      <c r="A1596" s="12" t="s">
        <v>1788</v>
      </c>
      <c r="B1596" s="58" t="s">
        <v>1752</v>
      </c>
      <c r="C1596" s="58" t="s">
        <v>1827</v>
      </c>
      <c r="D1596" s="60"/>
      <c r="E1596" s="62">
        <v>1</v>
      </c>
    </row>
    <row r="1597" spans="1:5" x14ac:dyDescent="0.35">
      <c r="A1597" s="12" t="s">
        <v>1789</v>
      </c>
      <c r="B1597" s="58" t="s">
        <v>1752</v>
      </c>
      <c r="C1597" s="58" t="s">
        <v>1827</v>
      </c>
      <c r="D1597" s="60"/>
      <c r="E1597" s="62">
        <v>1</v>
      </c>
    </row>
    <row r="1598" spans="1:5" x14ac:dyDescent="0.35">
      <c r="A1598" s="12" t="s">
        <v>1790</v>
      </c>
      <c r="B1598" s="58" t="s">
        <v>1752</v>
      </c>
      <c r="C1598" s="58" t="s">
        <v>1827</v>
      </c>
      <c r="D1598" s="60"/>
      <c r="E1598" s="62">
        <v>1</v>
      </c>
    </row>
    <row r="1599" spans="1:5" x14ac:dyDescent="0.35">
      <c r="A1599" s="12" t="s">
        <v>1791</v>
      </c>
      <c r="B1599" s="58" t="s">
        <v>1752</v>
      </c>
      <c r="C1599" s="58" t="s">
        <v>1827</v>
      </c>
      <c r="D1599" s="60"/>
      <c r="E1599" s="62">
        <v>1</v>
      </c>
    </row>
    <row r="1600" spans="1:5" x14ac:dyDescent="0.35">
      <c r="A1600" s="63" t="s">
        <v>1792</v>
      </c>
      <c r="B1600" s="58" t="s">
        <v>1752</v>
      </c>
      <c r="C1600" s="58" t="s">
        <v>1827</v>
      </c>
      <c r="D1600" s="60"/>
      <c r="E1600" s="62">
        <v>1</v>
      </c>
    </row>
    <row r="1601" spans="1:5" x14ac:dyDescent="0.35">
      <c r="A1601" s="63" t="s">
        <v>1793</v>
      </c>
      <c r="B1601" s="58" t="s">
        <v>1752</v>
      </c>
      <c r="C1601" s="58" t="s">
        <v>1827</v>
      </c>
      <c r="D1601" s="60"/>
      <c r="E1601" s="62">
        <v>1</v>
      </c>
    </row>
    <row r="1602" spans="1:5" x14ac:dyDescent="0.35">
      <c r="A1602" s="63" t="s">
        <v>1794</v>
      </c>
      <c r="B1602" s="58" t="s">
        <v>1752</v>
      </c>
      <c r="C1602" s="58" t="s">
        <v>1827</v>
      </c>
      <c r="D1602" s="60"/>
      <c r="E1602" s="62">
        <v>1</v>
      </c>
    </row>
    <row r="1603" spans="1:5" x14ac:dyDescent="0.35">
      <c r="A1603" s="63" t="s">
        <v>1795</v>
      </c>
      <c r="B1603" s="58" t="s">
        <v>1752</v>
      </c>
      <c r="C1603" s="58" t="s">
        <v>1827</v>
      </c>
      <c r="D1603" s="60"/>
      <c r="E1603" s="62">
        <v>1</v>
      </c>
    </row>
    <row r="1604" spans="1:5" x14ac:dyDescent="0.35">
      <c r="A1604" s="12" t="s">
        <v>1796</v>
      </c>
      <c r="B1604" s="58" t="s">
        <v>1752</v>
      </c>
      <c r="C1604" s="58" t="s">
        <v>1827</v>
      </c>
      <c r="D1604" s="60"/>
      <c r="E1604" s="62">
        <v>1</v>
      </c>
    </row>
    <row r="1605" spans="1:5" x14ac:dyDescent="0.35">
      <c r="A1605" s="12" t="s">
        <v>1797</v>
      </c>
      <c r="B1605" s="58" t="s">
        <v>1752</v>
      </c>
      <c r="C1605" s="58" t="s">
        <v>1827</v>
      </c>
      <c r="D1605" s="60"/>
      <c r="E1605" s="62">
        <v>1</v>
      </c>
    </row>
    <row r="1606" spans="1:5" x14ac:dyDescent="0.35">
      <c r="A1606" s="12" t="s">
        <v>1798</v>
      </c>
      <c r="B1606" s="58" t="s">
        <v>1752</v>
      </c>
      <c r="C1606" s="58" t="s">
        <v>1827</v>
      </c>
      <c r="D1606" s="60"/>
      <c r="E1606" s="62">
        <v>1</v>
      </c>
    </row>
    <row r="1607" spans="1:5" x14ac:dyDescent="0.35">
      <c r="A1607" s="12" t="s">
        <v>1799</v>
      </c>
      <c r="B1607" s="58" t="s">
        <v>1752</v>
      </c>
      <c r="C1607" s="58" t="s">
        <v>1827</v>
      </c>
      <c r="D1607" s="60"/>
      <c r="E1607" s="62">
        <v>1</v>
      </c>
    </row>
    <row r="1608" spans="1:5" x14ac:dyDescent="0.35">
      <c r="A1608" s="63" t="s">
        <v>1800</v>
      </c>
      <c r="B1608" s="58" t="s">
        <v>1752</v>
      </c>
      <c r="C1608" s="58" t="s">
        <v>1827</v>
      </c>
      <c r="D1608" s="60"/>
      <c r="E1608" s="62">
        <v>1</v>
      </c>
    </row>
    <row r="1609" spans="1:5" x14ac:dyDescent="0.35">
      <c r="A1609" s="63" t="s">
        <v>1801</v>
      </c>
      <c r="B1609" s="58" t="s">
        <v>1752</v>
      </c>
      <c r="C1609" s="58" t="s">
        <v>1827</v>
      </c>
      <c r="D1609" s="60"/>
      <c r="E1609" s="62">
        <v>1</v>
      </c>
    </row>
    <row r="1610" spans="1:5" x14ac:dyDescent="0.35">
      <c r="A1610" s="12" t="s">
        <v>1802</v>
      </c>
      <c r="B1610" s="58" t="s">
        <v>1752</v>
      </c>
      <c r="C1610" s="58" t="s">
        <v>1827</v>
      </c>
      <c r="D1610" s="60"/>
      <c r="E1610" s="62">
        <v>1</v>
      </c>
    </row>
    <row r="1611" spans="1:5" x14ac:dyDescent="0.35">
      <c r="A1611" s="12" t="s">
        <v>1803</v>
      </c>
      <c r="B1611" s="58" t="s">
        <v>1752</v>
      </c>
      <c r="C1611" s="58" t="s">
        <v>1827</v>
      </c>
      <c r="D1611" s="60"/>
      <c r="E1611" s="62">
        <v>1</v>
      </c>
    </row>
    <row r="1612" spans="1:5" x14ac:dyDescent="0.35">
      <c r="A1612" s="12" t="s">
        <v>1804</v>
      </c>
      <c r="B1612" s="58" t="s">
        <v>1752</v>
      </c>
      <c r="C1612" s="58" t="s">
        <v>1827</v>
      </c>
      <c r="D1612" s="60"/>
      <c r="E1612" s="62">
        <v>1</v>
      </c>
    </row>
    <row r="1613" spans="1:5" x14ac:dyDescent="0.35">
      <c r="A1613" s="12" t="s">
        <v>1805</v>
      </c>
      <c r="B1613" s="58" t="s">
        <v>1752</v>
      </c>
      <c r="C1613" s="58" t="s">
        <v>1827</v>
      </c>
      <c r="D1613" s="60"/>
      <c r="E1613" s="62">
        <v>1</v>
      </c>
    </row>
    <row r="1614" spans="1:5" x14ac:dyDescent="0.35">
      <c r="A1614" s="12" t="s">
        <v>1806</v>
      </c>
      <c r="B1614" s="58" t="s">
        <v>1752</v>
      </c>
      <c r="C1614" s="58" t="s">
        <v>1827</v>
      </c>
      <c r="D1614" s="60"/>
      <c r="E1614" s="62">
        <v>1</v>
      </c>
    </row>
    <row r="1615" spans="1:5" x14ac:dyDescent="0.35">
      <c r="A1615" s="63" t="s">
        <v>1807</v>
      </c>
      <c r="B1615" s="58" t="s">
        <v>1752</v>
      </c>
      <c r="C1615" s="58" t="s">
        <v>1827</v>
      </c>
      <c r="D1615" s="60"/>
      <c r="E1615" s="62">
        <v>1</v>
      </c>
    </row>
    <row r="1616" spans="1:5" x14ac:dyDescent="0.35">
      <c r="A1616" s="12" t="s">
        <v>1808</v>
      </c>
      <c r="B1616" s="58" t="s">
        <v>1752</v>
      </c>
      <c r="C1616" s="58" t="s">
        <v>1827</v>
      </c>
      <c r="D1616" s="60"/>
      <c r="E1616" s="62">
        <v>1</v>
      </c>
    </row>
    <row r="1617" spans="1:5" x14ac:dyDescent="0.35">
      <c r="A1617" s="12" t="s">
        <v>1809</v>
      </c>
      <c r="B1617" s="58" t="s">
        <v>1752</v>
      </c>
      <c r="C1617" s="58" t="s">
        <v>1827</v>
      </c>
      <c r="D1617" s="60"/>
      <c r="E1617" s="62">
        <v>1</v>
      </c>
    </row>
    <row r="1618" spans="1:5" x14ac:dyDescent="0.35">
      <c r="A1618" s="63" t="s">
        <v>1810</v>
      </c>
      <c r="B1618" s="58" t="s">
        <v>1752</v>
      </c>
      <c r="C1618" s="58" t="s">
        <v>1827</v>
      </c>
      <c r="D1618" s="60"/>
      <c r="E1618" s="62">
        <v>1</v>
      </c>
    </row>
    <row r="1619" spans="1:5" x14ac:dyDescent="0.35">
      <c r="A1619" s="63" t="s">
        <v>1811</v>
      </c>
      <c r="B1619" s="58" t="s">
        <v>1752</v>
      </c>
      <c r="C1619" s="58" t="s">
        <v>1827</v>
      </c>
      <c r="D1619" s="60"/>
      <c r="E1619" s="62">
        <v>1</v>
      </c>
    </row>
    <row r="1620" spans="1:5" x14ac:dyDescent="0.35">
      <c r="A1620" s="12" t="s">
        <v>1812</v>
      </c>
      <c r="B1620" s="58" t="s">
        <v>1752</v>
      </c>
      <c r="C1620" s="58" t="s">
        <v>1827</v>
      </c>
      <c r="D1620" s="60"/>
      <c r="E1620" s="62">
        <v>1</v>
      </c>
    </row>
    <row r="1621" spans="1:5" x14ac:dyDescent="0.35">
      <c r="A1621" s="63" t="s">
        <v>1813</v>
      </c>
      <c r="B1621" s="58" t="s">
        <v>1752</v>
      </c>
      <c r="C1621" s="58" t="s">
        <v>1827</v>
      </c>
      <c r="D1621" s="60"/>
      <c r="E1621" s="62">
        <v>1</v>
      </c>
    </row>
    <row r="1622" spans="1:5" x14ac:dyDescent="0.35">
      <c r="A1622" s="63" t="s">
        <v>1814</v>
      </c>
      <c r="B1622" s="58" t="s">
        <v>1752</v>
      </c>
      <c r="C1622" s="58" t="s">
        <v>1827</v>
      </c>
      <c r="D1622" s="60"/>
      <c r="E1622" s="62">
        <v>1</v>
      </c>
    </row>
    <row r="1623" spans="1:5" x14ac:dyDescent="0.35">
      <c r="A1623" s="12" t="s">
        <v>1815</v>
      </c>
      <c r="B1623" s="58" t="s">
        <v>1752</v>
      </c>
      <c r="C1623" s="58" t="s">
        <v>1827</v>
      </c>
      <c r="D1623" s="60"/>
      <c r="E1623" s="62">
        <v>1</v>
      </c>
    </row>
    <row r="1624" spans="1:5" x14ac:dyDescent="0.35">
      <c r="A1624" s="12" t="s">
        <v>1816</v>
      </c>
      <c r="B1624" s="58" t="s">
        <v>1752</v>
      </c>
      <c r="C1624" s="58" t="s">
        <v>1827</v>
      </c>
      <c r="D1624" s="60"/>
      <c r="E1624" s="62">
        <v>1</v>
      </c>
    </row>
    <row r="1625" spans="1:5" x14ac:dyDescent="0.35">
      <c r="A1625" s="12" t="s">
        <v>1817</v>
      </c>
      <c r="B1625" s="58" t="s">
        <v>1752</v>
      </c>
      <c r="C1625" s="58" t="s">
        <v>1827</v>
      </c>
      <c r="D1625" s="60"/>
      <c r="E1625" s="62">
        <v>1</v>
      </c>
    </row>
    <row r="1626" spans="1:5" x14ac:dyDescent="0.35">
      <c r="A1626" s="12" t="s">
        <v>1818</v>
      </c>
      <c r="B1626" s="58" t="s">
        <v>1752</v>
      </c>
      <c r="C1626" s="58" t="s">
        <v>1827</v>
      </c>
      <c r="D1626" s="60"/>
      <c r="E1626" s="62">
        <v>1</v>
      </c>
    </row>
    <row r="1627" spans="1:5" x14ac:dyDescent="0.35">
      <c r="A1627" s="12" t="s">
        <v>1819</v>
      </c>
      <c r="B1627" s="58" t="s">
        <v>1752</v>
      </c>
      <c r="C1627" s="58" t="s">
        <v>1827</v>
      </c>
      <c r="D1627" s="60"/>
      <c r="E1627" s="62">
        <v>1</v>
      </c>
    </row>
    <row r="1628" spans="1:5" x14ac:dyDescent="0.35">
      <c r="A1628" s="63" t="s">
        <v>1820</v>
      </c>
      <c r="B1628" s="58" t="s">
        <v>1752</v>
      </c>
      <c r="C1628" s="58" t="s">
        <v>1827</v>
      </c>
      <c r="D1628" s="60"/>
      <c r="E1628" s="62">
        <v>1</v>
      </c>
    </row>
    <row r="1629" spans="1:5" x14ac:dyDescent="0.35">
      <c r="A1629" s="12" t="s">
        <v>1821</v>
      </c>
      <c r="B1629" s="58" t="s">
        <v>1752</v>
      </c>
      <c r="C1629" s="58" t="s">
        <v>1827</v>
      </c>
      <c r="D1629" s="60"/>
      <c r="E1629" s="62">
        <v>1</v>
      </c>
    </row>
    <row r="1630" spans="1:5" x14ac:dyDescent="0.35">
      <c r="A1630" s="63" t="s">
        <v>1822</v>
      </c>
      <c r="B1630" s="58" t="s">
        <v>1752</v>
      </c>
      <c r="C1630" s="58" t="s">
        <v>1827</v>
      </c>
      <c r="D1630" s="60"/>
      <c r="E1630" s="62">
        <v>1</v>
      </c>
    </row>
    <row r="1631" spans="1:5" x14ac:dyDescent="0.35">
      <c r="A1631" s="63" t="s">
        <v>1823</v>
      </c>
      <c r="B1631" s="58" t="s">
        <v>1752</v>
      </c>
      <c r="C1631" s="58" t="s">
        <v>1827</v>
      </c>
      <c r="D1631" s="60"/>
      <c r="E1631" s="62">
        <v>1</v>
      </c>
    </row>
    <row r="1632" spans="1:5" x14ac:dyDescent="0.35">
      <c r="A1632" s="12" t="s">
        <v>1824</v>
      </c>
      <c r="B1632" s="58" t="s">
        <v>1752</v>
      </c>
      <c r="C1632" s="58" t="s">
        <v>1827</v>
      </c>
      <c r="D1632" s="60"/>
      <c r="E1632" s="62">
        <v>1</v>
      </c>
    </row>
    <row r="1633" spans="1:5" x14ac:dyDescent="0.35">
      <c r="A1633" s="63" t="s">
        <v>1825</v>
      </c>
      <c r="B1633" s="58" t="s">
        <v>1752</v>
      </c>
      <c r="C1633" s="58" t="s">
        <v>1827</v>
      </c>
      <c r="D1633" s="60"/>
      <c r="E1633" s="62">
        <v>1</v>
      </c>
    </row>
    <row r="1634" spans="1:5" x14ac:dyDescent="0.35">
      <c r="A1634" s="46"/>
      <c r="B1634" s="60"/>
      <c r="C1634" s="60"/>
      <c r="D1634" s="60"/>
      <c r="E1634" s="61"/>
    </row>
    <row r="1635" spans="1:5" x14ac:dyDescent="0.35">
      <c r="A1635" s="63" t="s">
        <v>1826</v>
      </c>
      <c r="B1635" s="58">
        <v>1522</v>
      </c>
      <c r="C1635" s="58">
        <v>1559</v>
      </c>
      <c r="D1635" s="60"/>
      <c r="E1635" s="62">
        <v>1632</v>
      </c>
    </row>
    <row r="1636" spans="1:5" x14ac:dyDescent="0.35">
      <c r="A1636" s="59"/>
      <c r="B1636" s="59"/>
      <c r="C1636" s="59"/>
      <c r="D1636" s="59"/>
      <c r="E1636" s="59"/>
    </row>
    <row r="1637" spans="1:5" x14ac:dyDescent="0.35">
      <c r="A1637" s="59" t="s">
        <v>1835</v>
      </c>
      <c r="B1637" s="64">
        <v>1522</v>
      </c>
      <c r="C1637" s="64">
        <v>1559</v>
      </c>
      <c r="D1637" s="64"/>
      <c r="E1637" s="64">
        <v>1632</v>
      </c>
    </row>
    <row r="1638" spans="1:5" x14ac:dyDescent="0.35">
      <c r="A1638" s="59"/>
      <c r="B1638" s="59"/>
      <c r="C1638" s="59"/>
      <c r="D1638" s="59"/>
      <c r="E1638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57FB-56EA-4F51-8BDC-B5A623B657D2}">
  <dimension ref="A1:Z454"/>
  <sheetViews>
    <sheetView workbookViewId="0">
      <selection activeCell="I9" sqref="I9"/>
    </sheetView>
  </sheetViews>
  <sheetFormatPr defaultRowHeight="14.5" x14ac:dyDescent="0.35"/>
  <cols>
    <col min="1" max="1" width="20.26953125" bestFit="1" customWidth="1"/>
    <col min="13" max="13" width="12.54296875" bestFit="1" customWidth="1"/>
    <col min="21" max="21" width="20.36328125" bestFit="1" customWidth="1"/>
  </cols>
  <sheetData>
    <row r="1" spans="1:26" ht="15" thickBot="1" x14ac:dyDescent="0.4">
      <c r="B1" s="39" t="s">
        <v>1832</v>
      </c>
      <c r="C1" s="40"/>
      <c r="D1" s="40"/>
      <c r="E1" s="40"/>
      <c r="F1" s="41"/>
      <c r="G1" s="42" t="s">
        <v>1833</v>
      </c>
      <c r="H1" s="43"/>
      <c r="I1" s="43"/>
      <c r="J1" s="43"/>
      <c r="K1" s="44"/>
      <c r="L1" s="47" t="s">
        <v>2088</v>
      </c>
      <c r="M1" s="48"/>
      <c r="N1" s="48"/>
      <c r="O1" s="48"/>
      <c r="P1" s="49"/>
      <c r="R1" s="21" t="s">
        <v>1831</v>
      </c>
      <c r="S1" s="23" t="s">
        <v>1836</v>
      </c>
    </row>
    <row r="2" spans="1:26" x14ac:dyDescent="0.35">
      <c r="A2" s="6" t="s">
        <v>1748</v>
      </c>
      <c r="B2" s="4" t="s">
        <v>1828</v>
      </c>
      <c r="C2" s="4" t="s">
        <v>1829</v>
      </c>
      <c r="D2" s="4" t="s">
        <v>1830</v>
      </c>
      <c r="E2" s="4" t="s">
        <v>1749</v>
      </c>
      <c r="F2" s="25" t="s">
        <v>1826</v>
      </c>
      <c r="G2" s="7" t="s">
        <v>1828</v>
      </c>
      <c r="H2" s="7" t="s">
        <v>1829</v>
      </c>
      <c r="I2" s="7" t="s">
        <v>1830</v>
      </c>
      <c r="J2" s="7" t="s">
        <v>1749</v>
      </c>
      <c r="K2" s="28" t="s">
        <v>1826</v>
      </c>
      <c r="L2" s="50" t="s">
        <v>1828</v>
      </c>
      <c r="M2" s="50" t="s">
        <v>1829</v>
      </c>
      <c r="N2" s="50" t="s">
        <v>1830</v>
      </c>
      <c r="O2" s="50" t="s">
        <v>1749</v>
      </c>
      <c r="P2" s="51" t="s">
        <v>1826</v>
      </c>
      <c r="R2" s="21" t="s">
        <v>1826</v>
      </c>
      <c r="S2" s="20" t="s">
        <v>1826</v>
      </c>
      <c r="Z2" t="s">
        <v>15</v>
      </c>
    </row>
    <row r="3" spans="1:26" x14ac:dyDescent="0.35">
      <c r="A3" s="3" t="s">
        <v>4</v>
      </c>
      <c r="B3" s="5" t="str">
        <f>IF(ISERROR(VLOOKUP(A3,RDPLP!A3:A28,1,0)),"N","Y")</f>
        <v>Y</v>
      </c>
      <c r="C3" s="5" t="str">
        <f>IF(ISERROR(VLOOKUP(A3,'SCINET-PLP'!A:A,1,0)),"N","Y")</f>
        <v>N</v>
      </c>
      <c r="D3" s="5" t="str">
        <f>IF(ISERROR(VLOOKUP(A3,FLEXPLP!A:A,1,0)),"N","Y")</f>
        <v>N</v>
      </c>
      <c r="E3" s="5" t="str">
        <f>IF(ISERROR(VLOOKUP(A3,'ELN PLP'!A:A,1,0)),"N","Y")</f>
        <v>Y</v>
      </c>
      <c r="F3" s="26">
        <f>IF(COUNTIF(B3:E3,"Y")&gt;0,1,0)</f>
        <v>1</v>
      </c>
      <c r="G3" s="8" t="str">
        <f>IF(ISERROR(VLOOKUP(A3,RDPLP!D:D,1,0)),"N","Y")</f>
        <v>Y</v>
      </c>
      <c r="H3" s="8" t="str">
        <f>IF(ISERROR(VLOOKUP(A3,'SCINET-PLP'!D:D,1,0)),"N","Y")</f>
        <v>N</v>
      </c>
      <c r="I3" s="8" t="str">
        <f>IF(ISERROR(VLOOKUP(A3,FLEXPLP!D:D,1,0)),"N","Y")</f>
        <v>N</v>
      </c>
      <c r="J3" s="8" t="str">
        <f>IF(ISERROR(VLOOKUP(A3,'ELN PLP'!D:D,1,0)),"N","Y")</f>
        <v>Y</v>
      </c>
      <c r="K3" s="29">
        <f>IF(COUNTIF(G3:J3,"Y")&gt;0,1,0)</f>
        <v>1</v>
      </c>
      <c r="L3" s="52" t="str">
        <f>IF(ISERROR(VLOOKUP(A3,RDPLP!G:G,1,0)),"N","Y")</f>
        <v>Y</v>
      </c>
      <c r="M3" s="52" t="str">
        <f>IF(ISERROR(VLOOKUP(A3,'SCINET-PLP'!G:G,1,0)),"N","Y")</f>
        <v>N</v>
      </c>
      <c r="N3" s="52" t="str">
        <f>IF(ISERROR(VLOOKUP(A3,FLEXPLP!G:G,1,0)),"N","Y")</f>
        <v>N</v>
      </c>
      <c r="O3" s="52" t="str">
        <f>IF(ISERROR(VLOOKUP(A3,'ELN PLP'!G:G,1,0)),"N","Y")</f>
        <v>Y</v>
      </c>
      <c r="P3" s="53">
        <f>IF(COUNTIF(L3:O3,"Y")&gt;0,1,0)</f>
        <v>1</v>
      </c>
      <c r="R3" s="21">
        <f>IF(K3+F3&gt;0,1,0)</f>
        <v>1</v>
      </c>
      <c r="S3" s="24">
        <f>IF(ISERROR(VLOOKUP(A3,U:U,1,0)),0,1)</f>
        <v>0</v>
      </c>
      <c r="Z3" t="s">
        <v>77</v>
      </c>
    </row>
    <row r="4" spans="1:26" x14ac:dyDescent="0.35">
      <c r="A4" s="3" t="s">
        <v>6</v>
      </c>
      <c r="B4" s="5" t="str">
        <f>IF(ISERROR(VLOOKUP(A4,RDPLP!A4:A29,1,0)),"N","Y")</f>
        <v>Y</v>
      </c>
      <c r="C4" s="5" t="str">
        <f>IF(ISERROR(VLOOKUP(A4,'SCINET-PLP'!A:A,1,0)),"N","Y")</f>
        <v>N</v>
      </c>
      <c r="D4" s="5" t="str">
        <f>IF(ISERROR(VLOOKUP(A4,FLEXPLP!A:A,1,0)),"N","Y")</f>
        <v>Y</v>
      </c>
      <c r="E4" s="5" t="str">
        <f>IF(ISERROR(VLOOKUP(A4,'ELN PLP'!A:A,1,0)),"N","Y")</f>
        <v>N</v>
      </c>
      <c r="F4" s="26">
        <f t="shared" ref="F4:F67" si="0">IF(COUNTIF(B4:E4,"Y")&gt;0,1,0)</f>
        <v>1</v>
      </c>
      <c r="G4" s="8" t="str">
        <f>IF(ISERROR(VLOOKUP(A4,RDPLP!D:D,1,0)),"N","Y")</f>
        <v>Y</v>
      </c>
      <c r="H4" s="8" t="str">
        <f>IF(ISERROR(VLOOKUP(A4,'SCINET-PLP'!D:D,1,0)),"N","Y")</f>
        <v>N</v>
      </c>
      <c r="I4" s="8" t="str">
        <f>IF(ISERROR(VLOOKUP(A4,FLEXPLP!D:D,1,0)),"N","Y")</f>
        <v>Y</v>
      </c>
      <c r="J4" s="8" t="str">
        <f>IF(ISERROR(VLOOKUP(A4,'ELN PLP'!D:D,1,0)),"N","Y")</f>
        <v>N</v>
      </c>
      <c r="K4" s="29">
        <f t="shared" ref="K4:K67" si="1">IF(COUNTIF(G4:J4,"Y")&gt;0,1,0)</f>
        <v>1</v>
      </c>
      <c r="L4" s="52" t="str">
        <f>IF(ISERROR(VLOOKUP(A4,RDPLP!G:G,1,0)),"N","Y")</f>
        <v>Y</v>
      </c>
      <c r="M4" s="52" t="str">
        <f>IF(ISERROR(VLOOKUP(A4,'SCINET-PLP'!G:G,1,0)),"N","Y")</f>
        <v>Y</v>
      </c>
      <c r="N4" s="52" t="str">
        <f>IF(ISERROR(VLOOKUP(A4,FLEXPLP!G:G,1,0)),"N","Y")</f>
        <v>N</v>
      </c>
      <c r="O4" s="52" t="str">
        <f>IF(ISERROR(VLOOKUP(A4,'ELN PLP'!G:G,1,0)),"N","Y")</f>
        <v>N</v>
      </c>
      <c r="P4" s="53">
        <f t="shared" ref="P4:P67" si="2">IF(COUNTIF(L4:O4,"Y")&gt;0,1,0)</f>
        <v>1</v>
      </c>
      <c r="R4" s="21">
        <f>IF(K4+F4&gt;0,1,0)</f>
        <v>1</v>
      </c>
      <c r="S4" s="24">
        <f>IF(ISERROR(VLOOKUP(A4,U:U,1,0)),0,1)</f>
        <v>0</v>
      </c>
      <c r="Z4" t="s">
        <v>20</v>
      </c>
    </row>
    <row r="5" spans="1:26" x14ac:dyDescent="0.35">
      <c r="A5" s="3" t="s">
        <v>8</v>
      </c>
      <c r="B5" s="5" t="str">
        <f>IF(ISERROR(VLOOKUP(A5,RDPLP!A5:A30,1,0)),"N","Y")</f>
        <v>Y</v>
      </c>
      <c r="C5" s="5" t="str">
        <f>IF(ISERROR(VLOOKUP(A5,'SCINET-PLP'!A:A,1,0)),"N","Y")</f>
        <v>N</v>
      </c>
      <c r="D5" s="5" t="str">
        <f>IF(ISERROR(VLOOKUP(A5,FLEXPLP!A:A,1,0)),"N","Y")</f>
        <v>Y</v>
      </c>
      <c r="E5" s="5" t="str">
        <f>IF(ISERROR(VLOOKUP(A5,'ELN PLP'!A:A,1,0)),"N","Y")</f>
        <v>N</v>
      </c>
      <c r="F5" s="26">
        <f t="shared" si="0"/>
        <v>1</v>
      </c>
      <c r="G5" s="8" t="str">
        <f>IF(ISERROR(VLOOKUP(A5,RDPLP!D:D,1,0)),"N","Y")</f>
        <v>Y</v>
      </c>
      <c r="H5" s="8" t="str">
        <f>IF(ISERROR(VLOOKUP(A5,'SCINET-PLP'!D:D,1,0)),"N","Y")</f>
        <v>N</v>
      </c>
      <c r="I5" s="8" t="str">
        <f>IF(ISERROR(VLOOKUP(A5,FLEXPLP!D:D,1,0)),"N","Y")</f>
        <v>Y</v>
      </c>
      <c r="J5" s="8" t="str">
        <f>IF(ISERROR(VLOOKUP(A5,'ELN PLP'!D:D,1,0)),"N","Y")</f>
        <v>N</v>
      </c>
      <c r="K5" s="29">
        <f t="shared" si="1"/>
        <v>1</v>
      </c>
      <c r="L5" s="52" t="str">
        <f>IF(ISERROR(VLOOKUP(A5,RDPLP!G:G,1,0)),"N","Y")</f>
        <v>Y</v>
      </c>
      <c r="M5" s="52" t="str">
        <f>IF(ISERROR(VLOOKUP(A5,'SCINET-PLP'!G:G,1,0)),"N","Y")</f>
        <v>N</v>
      </c>
      <c r="N5" s="52" t="str">
        <f>IF(ISERROR(VLOOKUP(A5,FLEXPLP!G:G,1,0)),"N","Y")</f>
        <v>Y</v>
      </c>
      <c r="O5" s="52" t="str">
        <f>IF(ISERROR(VLOOKUP(A5,'ELN PLP'!G:G,1,0)),"N","Y")</f>
        <v>N</v>
      </c>
      <c r="P5" s="53">
        <f t="shared" si="2"/>
        <v>1</v>
      </c>
      <c r="R5" s="21">
        <f>IF(K5+F5&gt;0,1,0)</f>
        <v>1</v>
      </c>
      <c r="S5" s="24">
        <f>IF(ISERROR(VLOOKUP(A5,U:U,1,0)),0,1)</f>
        <v>0</v>
      </c>
      <c r="Z5" t="s">
        <v>14</v>
      </c>
    </row>
    <row r="6" spans="1:26" x14ac:dyDescent="0.35">
      <c r="A6" s="3" t="s">
        <v>10</v>
      </c>
      <c r="B6" s="5" t="str">
        <f>IF(ISERROR(VLOOKUP(A6,RDPLP!A6:A31,1,0)),"N","Y")</f>
        <v>Y</v>
      </c>
      <c r="C6" s="5" t="str">
        <f>IF(ISERROR(VLOOKUP(A6,'SCINET-PLP'!A:A,1,0)),"N","Y")</f>
        <v>N</v>
      </c>
      <c r="D6" s="5" t="str">
        <f>IF(ISERROR(VLOOKUP(A6,FLEXPLP!A:A,1,0)),"N","Y")</f>
        <v>Y</v>
      </c>
      <c r="E6" s="5" t="str">
        <f>IF(ISERROR(VLOOKUP(A6,'ELN PLP'!A:A,1,0)),"N","Y")</f>
        <v>N</v>
      </c>
      <c r="F6" s="26">
        <f t="shared" si="0"/>
        <v>1</v>
      </c>
      <c r="G6" s="8" t="str">
        <f>IF(ISERROR(VLOOKUP(A6,RDPLP!D:D,1,0)),"N","Y")</f>
        <v>Y</v>
      </c>
      <c r="H6" s="8" t="str">
        <f>IF(ISERROR(VLOOKUP(A6,'SCINET-PLP'!D:D,1,0)),"N","Y")</f>
        <v>N</v>
      </c>
      <c r="I6" s="8" t="str">
        <f>IF(ISERROR(VLOOKUP(A6,FLEXPLP!D:D,1,0)),"N","Y")</f>
        <v>Y</v>
      </c>
      <c r="J6" s="8" t="str">
        <f>IF(ISERROR(VLOOKUP(A6,'ELN PLP'!D:D,1,0)),"N","Y")</f>
        <v>N</v>
      </c>
      <c r="K6" s="29">
        <f t="shared" si="1"/>
        <v>1</v>
      </c>
      <c r="L6" s="52" t="str">
        <f>IF(ISERROR(VLOOKUP(A6,RDPLP!G:G,1,0)),"N","Y")</f>
        <v>Y</v>
      </c>
      <c r="M6" s="52" t="str">
        <f>IF(ISERROR(VLOOKUP(A6,'SCINET-PLP'!G:G,1,0)),"N","Y")</f>
        <v>N</v>
      </c>
      <c r="N6" s="52" t="str">
        <f>IF(ISERROR(VLOOKUP(A6,FLEXPLP!G:G,1,0)),"N","Y")</f>
        <v>Y</v>
      </c>
      <c r="O6" s="52" t="str">
        <f>IF(ISERROR(VLOOKUP(A6,'ELN PLP'!G:G,1,0)),"N","Y")</f>
        <v>N</v>
      </c>
      <c r="P6" s="53">
        <f t="shared" si="2"/>
        <v>1</v>
      </c>
      <c r="R6" s="21">
        <f>IF(K6+F6&gt;0,1,0)</f>
        <v>1</v>
      </c>
      <c r="S6" s="24">
        <f>IF(ISERROR(VLOOKUP(A6,U:U,1,0)),0,1)</f>
        <v>0</v>
      </c>
      <c r="Z6" t="s">
        <v>9</v>
      </c>
    </row>
    <row r="7" spans="1:26" x14ac:dyDescent="0.35">
      <c r="A7" s="3" t="s">
        <v>9</v>
      </c>
      <c r="B7" s="5" t="str">
        <f>IF(ISERROR(VLOOKUP(A7,RDPLP!A7:A32,1,0)),"N","Y")</f>
        <v>Y</v>
      </c>
      <c r="C7" s="5" t="str">
        <f>IF(ISERROR(VLOOKUP(A7,'SCINET-PLP'!A:A,1,0)),"N","Y")</f>
        <v>N</v>
      </c>
      <c r="D7" s="5" t="str">
        <f>IF(ISERROR(VLOOKUP(A7,FLEXPLP!A:A,1,0)),"N","Y")</f>
        <v>Y</v>
      </c>
      <c r="E7" s="5" t="str">
        <f>IF(ISERROR(VLOOKUP(A7,'ELN PLP'!A:A,1,0)),"N","Y")</f>
        <v>N</v>
      </c>
      <c r="F7" s="26">
        <f t="shared" si="0"/>
        <v>1</v>
      </c>
      <c r="G7" s="8" t="str">
        <f>IF(ISERROR(VLOOKUP(A7,RDPLP!D:D,1,0)),"N","Y")</f>
        <v>Y</v>
      </c>
      <c r="H7" s="8" t="str">
        <f>IF(ISERROR(VLOOKUP(A7,'SCINET-PLP'!D:D,1,0)),"N","Y")</f>
        <v>N</v>
      </c>
      <c r="I7" s="8" t="str">
        <f>IF(ISERROR(VLOOKUP(A7,FLEXPLP!D:D,1,0)),"N","Y")</f>
        <v>N</v>
      </c>
      <c r="J7" s="8" t="str">
        <f>IF(ISERROR(VLOOKUP(A7,'ELN PLP'!D:D,1,0)),"N","Y")</f>
        <v>N</v>
      </c>
      <c r="K7" s="29">
        <f t="shared" si="1"/>
        <v>1</v>
      </c>
      <c r="L7" s="52" t="str">
        <f>IF(ISERROR(VLOOKUP(A7,RDPLP!G:G,1,0)),"N","Y")</f>
        <v>Y</v>
      </c>
      <c r="M7" s="52" t="str">
        <f>IF(ISERROR(VLOOKUP(A7,'SCINET-PLP'!G:G,1,0)),"N","Y")</f>
        <v>N</v>
      </c>
      <c r="N7" s="52" t="str">
        <f>IF(ISERROR(VLOOKUP(A7,FLEXPLP!G:G,1,0)),"N","Y")</f>
        <v>Y</v>
      </c>
      <c r="O7" s="52" t="str">
        <f>IF(ISERROR(VLOOKUP(A7,'ELN PLP'!G:G,1,0)),"N","Y")</f>
        <v>N</v>
      </c>
      <c r="P7" s="53">
        <f t="shared" si="2"/>
        <v>1</v>
      </c>
      <c r="R7" s="21">
        <f>IF(K7+F7&gt;0,1,0)</f>
        <v>1</v>
      </c>
      <c r="S7" s="24">
        <f>IF(ISERROR(VLOOKUP(A7,U:U,1,0)),0,1)</f>
        <v>0</v>
      </c>
      <c r="Z7" t="s">
        <v>34</v>
      </c>
    </row>
    <row r="8" spans="1:26" x14ac:dyDescent="0.35">
      <c r="A8" s="3" t="s">
        <v>13</v>
      </c>
      <c r="B8" s="5" t="str">
        <f>IF(ISERROR(VLOOKUP(A8,RDPLP!A8:A33,1,0)),"N","Y")</f>
        <v>Y</v>
      </c>
      <c r="C8" s="5" t="str">
        <f>IF(ISERROR(VLOOKUP(A8,'SCINET-PLP'!A:A,1,0)),"N","Y")</f>
        <v>Y</v>
      </c>
      <c r="D8" s="5" t="str">
        <f>IF(ISERROR(VLOOKUP(A8,FLEXPLP!A:A,1,0)),"N","Y")</f>
        <v>Y</v>
      </c>
      <c r="E8" s="5" t="str">
        <f>IF(ISERROR(VLOOKUP(A8,'ELN PLP'!A:A,1,0)),"N","Y")</f>
        <v>Y</v>
      </c>
      <c r="F8" s="26">
        <f t="shared" si="0"/>
        <v>1</v>
      </c>
      <c r="G8" s="8" t="str">
        <f>IF(ISERROR(VLOOKUP(A8,RDPLP!D:D,1,0)),"N","Y")</f>
        <v>Y</v>
      </c>
      <c r="H8" s="8" t="str">
        <f>IF(ISERROR(VLOOKUP(A8,'SCINET-PLP'!D:D,1,0)),"N","Y")</f>
        <v>Y</v>
      </c>
      <c r="I8" s="8" t="str">
        <f>IF(ISERROR(VLOOKUP(A8,FLEXPLP!D:D,1,0)),"N","Y")</f>
        <v>Y</v>
      </c>
      <c r="J8" s="8" t="str">
        <f>IF(ISERROR(VLOOKUP(A8,'ELN PLP'!D:D,1,0)),"N","Y")</f>
        <v>Y</v>
      </c>
      <c r="K8" s="29">
        <f t="shared" si="1"/>
        <v>1</v>
      </c>
      <c r="L8" s="52" t="str">
        <f>IF(ISERROR(VLOOKUP(A8,RDPLP!G:G,1,0)),"N","Y")</f>
        <v>Y</v>
      </c>
      <c r="M8" s="52" t="str">
        <f>IF(ISERROR(VLOOKUP(A8,'SCINET-PLP'!G:G,1,0)),"N","Y")</f>
        <v>Y</v>
      </c>
      <c r="N8" s="52" t="str">
        <f>IF(ISERROR(VLOOKUP(A8,FLEXPLP!G:G,1,0)),"N","Y")</f>
        <v>Y</v>
      </c>
      <c r="O8" s="52" t="str">
        <f>IF(ISERROR(VLOOKUP(A8,'ELN PLP'!G:G,1,0)),"N","Y")</f>
        <v>Y</v>
      </c>
      <c r="P8" s="53">
        <f t="shared" si="2"/>
        <v>1</v>
      </c>
      <c r="R8" s="21">
        <f>IF(K8+F8&gt;0,1,0)</f>
        <v>1</v>
      </c>
      <c r="S8" s="24">
        <f>IF(ISERROR(VLOOKUP(A8,U:U,1,0)),0,1)</f>
        <v>0</v>
      </c>
      <c r="Z8" t="s">
        <v>1851</v>
      </c>
    </row>
    <row r="9" spans="1:26" x14ac:dyDescent="0.35">
      <c r="A9" s="3" t="s">
        <v>15</v>
      </c>
      <c r="B9" s="5" t="str">
        <f>IF(ISERROR(VLOOKUP(A9,RDPLP!A9:A34,1,0)),"N","Y")</f>
        <v>Y</v>
      </c>
      <c r="C9" s="5" t="str">
        <f>IF(ISERROR(VLOOKUP(A9,'SCINET-PLP'!A:A,1,0)),"N","Y")</f>
        <v>N</v>
      </c>
      <c r="D9" s="5" t="str">
        <f>IF(ISERROR(VLOOKUP(A9,FLEXPLP!A:A,1,0)),"N","Y")</f>
        <v>Y</v>
      </c>
      <c r="E9" s="5" t="str">
        <f>IF(ISERROR(VLOOKUP(A9,'ELN PLP'!A:A,1,0)),"N","Y")</f>
        <v>N</v>
      </c>
      <c r="F9" s="26">
        <f t="shared" si="0"/>
        <v>1</v>
      </c>
      <c r="G9" s="8" t="str">
        <f>IF(ISERROR(VLOOKUP(A9,RDPLP!D:D,1,0)),"N","Y")</f>
        <v>Y</v>
      </c>
      <c r="H9" s="8" t="str">
        <f>IF(ISERROR(VLOOKUP(A9,'SCINET-PLP'!D:D,1,0)),"N","Y")</f>
        <v>N</v>
      </c>
      <c r="I9" s="8" t="str">
        <f>IF(ISERROR(VLOOKUP(A9,FLEXPLP!D:D,1,0)),"N","Y")</f>
        <v>Y</v>
      </c>
      <c r="J9" s="8" t="str">
        <f>IF(ISERROR(VLOOKUP(A9,'ELN PLP'!D:D,1,0)),"N","Y")</f>
        <v>N</v>
      </c>
      <c r="K9" s="29">
        <f t="shared" si="1"/>
        <v>1</v>
      </c>
      <c r="L9" s="52" t="str">
        <f>IF(ISERROR(VLOOKUP(A9,RDPLP!G:G,1,0)),"N","Y")</f>
        <v>Y</v>
      </c>
      <c r="M9" s="52" t="str">
        <f>IF(ISERROR(VLOOKUP(A9,'SCINET-PLP'!G:G,1,0)),"N","Y")</f>
        <v>N</v>
      </c>
      <c r="N9" s="52" t="str">
        <f>IF(ISERROR(VLOOKUP(A9,FLEXPLP!G:G,1,0)),"N","Y")</f>
        <v>Y</v>
      </c>
      <c r="O9" s="52" t="str">
        <f>IF(ISERROR(VLOOKUP(A9,'ELN PLP'!G:G,1,0)),"N","Y")</f>
        <v>N</v>
      </c>
      <c r="P9" s="53">
        <f t="shared" si="2"/>
        <v>1</v>
      </c>
      <c r="R9" s="21">
        <f>IF(K9+F9&gt;0,1,0)</f>
        <v>1</v>
      </c>
      <c r="S9" s="24">
        <f>IF(ISERROR(VLOOKUP(A9,U:U,1,0)),0,1)</f>
        <v>0</v>
      </c>
      <c r="Z9" t="s">
        <v>1853</v>
      </c>
    </row>
    <row r="10" spans="1:26" x14ac:dyDescent="0.35">
      <c r="A10" s="3" t="s">
        <v>17</v>
      </c>
      <c r="B10" s="5" t="str">
        <f>IF(ISERROR(VLOOKUP(A10,RDPLP!A10:A35,1,0)),"N","Y")</f>
        <v>Y</v>
      </c>
      <c r="C10" s="5" t="str">
        <f>IF(ISERROR(VLOOKUP(A10,'SCINET-PLP'!A:A,1,0)),"N","Y")</f>
        <v>N</v>
      </c>
      <c r="D10" s="5" t="str">
        <f>IF(ISERROR(VLOOKUP(A10,FLEXPLP!A:A,1,0)),"N","Y")</f>
        <v>Y</v>
      </c>
      <c r="E10" s="5" t="str">
        <f>IF(ISERROR(VLOOKUP(A10,'ELN PLP'!A:A,1,0)),"N","Y")</f>
        <v>N</v>
      </c>
      <c r="F10" s="26">
        <f t="shared" si="0"/>
        <v>1</v>
      </c>
      <c r="G10" s="8" t="str">
        <f>IF(ISERROR(VLOOKUP(A10,RDPLP!D:D,1,0)),"N","Y")</f>
        <v>Y</v>
      </c>
      <c r="H10" s="8" t="str">
        <f>IF(ISERROR(VLOOKUP(A10,'SCINET-PLP'!D:D,1,0)),"N","Y")</f>
        <v>N</v>
      </c>
      <c r="I10" s="8" t="str">
        <f>IF(ISERROR(VLOOKUP(A10,FLEXPLP!D:D,1,0)),"N","Y")</f>
        <v>N</v>
      </c>
      <c r="J10" s="8" t="str">
        <f>IF(ISERROR(VLOOKUP(A10,'ELN PLP'!D:D,1,0)),"N","Y")</f>
        <v>N</v>
      </c>
      <c r="K10" s="29">
        <f t="shared" si="1"/>
        <v>1</v>
      </c>
      <c r="L10" s="52" t="str">
        <f>IF(ISERROR(VLOOKUP(A10,RDPLP!G:G,1,0)),"N","Y")</f>
        <v>N</v>
      </c>
      <c r="M10" s="52" t="str">
        <f>IF(ISERROR(VLOOKUP(A10,'SCINET-PLP'!G:G,1,0)),"N","Y")</f>
        <v>N</v>
      </c>
      <c r="N10" s="52" t="str">
        <f>IF(ISERROR(VLOOKUP(A10,FLEXPLP!G:G,1,0)),"N","Y")</f>
        <v>Y</v>
      </c>
      <c r="O10" s="52" t="str">
        <f>IF(ISERROR(VLOOKUP(A10,'ELN PLP'!G:G,1,0)),"N","Y")</f>
        <v>N</v>
      </c>
      <c r="P10" s="53">
        <f t="shared" si="2"/>
        <v>1</v>
      </c>
      <c r="R10" s="21">
        <f>IF(K10+F10&gt;0,1,0)</f>
        <v>1</v>
      </c>
      <c r="S10" s="24">
        <f>IF(ISERROR(VLOOKUP(A10,U:U,1,0)),0,1)</f>
        <v>0</v>
      </c>
      <c r="Z10" t="s">
        <v>13</v>
      </c>
    </row>
    <row r="11" spans="1:26" x14ac:dyDescent="0.35">
      <c r="A11" s="3" t="s">
        <v>19</v>
      </c>
      <c r="B11" s="5" t="str">
        <f>IF(ISERROR(VLOOKUP(A11,RDPLP!A11:A36,1,0)),"N","Y")</f>
        <v>Y</v>
      </c>
      <c r="C11" s="5" t="str">
        <f>IF(ISERROR(VLOOKUP(A11,'SCINET-PLP'!A:A,1,0)),"N","Y")</f>
        <v>N</v>
      </c>
      <c r="D11" s="5" t="str">
        <f>IF(ISERROR(VLOOKUP(A11,FLEXPLP!A:A,1,0)),"N","Y")</f>
        <v>Y</v>
      </c>
      <c r="E11" s="5" t="str">
        <f>IF(ISERROR(VLOOKUP(A11,'ELN PLP'!A:A,1,0)),"N","Y")</f>
        <v>N</v>
      </c>
      <c r="F11" s="26">
        <f t="shared" si="0"/>
        <v>1</v>
      </c>
      <c r="G11" s="8" t="str">
        <f>IF(ISERROR(VLOOKUP(A11,RDPLP!D:D,1,0)),"N","Y")</f>
        <v>Y</v>
      </c>
      <c r="H11" s="8" t="str">
        <f>IF(ISERROR(VLOOKUP(A11,'SCINET-PLP'!D:D,1,0)),"N","Y")</f>
        <v>N</v>
      </c>
      <c r="I11" s="8" t="str">
        <f>IF(ISERROR(VLOOKUP(A11,FLEXPLP!D:D,1,0)),"N","Y")</f>
        <v>Y</v>
      </c>
      <c r="J11" s="8" t="str">
        <f>IF(ISERROR(VLOOKUP(A11,'ELN PLP'!D:D,1,0)),"N","Y")</f>
        <v>N</v>
      </c>
      <c r="K11" s="29">
        <f t="shared" si="1"/>
        <v>1</v>
      </c>
      <c r="L11" s="52" t="str">
        <f>IF(ISERROR(VLOOKUP(A11,RDPLP!G:G,1,0)),"N","Y")</f>
        <v>N</v>
      </c>
      <c r="M11" s="52" t="str">
        <f>IF(ISERROR(VLOOKUP(A11,'SCINET-PLP'!G:G,1,0)),"N","Y")</f>
        <v>N</v>
      </c>
      <c r="N11" s="52" t="str">
        <f>IF(ISERROR(VLOOKUP(A11,FLEXPLP!G:G,1,0)),"N","Y")</f>
        <v>N</v>
      </c>
      <c r="O11" s="52" t="str">
        <f>IF(ISERROR(VLOOKUP(A11,'ELN PLP'!G:G,1,0)),"N","Y")</f>
        <v>N</v>
      </c>
      <c r="P11" s="53">
        <f t="shared" si="2"/>
        <v>0</v>
      </c>
      <c r="R11" s="21">
        <f>IF(K11+F11&gt;0,1,0)</f>
        <v>1</v>
      </c>
      <c r="S11" s="24">
        <f>IF(ISERROR(VLOOKUP(A11,U:U,1,0)),0,1)</f>
        <v>0</v>
      </c>
      <c r="Z11" t="s">
        <v>32</v>
      </c>
    </row>
    <row r="12" spans="1:26" x14ac:dyDescent="0.35">
      <c r="A12" s="3" t="s">
        <v>20</v>
      </c>
      <c r="B12" s="5" t="str">
        <f>IF(ISERROR(VLOOKUP(A12,RDPLP!A12:A37,1,0)),"N","Y")</f>
        <v>Y</v>
      </c>
      <c r="C12" s="5" t="str">
        <f>IF(ISERROR(VLOOKUP(A12,'SCINET-PLP'!A:A,1,0)),"N","Y")</f>
        <v>N</v>
      </c>
      <c r="D12" s="5" t="str">
        <f>IF(ISERROR(VLOOKUP(A12,FLEXPLP!A:A,1,0)),"N","Y")</f>
        <v>Y</v>
      </c>
      <c r="E12" s="5" t="str">
        <f>IF(ISERROR(VLOOKUP(A12,'ELN PLP'!A:A,1,0)),"N","Y")</f>
        <v>N</v>
      </c>
      <c r="F12" s="26">
        <f t="shared" si="0"/>
        <v>1</v>
      </c>
      <c r="G12" s="8" t="str">
        <f>IF(ISERROR(VLOOKUP(A12,RDPLP!D:D,1,0)),"N","Y")</f>
        <v>Y</v>
      </c>
      <c r="H12" s="8" t="str">
        <f>IF(ISERROR(VLOOKUP(A12,'SCINET-PLP'!D:D,1,0)),"N","Y")</f>
        <v>N</v>
      </c>
      <c r="I12" s="8" t="str">
        <f>IF(ISERROR(VLOOKUP(A12,FLEXPLP!D:D,1,0)),"N","Y")</f>
        <v>Y</v>
      </c>
      <c r="J12" s="8" t="str">
        <f>IF(ISERROR(VLOOKUP(A12,'ELN PLP'!D:D,1,0)),"N","Y")</f>
        <v>N</v>
      </c>
      <c r="K12" s="29">
        <f t="shared" si="1"/>
        <v>1</v>
      </c>
      <c r="L12" s="52" t="str">
        <f>IF(ISERROR(VLOOKUP(A12,RDPLP!G:G,1,0)),"N","Y")</f>
        <v>Y</v>
      </c>
      <c r="M12" s="52" t="str">
        <f>IF(ISERROR(VLOOKUP(A12,'SCINET-PLP'!G:G,1,0)),"N","Y")</f>
        <v>N</v>
      </c>
      <c r="N12" s="52" t="str">
        <f>IF(ISERROR(VLOOKUP(A12,FLEXPLP!G:G,1,0)),"N","Y")</f>
        <v>Y</v>
      </c>
      <c r="O12" s="52" t="str">
        <f>IF(ISERROR(VLOOKUP(A12,'ELN PLP'!G:G,1,0)),"N","Y")</f>
        <v>N</v>
      </c>
      <c r="P12" s="53">
        <f t="shared" si="2"/>
        <v>1</v>
      </c>
      <c r="R12" s="21">
        <f>IF(K12+F12&gt;0,1,0)</f>
        <v>1</v>
      </c>
      <c r="S12" s="24">
        <f>IF(ISERROR(VLOOKUP(A12,U:U,1,0)),0,1)</f>
        <v>0</v>
      </c>
      <c r="Z12" t="s">
        <v>1861</v>
      </c>
    </row>
    <row r="13" spans="1:26" x14ac:dyDescent="0.35">
      <c r="A13" s="3" t="s">
        <v>5</v>
      </c>
      <c r="B13" s="5" t="str">
        <f>IF(ISERROR(VLOOKUP(A13,RDPLP!A13:A38,1,0)),"N","Y")</f>
        <v>Y</v>
      </c>
      <c r="C13" s="5" t="str">
        <f>IF(ISERROR(VLOOKUP(A13,'SCINET-PLP'!A:A,1,0)),"N","Y")</f>
        <v>N</v>
      </c>
      <c r="D13" s="5" t="str">
        <f>IF(ISERROR(VLOOKUP(A13,FLEXPLP!A:A,1,0)),"N","Y")</f>
        <v>N</v>
      </c>
      <c r="E13" s="5" t="str">
        <f>IF(ISERROR(VLOOKUP(A13,'ELN PLP'!A:A,1,0)),"N","Y")</f>
        <v>N</v>
      </c>
      <c r="F13" s="26">
        <f t="shared" si="0"/>
        <v>1</v>
      </c>
      <c r="G13" s="8" t="str">
        <f>IF(ISERROR(VLOOKUP(A13,RDPLP!D:D,1,0)),"N","Y")</f>
        <v>Y</v>
      </c>
      <c r="H13" s="8" t="str">
        <f>IF(ISERROR(VLOOKUP(A13,'SCINET-PLP'!D:D,1,0)),"N","Y")</f>
        <v>N</v>
      </c>
      <c r="I13" s="8" t="str">
        <f>IF(ISERROR(VLOOKUP(A13,FLEXPLP!D:D,1,0)),"N","Y")</f>
        <v>Y</v>
      </c>
      <c r="J13" s="8" t="str">
        <f>IF(ISERROR(VLOOKUP(A13,'ELN PLP'!D:D,1,0)),"N","Y")</f>
        <v>N</v>
      </c>
      <c r="K13" s="29">
        <f t="shared" si="1"/>
        <v>1</v>
      </c>
      <c r="L13" s="52" t="str">
        <f>IF(ISERROR(VLOOKUP(A13,RDPLP!G:G,1,0)),"N","Y")</f>
        <v>N</v>
      </c>
      <c r="M13" s="52" t="str">
        <f>IF(ISERROR(VLOOKUP(A13,'SCINET-PLP'!G:G,1,0)),"N","Y")</f>
        <v>N</v>
      </c>
      <c r="N13" s="52" t="str">
        <f>IF(ISERROR(VLOOKUP(A13,FLEXPLP!G:G,1,0)),"N","Y")</f>
        <v>N</v>
      </c>
      <c r="O13" s="52" t="str">
        <f>IF(ISERROR(VLOOKUP(A13,'ELN PLP'!G:G,1,0)),"N","Y")</f>
        <v>N</v>
      </c>
      <c r="P13" s="53">
        <f t="shared" si="2"/>
        <v>0</v>
      </c>
      <c r="R13" s="21">
        <f>IF(K13+F13&gt;0,1,0)</f>
        <v>1</v>
      </c>
      <c r="S13" s="24">
        <f>IF(ISERROR(VLOOKUP(A13,U:U,1,0)),0,1)</f>
        <v>0</v>
      </c>
      <c r="Z13" t="s">
        <v>5</v>
      </c>
    </row>
    <row r="14" spans="1:26" x14ac:dyDescent="0.35">
      <c r="A14" s="3" t="s">
        <v>23</v>
      </c>
      <c r="B14" s="5" t="str">
        <f>IF(ISERROR(VLOOKUP(A14,RDPLP!A14:A39,1,0)),"N","Y")</f>
        <v>Y</v>
      </c>
      <c r="C14" s="5" t="str">
        <f>IF(ISERROR(VLOOKUP(A14,'SCINET-PLP'!A:A,1,0)),"N","Y")</f>
        <v>N</v>
      </c>
      <c r="D14" s="5" t="str">
        <f>IF(ISERROR(VLOOKUP(A14,FLEXPLP!A:A,1,0)),"N","Y")</f>
        <v>Y</v>
      </c>
      <c r="E14" s="5" t="str">
        <f>IF(ISERROR(VLOOKUP(A14,'ELN PLP'!A:A,1,0)),"N","Y")</f>
        <v>N</v>
      </c>
      <c r="F14" s="26">
        <f t="shared" si="0"/>
        <v>1</v>
      </c>
      <c r="G14" s="8" t="str">
        <f>IF(ISERROR(VLOOKUP(A14,RDPLP!D:D,1,0)),"N","Y")</f>
        <v>Y</v>
      </c>
      <c r="H14" s="8" t="str">
        <f>IF(ISERROR(VLOOKUP(A14,'SCINET-PLP'!D:D,1,0)),"N","Y")</f>
        <v>N</v>
      </c>
      <c r="I14" s="8" t="str">
        <f>IF(ISERROR(VLOOKUP(A14,FLEXPLP!D:D,1,0)),"N","Y")</f>
        <v>Y</v>
      </c>
      <c r="J14" s="8" t="str">
        <f>IF(ISERROR(VLOOKUP(A14,'ELN PLP'!D:D,1,0)),"N","Y")</f>
        <v>N</v>
      </c>
      <c r="K14" s="29">
        <f t="shared" si="1"/>
        <v>1</v>
      </c>
      <c r="L14" s="52" t="str">
        <f>IF(ISERROR(VLOOKUP(A14,RDPLP!G:G,1,0)),"N","Y")</f>
        <v>Y</v>
      </c>
      <c r="M14" s="52" t="str">
        <f>IF(ISERROR(VLOOKUP(A14,'SCINET-PLP'!G:G,1,0)),"N","Y")</f>
        <v>Y</v>
      </c>
      <c r="N14" s="52" t="str">
        <f>IF(ISERROR(VLOOKUP(A14,FLEXPLP!G:G,1,0)),"N","Y")</f>
        <v>Y</v>
      </c>
      <c r="O14" s="52" t="str">
        <f>IF(ISERROR(VLOOKUP(A14,'ELN PLP'!G:G,1,0)),"N","Y")</f>
        <v>N</v>
      </c>
      <c r="P14" s="53">
        <f t="shared" si="2"/>
        <v>1</v>
      </c>
      <c r="R14" s="21">
        <f>IF(K14+F14&gt;0,1,0)</f>
        <v>1</v>
      </c>
      <c r="S14" s="24">
        <f>IF(ISERROR(VLOOKUP(A14,U:U,1,0)),0,1)</f>
        <v>0</v>
      </c>
      <c r="Z14" t="s">
        <v>1867</v>
      </c>
    </row>
    <row r="15" spans="1:26" x14ac:dyDescent="0.35">
      <c r="A15" s="3" t="s">
        <v>18</v>
      </c>
      <c r="B15" s="5" t="str">
        <f>IF(ISERROR(VLOOKUP(A15,RDPLP!A15:A40,1,0)),"N","Y")</f>
        <v>Y</v>
      </c>
      <c r="C15" s="5" t="str">
        <f>IF(ISERROR(VLOOKUP(A15,'SCINET-PLP'!A:A,1,0)),"N","Y")</f>
        <v>N</v>
      </c>
      <c r="D15" s="5" t="str">
        <f>IF(ISERROR(VLOOKUP(A15,FLEXPLP!A:A,1,0)),"N","Y")</f>
        <v>Y</v>
      </c>
      <c r="E15" s="5" t="str">
        <f>IF(ISERROR(VLOOKUP(A15,'ELN PLP'!A:A,1,0)),"N","Y")</f>
        <v>Y</v>
      </c>
      <c r="F15" s="26">
        <f t="shared" si="0"/>
        <v>1</v>
      </c>
      <c r="G15" s="8" t="str">
        <f>IF(ISERROR(VLOOKUP(A15,RDPLP!D:D,1,0)),"N","Y")</f>
        <v>Y</v>
      </c>
      <c r="H15" s="8" t="str">
        <f>IF(ISERROR(VLOOKUP(A15,'SCINET-PLP'!D:D,1,0)),"N","Y")</f>
        <v>N</v>
      </c>
      <c r="I15" s="8" t="str">
        <f>IF(ISERROR(VLOOKUP(A15,FLEXPLP!D:D,1,0)),"N","Y")</f>
        <v>Y</v>
      </c>
      <c r="J15" s="8" t="str">
        <f>IF(ISERROR(VLOOKUP(A15,'ELN PLP'!D:D,1,0)),"N","Y")</f>
        <v>Y</v>
      </c>
      <c r="K15" s="29">
        <f t="shared" si="1"/>
        <v>1</v>
      </c>
      <c r="L15" s="52" t="str">
        <f>IF(ISERROR(VLOOKUP(A15,RDPLP!G:G,1,0)),"N","Y")</f>
        <v>Y</v>
      </c>
      <c r="M15" s="52" t="str">
        <f>IF(ISERROR(VLOOKUP(A15,'SCINET-PLP'!G:G,1,0)),"N","Y")</f>
        <v>N</v>
      </c>
      <c r="N15" s="52" t="str">
        <f>IF(ISERROR(VLOOKUP(A15,FLEXPLP!G:G,1,0)),"N","Y")</f>
        <v>Y</v>
      </c>
      <c r="O15" s="52" t="str">
        <f>IF(ISERROR(VLOOKUP(A15,'ELN PLP'!G:G,1,0)),"N","Y")</f>
        <v>N</v>
      </c>
      <c r="P15" s="53">
        <f t="shared" si="2"/>
        <v>1</v>
      </c>
      <c r="R15" s="21">
        <f>IF(K15+F15&gt;0,1,0)</f>
        <v>1</v>
      </c>
      <c r="S15" s="24">
        <f>IF(ISERROR(VLOOKUP(A15,U:U,1,0)),0,1)</f>
        <v>0</v>
      </c>
      <c r="Z15" t="s">
        <v>16</v>
      </c>
    </row>
    <row r="16" spans="1:26" x14ac:dyDescent="0.35">
      <c r="A16" s="3" t="s">
        <v>21</v>
      </c>
      <c r="B16" s="5" t="str">
        <f>IF(ISERROR(VLOOKUP(A16,RDPLP!A16:A41,1,0)),"N","Y")</f>
        <v>Y</v>
      </c>
      <c r="C16" s="5" t="str">
        <f>IF(ISERROR(VLOOKUP(A16,'SCINET-PLP'!A:A,1,0)),"N","Y")</f>
        <v>N</v>
      </c>
      <c r="D16" s="5" t="str">
        <f>IF(ISERROR(VLOOKUP(A16,FLEXPLP!A:A,1,0)),"N","Y")</f>
        <v>N</v>
      </c>
      <c r="E16" s="5" t="str">
        <f>IF(ISERROR(VLOOKUP(A16,'ELN PLP'!A:A,1,0)),"N","Y")</f>
        <v>N</v>
      </c>
      <c r="F16" s="26">
        <f t="shared" si="0"/>
        <v>1</v>
      </c>
      <c r="G16" s="8" t="str">
        <f>IF(ISERROR(VLOOKUP(A16,RDPLP!D:D,1,0)),"N","Y")</f>
        <v>Y</v>
      </c>
      <c r="H16" s="8" t="str">
        <f>IF(ISERROR(VLOOKUP(A16,'SCINET-PLP'!D:D,1,0)),"N","Y")</f>
        <v>N</v>
      </c>
      <c r="I16" s="8" t="str">
        <f>IF(ISERROR(VLOOKUP(A16,FLEXPLP!D:D,1,0)),"N","Y")</f>
        <v>N</v>
      </c>
      <c r="J16" s="8" t="str">
        <f>IF(ISERROR(VLOOKUP(A16,'ELN PLP'!D:D,1,0)),"N","Y")</f>
        <v>N</v>
      </c>
      <c r="K16" s="29">
        <f t="shared" si="1"/>
        <v>1</v>
      </c>
      <c r="L16" s="52" t="str">
        <f>IF(ISERROR(VLOOKUP(A16,RDPLP!G:G,1,0)),"N","Y")</f>
        <v>Y</v>
      </c>
      <c r="M16" s="52" t="str">
        <f>IF(ISERROR(VLOOKUP(A16,'SCINET-PLP'!G:G,1,0)),"N","Y")</f>
        <v>N</v>
      </c>
      <c r="N16" s="52" t="str">
        <f>IF(ISERROR(VLOOKUP(A16,FLEXPLP!G:G,1,0)),"N","Y")</f>
        <v>N</v>
      </c>
      <c r="O16" s="52" t="str">
        <f>IF(ISERROR(VLOOKUP(A16,'ELN PLP'!G:G,1,0)),"N","Y")</f>
        <v>N</v>
      </c>
      <c r="P16" s="53">
        <f t="shared" si="2"/>
        <v>1</v>
      </c>
      <c r="R16" s="21">
        <f>IF(K16+F16&gt;0,1,0)</f>
        <v>1</v>
      </c>
      <c r="S16" s="24">
        <f>IF(ISERROR(VLOOKUP(A16,U:U,1,0)),0,1)</f>
        <v>0</v>
      </c>
      <c r="Z16" t="s">
        <v>26</v>
      </c>
    </row>
    <row r="17" spans="1:26" x14ac:dyDescent="0.35">
      <c r="A17" s="3" t="s">
        <v>26</v>
      </c>
      <c r="B17" s="5" t="str">
        <f>IF(ISERROR(VLOOKUP(A17,RDPLP!A17:A42,1,0)),"N","Y")</f>
        <v>Y</v>
      </c>
      <c r="C17" s="5" t="str">
        <f>IF(ISERROR(VLOOKUP(A17,'SCINET-PLP'!A:A,1,0)),"N","Y")</f>
        <v>N</v>
      </c>
      <c r="D17" s="5" t="str">
        <f>IF(ISERROR(VLOOKUP(A17,FLEXPLP!A:A,1,0)),"N","Y")</f>
        <v>Y</v>
      </c>
      <c r="E17" s="5" t="str">
        <f>IF(ISERROR(VLOOKUP(A17,'ELN PLP'!A:A,1,0)),"N","Y")</f>
        <v>Y</v>
      </c>
      <c r="F17" s="26">
        <f t="shared" si="0"/>
        <v>1</v>
      </c>
      <c r="G17" s="8" t="str">
        <f>IF(ISERROR(VLOOKUP(A17,RDPLP!D:D,1,0)),"N","Y")</f>
        <v>Y</v>
      </c>
      <c r="H17" s="8" t="str">
        <f>IF(ISERROR(VLOOKUP(A17,'SCINET-PLP'!D:D,1,0)),"N","Y")</f>
        <v>N</v>
      </c>
      <c r="I17" s="8" t="str">
        <f>IF(ISERROR(VLOOKUP(A17,FLEXPLP!D:D,1,0)),"N","Y")</f>
        <v>Y</v>
      </c>
      <c r="J17" s="8" t="str">
        <f>IF(ISERROR(VLOOKUP(A17,'ELN PLP'!D:D,1,0)),"N","Y")</f>
        <v>N</v>
      </c>
      <c r="K17" s="29">
        <f t="shared" si="1"/>
        <v>1</v>
      </c>
      <c r="L17" s="52" t="str">
        <f>IF(ISERROR(VLOOKUP(A17,RDPLP!G:G,1,0)),"N","Y")</f>
        <v>Y</v>
      </c>
      <c r="M17" s="52" t="str">
        <f>IF(ISERROR(VLOOKUP(A17,'SCINET-PLP'!G:G,1,0)),"N","Y")</f>
        <v>N</v>
      </c>
      <c r="N17" s="52" t="str">
        <f>IF(ISERROR(VLOOKUP(A17,FLEXPLP!G:G,1,0)),"N","Y")</f>
        <v>Y</v>
      </c>
      <c r="O17" s="52" t="str">
        <f>IF(ISERROR(VLOOKUP(A17,'ELN PLP'!G:G,1,0)),"N","Y")</f>
        <v>N</v>
      </c>
      <c r="P17" s="53">
        <f t="shared" si="2"/>
        <v>1</v>
      </c>
      <c r="R17" s="21">
        <f>IF(K17+F17&gt;0,1,0)</f>
        <v>1</v>
      </c>
      <c r="S17" s="24">
        <f>IF(ISERROR(VLOOKUP(A17,U:U,1,0)),0,1)</f>
        <v>0</v>
      </c>
      <c r="Z17" t="s">
        <v>25</v>
      </c>
    </row>
    <row r="18" spans="1:26" x14ac:dyDescent="0.35">
      <c r="A18" s="3" t="s">
        <v>27</v>
      </c>
      <c r="B18" s="5" t="str">
        <f>IF(ISERROR(VLOOKUP(A18,RDPLP!A18:A43,1,0)),"N","Y")</f>
        <v>Y</v>
      </c>
      <c r="C18" s="5" t="str">
        <f>IF(ISERROR(VLOOKUP(A18,'SCINET-PLP'!A:A,1,0)),"N","Y")</f>
        <v>N</v>
      </c>
      <c r="D18" s="5" t="str">
        <f>IF(ISERROR(VLOOKUP(A18,FLEXPLP!A:A,1,0)),"N","Y")</f>
        <v>N</v>
      </c>
      <c r="E18" s="5" t="str">
        <f>IF(ISERROR(VLOOKUP(A18,'ELN PLP'!A:A,1,0)),"N","Y")</f>
        <v>N</v>
      </c>
      <c r="F18" s="26">
        <f t="shared" si="0"/>
        <v>1</v>
      </c>
      <c r="G18" s="8" t="str">
        <f>IF(ISERROR(VLOOKUP(A18,RDPLP!D:D,1,0)),"N","Y")</f>
        <v>N</v>
      </c>
      <c r="H18" s="8" t="str">
        <f>IF(ISERROR(VLOOKUP(A18,'SCINET-PLP'!D:D,1,0)),"N","Y")</f>
        <v>N</v>
      </c>
      <c r="I18" s="8" t="str">
        <f>IF(ISERROR(VLOOKUP(A18,FLEXPLP!D:D,1,0)),"N","Y")</f>
        <v>N</v>
      </c>
      <c r="J18" s="8" t="str">
        <f>IF(ISERROR(VLOOKUP(A18,'ELN PLP'!D:D,1,0)),"N","Y")</f>
        <v>N</v>
      </c>
      <c r="K18" s="29">
        <f t="shared" si="1"/>
        <v>0</v>
      </c>
      <c r="L18" s="52" t="str">
        <f>IF(ISERROR(VLOOKUP(A18,RDPLP!G:G,1,0)),"N","Y")</f>
        <v>Y</v>
      </c>
      <c r="M18" s="52" t="str">
        <f>IF(ISERROR(VLOOKUP(A18,'SCINET-PLP'!G:G,1,0)),"N","Y")</f>
        <v>N</v>
      </c>
      <c r="N18" s="52" t="str">
        <f>IF(ISERROR(VLOOKUP(A18,FLEXPLP!G:G,1,0)),"N","Y")</f>
        <v>N</v>
      </c>
      <c r="O18" s="52" t="str">
        <f>IF(ISERROR(VLOOKUP(A18,'ELN PLP'!G:G,1,0)),"N","Y")</f>
        <v>N</v>
      </c>
      <c r="P18" s="53">
        <f t="shared" si="2"/>
        <v>1</v>
      </c>
      <c r="R18" s="21">
        <f>IF(K18+F18&gt;0,1,0)</f>
        <v>1</v>
      </c>
      <c r="S18" s="24">
        <f>IF(ISERROR(VLOOKUP(A18,U:U,1,0)),0,1)</f>
        <v>0</v>
      </c>
      <c r="Z18" t="s">
        <v>1876</v>
      </c>
    </row>
    <row r="19" spans="1:26" x14ac:dyDescent="0.35">
      <c r="A19" s="3" t="s">
        <v>22</v>
      </c>
      <c r="B19" s="5" t="str">
        <f>IF(ISERROR(VLOOKUP(A19,RDPLP!A19:A44,1,0)),"N","Y")</f>
        <v>Y</v>
      </c>
      <c r="C19" s="5" t="str">
        <f>IF(ISERROR(VLOOKUP(A19,'SCINET-PLP'!A:A,1,0)),"N","Y")</f>
        <v>N</v>
      </c>
      <c r="D19" s="5" t="str">
        <f>IF(ISERROR(VLOOKUP(A19,FLEXPLP!A:A,1,0)),"N","Y")</f>
        <v>Y</v>
      </c>
      <c r="E19" s="5" t="str">
        <f>IF(ISERROR(VLOOKUP(A19,'ELN PLP'!A:A,1,0)),"N","Y")</f>
        <v>N</v>
      </c>
      <c r="F19" s="26">
        <f t="shared" si="0"/>
        <v>1</v>
      </c>
      <c r="G19" s="8" t="str">
        <f>IF(ISERROR(VLOOKUP(A19,RDPLP!D:D,1,0)),"N","Y")</f>
        <v>Y</v>
      </c>
      <c r="H19" s="8" t="str">
        <f>IF(ISERROR(VLOOKUP(A19,'SCINET-PLP'!D:D,1,0)),"N","Y")</f>
        <v>N</v>
      </c>
      <c r="I19" s="8" t="str">
        <f>IF(ISERROR(VLOOKUP(A19,FLEXPLP!D:D,1,0)),"N","Y")</f>
        <v>Y</v>
      </c>
      <c r="J19" s="8" t="str">
        <f>IF(ISERROR(VLOOKUP(A19,'ELN PLP'!D:D,1,0)),"N","Y")</f>
        <v>N</v>
      </c>
      <c r="K19" s="29">
        <f t="shared" si="1"/>
        <v>1</v>
      </c>
      <c r="L19" s="52" t="str">
        <f>IF(ISERROR(VLOOKUP(A19,RDPLP!G:G,1,0)),"N","Y")</f>
        <v>Y</v>
      </c>
      <c r="M19" s="52" t="str">
        <f>IF(ISERROR(VLOOKUP(A19,'SCINET-PLP'!G:G,1,0)),"N","Y")</f>
        <v>N</v>
      </c>
      <c r="N19" s="52" t="str">
        <f>IF(ISERROR(VLOOKUP(A19,FLEXPLP!G:G,1,0)),"N","Y")</f>
        <v>Y</v>
      </c>
      <c r="O19" s="52" t="str">
        <f>IF(ISERROR(VLOOKUP(A19,'ELN PLP'!G:G,1,0)),"N","Y")</f>
        <v>N</v>
      </c>
      <c r="P19" s="53">
        <f t="shared" si="2"/>
        <v>1</v>
      </c>
      <c r="R19" s="21">
        <f>IF(K19+F19&gt;0,1,0)</f>
        <v>1</v>
      </c>
      <c r="S19" s="24">
        <f>IF(ISERROR(VLOOKUP(A19,U:U,1,0)),0,1)</f>
        <v>0</v>
      </c>
      <c r="Z19" t="s">
        <v>35</v>
      </c>
    </row>
    <row r="20" spans="1:26" x14ac:dyDescent="0.35">
      <c r="A20" s="3" t="s">
        <v>28</v>
      </c>
      <c r="B20" s="5" t="str">
        <f>IF(ISERROR(VLOOKUP(A20,RDPLP!A20:A45,1,0)),"N","Y")</f>
        <v>Y</v>
      </c>
      <c r="C20" s="5" t="str">
        <f>IF(ISERROR(VLOOKUP(A20,'SCINET-PLP'!A:A,1,0)),"N","Y")</f>
        <v>N</v>
      </c>
      <c r="D20" s="5" t="str">
        <f>IF(ISERROR(VLOOKUP(A20,FLEXPLP!A:A,1,0)),"N","Y")</f>
        <v>N</v>
      </c>
      <c r="E20" s="5" t="str">
        <f>IF(ISERROR(VLOOKUP(A20,'ELN PLP'!A:A,1,0)),"N","Y")</f>
        <v>N</v>
      </c>
      <c r="F20" s="26">
        <f t="shared" si="0"/>
        <v>1</v>
      </c>
      <c r="G20" s="8" t="str">
        <f>IF(ISERROR(VLOOKUP(A20,RDPLP!D:D,1,0)),"N","Y")</f>
        <v>N</v>
      </c>
      <c r="H20" s="8" t="str">
        <f>IF(ISERROR(VLOOKUP(A20,'SCINET-PLP'!D:D,1,0)),"N","Y")</f>
        <v>N</v>
      </c>
      <c r="I20" s="8" t="str">
        <f>IF(ISERROR(VLOOKUP(A20,FLEXPLP!D:D,1,0)),"N","Y")</f>
        <v>N</v>
      </c>
      <c r="J20" s="8" t="str">
        <f>IF(ISERROR(VLOOKUP(A20,'ELN PLP'!D:D,1,0)),"N","Y")</f>
        <v>N</v>
      </c>
      <c r="K20" s="29">
        <f t="shared" si="1"/>
        <v>0</v>
      </c>
      <c r="L20" s="52" t="str">
        <f>IF(ISERROR(VLOOKUP(A20,RDPLP!G:G,1,0)),"N","Y")</f>
        <v>N</v>
      </c>
      <c r="M20" s="52" t="str">
        <f>IF(ISERROR(VLOOKUP(A20,'SCINET-PLP'!G:G,1,0)),"N","Y")</f>
        <v>N</v>
      </c>
      <c r="N20" s="52" t="str">
        <f>IF(ISERROR(VLOOKUP(A20,FLEXPLP!G:G,1,0)),"N","Y")</f>
        <v>N</v>
      </c>
      <c r="O20" s="52" t="str">
        <f>IF(ISERROR(VLOOKUP(A20,'ELN PLP'!G:G,1,0)),"N","Y")</f>
        <v>N</v>
      </c>
      <c r="P20" s="53">
        <f t="shared" si="2"/>
        <v>0</v>
      </c>
      <c r="R20" s="21">
        <f>IF(K20+F20&gt;0,1,0)</f>
        <v>1</v>
      </c>
      <c r="S20" s="24">
        <f>IF(ISERROR(VLOOKUP(A20,U:U,1,0)),0,1)</f>
        <v>0</v>
      </c>
      <c r="Z20" t="s">
        <v>1882</v>
      </c>
    </row>
    <row r="21" spans="1:26" x14ac:dyDescent="0.35">
      <c r="A21" s="3" t="s">
        <v>29</v>
      </c>
      <c r="B21" s="5" t="str">
        <f>IF(ISERROR(VLOOKUP(A21,RDPLP!A21:A46,1,0)),"N","Y")</f>
        <v>Y</v>
      </c>
      <c r="C21" s="5" t="str">
        <f>IF(ISERROR(VLOOKUP(A21,'SCINET-PLP'!A:A,1,0)),"N","Y")</f>
        <v>N</v>
      </c>
      <c r="D21" s="5" t="str">
        <f>IF(ISERROR(VLOOKUP(A21,FLEXPLP!A:A,1,0)),"N","Y")</f>
        <v>Y</v>
      </c>
      <c r="E21" s="5" t="str">
        <f>IF(ISERROR(VLOOKUP(A21,'ELN PLP'!A:A,1,0)),"N","Y")</f>
        <v>Y</v>
      </c>
      <c r="F21" s="26">
        <f t="shared" si="0"/>
        <v>1</v>
      </c>
      <c r="G21" s="8" t="str">
        <f>IF(ISERROR(VLOOKUP(A21,RDPLP!D:D,1,0)),"N","Y")</f>
        <v>N</v>
      </c>
      <c r="H21" s="8" t="str">
        <f>IF(ISERROR(VLOOKUP(A21,'SCINET-PLP'!D:D,1,0)),"N","Y")</f>
        <v>N</v>
      </c>
      <c r="I21" s="8" t="str">
        <f>IF(ISERROR(VLOOKUP(A21,FLEXPLP!D:D,1,0)),"N","Y")</f>
        <v>N</v>
      </c>
      <c r="J21" s="8" t="str">
        <f>IF(ISERROR(VLOOKUP(A21,'ELN PLP'!D:D,1,0)),"N","Y")</f>
        <v>N</v>
      </c>
      <c r="K21" s="29">
        <f t="shared" si="1"/>
        <v>0</v>
      </c>
      <c r="L21" s="52" t="str">
        <f>IF(ISERROR(VLOOKUP(A21,RDPLP!G:G,1,0)),"N","Y")</f>
        <v>Y</v>
      </c>
      <c r="M21" s="52" t="str">
        <f>IF(ISERROR(VLOOKUP(A21,'SCINET-PLP'!G:G,1,0)),"N","Y")</f>
        <v>N</v>
      </c>
      <c r="N21" s="52" t="str">
        <f>IF(ISERROR(VLOOKUP(A21,FLEXPLP!G:G,1,0)),"N","Y")</f>
        <v>Y</v>
      </c>
      <c r="O21" s="52" t="str">
        <f>IF(ISERROR(VLOOKUP(A21,'ELN PLP'!G:G,1,0)),"N","Y")</f>
        <v>N</v>
      </c>
      <c r="P21" s="53">
        <f t="shared" si="2"/>
        <v>1</v>
      </c>
      <c r="R21" s="21">
        <f>IF(K21+F21&gt;0,1,0)</f>
        <v>1</v>
      </c>
      <c r="S21" s="24">
        <f>IF(ISERROR(VLOOKUP(A21,U:U,1,0)),0,1)</f>
        <v>0</v>
      </c>
      <c r="Z21" t="s">
        <v>1886</v>
      </c>
    </row>
    <row r="22" spans="1:26" x14ac:dyDescent="0.35">
      <c r="A22" s="3" t="s">
        <v>30</v>
      </c>
      <c r="B22" s="5" t="str">
        <f>IF(ISERROR(VLOOKUP(A22,RDPLP!A22:A47,1,0)),"N","Y")</f>
        <v>Y</v>
      </c>
      <c r="C22" s="5" t="str">
        <f>IF(ISERROR(VLOOKUP(A22,'SCINET-PLP'!A:A,1,0)),"N","Y")</f>
        <v>N</v>
      </c>
      <c r="D22" s="5" t="str">
        <f>IF(ISERROR(VLOOKUP(A22,FLEXPLP!A:A,1,0)),"N","Y")</f>
        <v>Y</v>
      </c>
      <c r="E22" s="5" t="str">
        <f>IF(ISERROR(VLOOKUP(A22,'ELN PLP'!A:A,1,0)),"N","Y")</f>
        <v>N</v>
      </c>
      <c r="F22" s="26">
        <f t="shared" si="0"/>
        <v>1</v>
      </c>
      <c r="G22" s="8" t="str">
        <f>IF(ISERROR(VLOOKUP(A22,RDPLP!D:D,1,0)),"N","Y")</f>
        <v>Y</v>
      </c>
      <c r="H22" s="8" t="str">
        <f>IF(ISERROR(VLOOKUP(A22,'SCINET-PLP'!D:D,1,0)),"N","Y")</f>
        <v>N</v>
      </c>
      <c r="I22" s="8" t="str">
        <f>IF(ISERROR(VLOOKUP(A22,FLEXPLP!D:D,1,0)),"N","Y")</f>
        <v>Y</v>
      </c>
      <c r="J22" s="8" t="str">
        <f>IF(ISERROR(VLOOKUP(A22,'ELN PLP'!D:D,1,0)),"N","Y")</f>
        <v>N</v>
      </c>
      <c r="K22" s="29">
        <f t="shared" si="1"/>
        <v>1</v>
      </c>
      <c r="L22" s="52" t="str">
        <f>IF(ISERROR(VLOOKUP(A22,RDPLP!G:G,1,0)),"N","Y")</f>
        <v>N</v>
      </c>
      <c r="M22" s="52" t="str">
        <f>IF(ISERROR(VLOOKUP(A22,'SCINET-PLP'!G:G,1,0)),"N","Y")</f>
        <v>N</v>
      </c>
      <c r="N22" s="52" t="str">
        <f>IF(ISERROR(VLOOKUP(A22,FLEXPLP!G:G,1,0)),"N","Y")</f>
        <v>N</v>
      </c>
      <c r="O22" s="52" t="str">
        <f>IF(ISERROR(VLOOKUP(A22,'ELN PLP'!G:G,1,0)),"N","Y")</f>
        <v>N</v>
      </c>
      <c r="P22" s="53">
        <f t="shared" si="2"/>
        <v>0</v>
      </c>
      <c r="R22" s="21">
        <f>IF(K22+F22&gt;0,1,0)</f>
        <v>1</v>
      </c>
      <c r="S22" s="24">
        <f>IF(ISERROR(VLOOKUP(A22,U:U,1,0)),0,1)</f>
        <v>0</v>
      </c>
      <c r="Z22" t="s">
        <v>10</v>
      </c>
    </row>
    <row r="23" spans="1:26" x14ac:dyDescent="0.35">
      <c r="A23" s="3" t="s">
        <v>32</v>
      </c>
      <c r="B23" s="5" t="str">
        <f>IF(ISERROR(VLOOKUP(A23,RDPLP!A23:A48,1,0)),"N","Y")</f>
        <v>Y</v>
      </c>
      <c r="C23" s="5" t="str">
        <f>IF(ISERROR(VLOOKUP(A23,'SCINET-PLP'!A:A,1,0)),"N","Y")</f>
        <v>N</v>
      </c>
      <c r="D23" s="5" t="str">
        <f>IF(ISERROR(VLOOKUP(A23,FLEXPLP!A:A,1,0)),"N","Y")</f>
        <v>Y</v>
      </c>
      <c r="E23" s="5" t="str">
        <f>IF(ISERROR(VLOOKUP(A23,'ELN PLP'!A:A,1,0)),"N","Y")</f>
        <v>N</v>
      </c>
      <c r="F23" s="26">
        <f t="shared" si="0"/>
        <v>1</v>
      </c>
      <c r="G23" s="8" t="str">
        <f>IF(ISERROR(VLOOKUP(A23,RDPLP!D:D,1,0)),"N","Y")</f>
        <v>N</v>
      </c>
      <c r="H23" s="8" t="str">
        <f>IF(ISERROR(VLOOKUP(A23,'SCINET-PLP'!D:D,1,0)),"N","Y")</f>
        <v>N</v>
      </c>
      <c r="I23" s="8" t="str">
        <f>IF(ISERROR(VLOOKUP(A23,FLEXPLP!D:D,1,0)),"N","Y")</f>
        <v>N</v>
      </c>
      <c r="J23" s="8" t="str">
        <f>IF(ISERROR(VLOOKUP(A23,'ELN PLP'!D:D,1,0)),"N","Y")</f>
        <v>N</v>
      </c>
      <c r="K23" s="29">
        <f t="shared" si="1"/>
        <v>0</v>
      </c>
      <c r="L23" s="52" t="str">
        <f>IF(ISERROR(VLOOKUP(A23,RDPLP!G:G,1,0)),"N","Y")</f>
        <v>Y</v>
      </c>
      <c r="M23" s="52" t="str">
        <f>IF(ISERROR(VLOOKUP(A23,'SCINET-PLP'!G:G,1,0)),"N","Y")</f>
        <v>N</v>
      </c>
      <c r="N23" s="52" t="str">
        <f>IF(ISERROR(VLOOKUP(A23,FLEXPLP!G:G,1,0)),"N","Y")</f>
        <v>Y</v>
      </c>
      <c r="O23" s="52" t="str">
        <f>IF(ISERROR(VLOOKUP(A23,'ELN PLP'!G:G,1,0)),"N","Y")</f>
        <v>N</v>
      </c>
      <c r="P23" s="53">
        <f t="shared" si="2"/>
        <v>1</v>
      </c>
      <c r="R23" s="21">
        <f>IF(K23+F23&gt;0,1,0)</f>
        <v>1</v>
      </c>
      <c r="S23" s="24">
        <f>IF(ISERROR(VLOOKUP(A23,U:U,1,0)),0,1)</f>
        <v>0</v>
      </c>
      <c r="Z23" t="s">
        <v>18</v>
      </c>
    </row>
    <row r="24" spans="1:26" x14ac:dyDescent="0.35">
      <c r="A24" s="3" t="s">
        <v>34</v>
      </c>
      <c r="B24" s="5" t="str">
        <f>IF(ISERROR(VLOOKUP(A24,RDPLP!A24:A49,1,0)),"N","Y")</f>
        <v>Y</v>
      </c>
      <c r="C24" s="5" t="str">
        <f>IF(ISERROR(VLOOKUP(A24,'SCINET-PLP'!A:A,1,0)),"N","Y")</f>
        <v>N</v>
      </c>
      <c r="D24" s="5" t="str">
        <f>IF(ISERROR(VLOOKUP(A24,FLEXPLP!A:A,1,0)),"N","Y")</f>
        <v>N</v>
      </c>
      <c r="E24" s="5" t="str">
        <f>IF(ISERROR(VLOOKUP(A24,'ELN PLP'!A:A,1,0)),"N","Y")</f>
        <v>N</v>
      </c>
      <c r="F24" s="26">
        <f t="shared" si="0"/>
        <v>1</v>
      </c>
      <c r="G24" s="8" t="str">
        <f>IF(ISERROR(VLOOKUP(A24,RDPLP!D:D,1,0)),"N","Y")</f>
        <v>Y</v>
      </c>
      <c r="H24" s="8" t="str">
        <f>IF(ISERROR(VLOOKUP(A24,'SCINET-PLP'!D:D,1,0)),"N","Y")</f>
        <v>N</v>
      </c>
      <c r="I24" s="8" t="str">
        <f>IF(ISERROR(VLOOKUP(A24,FLEXPLP!D:D,1,0)),"N","Y")</f>
        <v>N</v>
      </c>
      <c r="J24" s="8" t="str">
        <f>IF(ISERROR(VLOOKUP(A24,'ELN PLP'!D:D,1,0)),"N","Y")</f>
        <v>N</v>
      </c>
      <c r="K24" s="29">
        <f t="shared" si="1"/>
        <v>1</v>
      </c>
      <c r="L24" s="52" t="str">
        <f>IF(ISERROR(VLOOKUP(A24,RDPLP!G:G,1,0)),"N","Y")</f>
        <v>Y</v>
      </c>
      <c r="M24" s="52" t="str">
        <f>IF(ISERROR(VLOOKUP(A24,'SCINET-PLP'!G:G,1,0)),"N","Y")</f>
        <v>N</v>
      </c>
      <c r="N24" s="52" t="str">
        <f>IF(ISERROR(VLOOKUP(A24,FLEXPLP!G:G,1,0)),"N","Y")</f>
        <v>N</v>
      </c>
      <c r="O24" s="52" t="str">
        <f>IF(ISERROR(VLOOKUP(A24,'ELN PLP'!G:G,1,0)),"N","Y")</f>
        <v>N</v>
      </c>
      <c r="P24" s="53">
        <f t="shared" si="2"/>
        <v>1</v>
      </c>
      <c r="R24" s="21">
        <f>IF(K24+F24&gt;0,1,0)</f>
        <v>1</v>
      </c>
      <c r="S24" s="24">
        <f>IF(ISERROR(VLOOKUP(A24,U:U,1,0)),0,1)</f>
        <v>0</v>
      </c>
      <c r="Z24" t="s">
        <v>28</v>
      </c>
    </row>
    <row r="25" spans="1:26" x14ac:dyDescent="0.35">
      <c r="A25" s="3" t="s">
        <v>36</v>
      </c>
      <c r="B25" s="5" t="str">
        <f>IF(ISERROR(VLOOKUP(A25,RDPLP!A25:A50,1,0)),"N","Y")</f>
        <v>Y</v>
      </c>
      <c r="C25" s="5" t="str">
        <f>IF(ISERROR(VLOOKUP(A25,'SCINET-PLP'!A:A,1,0)),"N","Y")</f>
        <v>N</v>
      </c>
      <c r="D25" s="5" t="str">
        <f>IF(ISERROR(VLOOKUP(A25,FLEXPLP!A:A,1,0)),"N","Y")</f>
        <v>Y</v>
      </c>
      <c r="E25" s="5" t="str">
        <f>IF(ISERROR(VLOOKUP(A25,'ELN PLP'!A:A,1,0)),"N","Y")</f>
        <v>N</v>
      </c>
      <c r="F25" s="26">
        <f t="shared" si="0"/>
        <v>1</v>
      </c>
      <c r="G25" s="8" t="str">
        <f>IF(ISERROR(VLOOKUP(A25,RDPLP!D:D,1,0)),"N","Y")</f>
        <v>N</v>
      </c>
      <c r="H25" s="8" t="str">
        <f>IF(ISERROR(VLOOKUP(A25,'SCINET-PLP'!D:D,1,0)),"N","Y")</f>
        <v>N</v>
      </c>
      <c r="I25" s="8" t="str">
        <f>IF(ISERROR(VLOOKUP(A25,FLEXPLP!D:D,1,0)),"N","Y")</f>
        <v>N</v>
      </c>
      <c r="J25" s="8" t="str">
        <f>IF(ISERROR(VLOOKUP(A25,'ELN PLP'!D:D,1,0)),"N","Y")</f>
        <v>N</v>
      </c>
      <c r="K25" s="29">
        <f t="shared" si="1"/>
        <v>0</v>
      </c>
      <c r="L25" s="52" t="str">
        <f>IF(ISERROR(VLOOKUP(A25,RDPLP!G:G,1,0)),"N","Y")</f>
        <v>Y</v>
      </c>
      <c r="M25" s="52" t="str">
        <f>IF(ISERROR(VLOOKUP(A25,'SCINET-PLP'!G:G,1,0)),"N","Y")</f>
        <v>N</v>
      </c>
      <c r="N25" s="52" t="str">
        <f>IF(ISERROR(VLOOKUP(A25,FLEXPLP!G:G,1,0)),"N","Y")</f>
        <v>Y</v>
      </c>
      <c r="O25" s="52" t="str">
        <f>IF(ISERROR(VLOOKUP(A25,'ELN PLP'!G:G,1,0)),"N","Y")</f>
        <v>N</v>
      </c>
      <c r="P25" s="53">
        <f t="shared" si="2"/>
        <v>1</v>
      </c>
      <c r="R25" s="21">
        <f>IF(K25+F25&gt;0,1,0)</f>
        <v>1</v>
      </c>
      <c r="S25" s="24">
        <f>IF(ISERROR(VLOOKUP(A25,U:U,1,0)),0,1)</f>
        <v>0</v>
      </c>
      <c r="Z25" t="s">
        <v>1894</v>
      </c>
    </row>
    <row r="26" spans="1:26" x14ac:dyDescent="0.35">
      <c r="A26" s="3" t="s">
        <v>11</v>
      </c>
      <c r="B26" s="5" t="str">
        <f>IF(ISERROR(VLOOKUP(A26,RDPLP!A26:A51,1,0)),"N","Y")</f>
        <v>Y</v>
      </c>
      <c r="C26" s="5" t="str">
        <f>IF(ISERROR(VLOOKUP(A26,'SCINET-PLP'!A:A,1,0)),"N","Y")</f>
        <v>N</v>
      </c>
      <c r="D26" s="5" t="str">
        <f>IF(ISERROR(VLOOKUP(A26,FLEXPLP!A:A,1,0)),"N","Y")</f>
        <v>Y</v>
      </c>
      <c r="E26" s="5" t="str">
        <f>IF(ISERROR(VLOOKUP(A26,'ELN PLP'!A:A,1,0)),"N","Y")</f>
        <v>N</v>
      </c>
      <c r="F26" s="26">
        <f t="shared" si="0"/>
        <v>1</v>
      </c>
      <c r="G26" s="8" t="str">
        <f>IF(ISERROR(VLOOKUP(A26,RDPLP!D:D,1,0)),"N","Y")</f>
        <v>Y</v>
      </c>
      <c r="H26" s="8" t="str">
        <f>IF(ISERROR(VLOOKUP(A26,'SCINET-PLP'!D:D,1,0)),"N","Y")</f>
        <v>N</v>
      </c>
      <c r="I26" s="8" t="str">
        <f>IF(ISERROR(VLOOKUP(A26,FLEXPLP!D:D,1,0)),"N","Y")</f>
        <v>Y</v>
      </c>
      <c r="J26" s="8" t="str">
        <f>IF(ISERROR(VLOOKUP(A26,'ELN PLP'!D:D,1,0)),"N","Y")</f>
        <v>N</v>
      </c>
      <c r="K26" s="29">
        <f t="shared" si="1"/>
        <v>1</v>
      </c>
      <c r="L26" s="52" t="str">
        <f>IF(ISERROR(VLOOKUP(A26,RDPLP!G:G,1,0)),"N","Y")</f>
        <v>Y</v>
      </c>
      <c r="M26" s="52" t="str">
        <f>IF(ISERROR(VLOOKUP(A26,'SCINET-PLP'!G:G,1,0)),"N","Y")</f>
        <v>N</v>
      </c>
      <c r="N26" s="52" t="str">
        <f>IF(ISERROR(VLOOKUP(A26,FLEXPLP!G:G,1,0)),"N","Y")</f>
        <v>Y</v>
      </c>
      <c r="O26" s="52" t="str">
        <f>IF(ISERROR(VLOOKUP(A26,'ELN PLP'!G:G,1,0)),"N","Y")</f>
        <v>N</v>
      </c>
      <c r="P26" s="53">
        <f t="shared" si="2"/>
        <v>1</v>
      </c>
      <c r="R26" s="21">
        <f>IF(K26+F26&gt;0,1,0)</f>
        <v>1</v>
      </c>
      <c r="S26" s="24">
        <f>IF(ISERROR(VLOOKUP(A26,U:U,1,0)),0,1)</f>
        <v>0</v>
      </c>
      <c r="Z26" t="s">
        <v>1897</v>
      </c>
    </row>
    <row r="27" spans="1:26" x14ac:dyDescent="0.35">
      <c r="A27" s="3" t="s">
        <v>16</v>
      </c>
      <c r="B27" s="5" t="str">
        <f>IF(ISERROR(VLOOKUP(A27,RDPLP!A27:A52,1,0)),"N","Y")</f>
        <v>Y</v>
      </c>
      <c r="C27" s="5" t="str">
        <f>IF(ISERROR(VLOOKUP(A27,'SCINET-PLP'!A:A,1,0)),"N","Y")</f>
        <v>N</v>
      </c>
      <c r="D27" s="5" t="str">
        <f>IF(ISERROR(VLOOKUP(A27,FLEXPLP!A:A,1,0)),"N","Y")</f>
        <v>N</v>
      </c>
      <c r="E27" s="5" t="str">
        <f>IF(ISERROR(VLOOKUP(A27,'ELN PLP'!A:A,1,0)),"N","Y")</f>
        <v>N</v>
      </c>
      <c r="F27" s="26">
        <f t="shared" si="0"/>
        <v>1</v>
      </c>
      <c r="G27" s="8" t="str">
        <f>IF(ISERROR(VLOOKUP(A27,RDPLP!D:D,1,0)),"N","Y")</f>
        <v>Y</v>
      </c>
      <c r="H27" s="8" t="str">
        <f>IF(ISERROR(VLOOKUP(A27,'SCINET-PLP'!D:D,1,0)),"N","Y")</f>
        <v>N</v>
      </c>
      <c r="I27" s="8" t="str">
        <f>IF(ISERROR(VLOOKUP(A27,FLEXPLP!D:D,1,0)),"N","Y")</f>
        <v>N</v>
      </c>
      <c r="J27" s="8" t="str">
        <f>IF(ISERROR(VLOOKUP(A27,'ELN PLP'!D:D,1,0)),"N","Y")</f>
        <v>N</v>
      </c>
      <c r="K27" s="29">
        <f t="shared" si="1"/>
        <v>1</v>
      </c>
      <c r="L27" s="52" t="str">
        <f>IF(ISERROR(VLOOKUP(A27,RDPLP!G:G,1,0)),"N","Y")</f>
        <v>Y</v>
      </c>
      <c r="M27" s="52" t="str">
        <f>IF(ISERROR(VLOOKUP(A27,'SCINET-PLP'!G:G,1,0)),"N","Y")</f>
        <v>N</v>
      </c>
      <c r="N27" s="52" t="str">
        <f>IF(ISERROR(VLOOKUP(A27,FLEXPLP!G:G,1,0)),"N","Y")</f>
        <v>Y</v>
      </c>
      <c r="O27" s="52" t="str">
        <f>IF(ISERROR(VLOOKUP(A27,'ELN PLP'!G:G,1,0)),"N","Y")</f>
        <v>N</v>
      </c>
      <c r="P27" s="53">
        <f t="shared" si="2"/>
        <v>1</v>
      </c>
      <c r="R27" s="21">
        <f>IF(K27+F27&gt;0,1,0)</f>
        <v>1</v>
      </c>
      <c r="S27" s="24">
        <f>IF(ISERROR(VLOOKUP(A27,U:U,1,0)),0,1)</f>
        <v>0</v>
      </c>
      <c r="Z27" t="s">
        <v>144</v>
      </c>
    </row>
    <row r="28" spans="1:26" x14ac:dyDescent="0.35">
      <c r="A28" s="3" t="s">
        <v>37</v>
      </c>
      <c r="B28" s="5" t="str">
        <f>IF(ISERROR(VLOOKUP(A28,RDPLP!A28:A53,1,0)),"N","Y")</f>
        <v>Y</v>
      </c>
      <c r="C28" s="5" t="str">
        <f>IF(ISERROR(VLOOKUP(A28,'SCINET-PLP'!A:A,1,0)),"N","Y")</f>
        <v>N</v>
      </c>
      <c r="D28" s="5" t="str">
        <f>IF(ISERROR(VLOOKUP(A28,FLEXPLP!A:A,1,0)),"N","Y")</f>
        <v>Y</v>
      </c>
      <c r="E28" s="5" t="str">
        <f>IF(ISERROR(VLOOKUP(A28,'ELN PLP'!A:A,1,0)),"N","Y")</f>
        <v>Y</v>
      </c>
      <c r="F28" s="26">
        <f t="shared" si="0"/>
        <v>1</v>
      </c>
      <c r="G28" s="8" t="str">
        <f>IF(ISERROR(VLOOKUP(A28,RDPLP!D:D,1,0)),"N","Y")</f>
        <v>Y</v>
      </c>
      <c r="H28" s="8" t="str">
        <f>IF(ISERROR(VLOOKUP(A28,'SCINET-PLP'!D:D,1,0)),"N","Y")</f>
        <v>N</v>
      </c>
      <c r="I28" s="8" t="str">
        <f>IF(ISERROR(VLOOKUP(A28,FLEXPLP!D:D,1,0)),"N","Y")</f>
        <v>Y</v>
      </c>
      <c r="J28" s="8" t="str">
        <f>IF(ISERROR(VLOOKUP(A28,'ELN PLP'!D:D,1,0)),"N","Y")</f>
        <v>N</v>
      </c>
      <c r="K28" s="29">
        <f t="shared" si="1"/>
        <v>1</v>
      </c>
      <c r="L28" s="52" t="str">
        <f>IF(ISERROR(VLOOKUP(A28,RDPLP!G:G,1,0)),"N","Y")</f>
        <v>Y</v>
      </c>
      <c r="M28" s="52" t="str">
        <f>IF(ISERROR(VLOOKUP(A28,'SCINET-PLP'!G:G,1,0)),"N","Y")</f>
        <v>N</v>
      </c>
      <c r="N28" s="52" t="str">
        <f>IF(ISERROR(VLOOKUP(A28,FLEXPLP!G:G,1,0)),"N","Y")</f>
        <v>Y</v>
      </c>
      <c r="O28" s="52" t="str">
        <f>IF(ISERROR(VLOOKUP(A28,'ELN PLP'!G:G,1,0)),"N","Y")</f>
        <v>N</v>
      </c>
      <c r="P28" s="53">
        <f t="shared" si="2"/>
        <v>1</v>
      </c>
      <c r="R28" s="21">
        <f>IF(K28+F28&gt;0,1,0)</f>
        <v>1</v>
      </c>
      <c r="S28" s="24">
        <f>IF(ISERROR(VLOOKUP(A28,U:U,1,0)),0,1)</f>
        <v>0</v>
      </c>
      <c r="Z28" t="s">
        <v>30</v>
      </c>
    </row>
    <row r="29" spans="1:26" x14ac:dyDescent="0.35">
      <c r="A29" s="3" t="s">
        <v>7</v>
      </c>
      <c r="B29" s="5" t="str">
        <f>IF(ISERROR(VLOOKUP(A29,RDPLP!A29:A54,1,0)),"N","Y")</f>
        <v>N</v>
      </c>
      <c r="C29" s="5" t="str">
        <f>IF(ISERROR(VLOOKUP(A29,'SCINET-PLP'!A:A,1,0)),"N","Y")</f>
        <v>N</v>
      </c>
      <c r="D29" s="5" t="str">
        <f>IF(ISERROR(VLOOKUP(A29,FLEXPLP!A:A,1,0)),"N","Y")</f>
        <v>Y</v>
      </c>
      <c r="E29" s="5" t="str">
        <f>IF(ISERROR(VLOOKUP(A29,'ELN PLP'!A:A,1,0)),"N","Y")</f>
        <v>N</v>
      </c>
      <c r="F29" s="26">
        <f t="shared" si="0"/>
        <v>1</v>
      </c>
      <c r="G29" s="8" t="str">
        <f>IF(ISERROR(VLOOKUP(A29,RDPLP!D:D,1,0)),"N","Y")</f>
        <v>Y</v>
      </c>
      <c r="H29" s="8" t="str">
        <f>IF(ISERROR(VLOOKUP(A29,'SCINET-PLP'!D:D,1,0)),"N","Y")</f>
        <v>N</v>
      </c>
      <c r="I29" s="8" t="str">
        <f>IF(ISERROR(VLOOKUP(A29,FLEXPLP!D:D,1,0)),"N","Y")</f>
        <v>Y</v>
      </c>
      <c r="J29" s="8" t="str">
        <f>IF(ISERROR(VLOOKUP(A29,'ELN PLP'!D:D,1,0)),"N","Y")</f>
        <v>N</v>
      </c>
      <c r="K29" s="29">
        <f t="shared" si="1"/>
        <v>1</v>
      </c>
      <c r="L29" s="52" t="str">
        <f>IF(ISERROR(VLOOKUP(A29,RDPLP!G:G,1,0)),"N","Y")</f>
        <v>Y</v>
      </c>
      <c r="M29" s="52" t="str">
        <f>IF(ISERROR(VLOOKUP(A29,'SCINET-PLP'!G:G,1,0)),"N","Y")</f>
        <v>N</v>
      </c>
      <c r="N29" s="52" t="str">
        <f>IF(ISERROR(VLOOKUP(A29,FLEXPLP!G:G,1,0)),"N","Y")</f>
        <v>Y</v>
      </c>
      <c r="O29" s="52" t="str">
        <f>IF(ISERROR(VLOOKUP(A29,'ELN PLP'!G:G,1,0)),"N","Y")</f>
        <v>N</v>
      </c>
      <c r="P29" s="53">
        <f t="shared" si="2"/>
        <v>1</v>
      </c>
      <c r="R29" s="21">
        <f>IF(K29+F29&gt;0,1,0)</f>
        <v>1</v>
      </c>
      <c r="S29" s="24">
        <f>IF(ISERROR(VLOOKUP(A29,U:U,1,0)),0,1)</f>
        <v>0</v>
      </c>
      <c r="Z29" t="s">
        <v>6</v>
      </c>
    </row>
    <row r="30" spans="1:26" x14ac:dyDescent="0.35">
      <c r="A30" s="3" t="s">
        <v>12</v>
      </c>
      <c r="B30" s="5" t="str">
        <f>IF(ISERROR(VLOOKUP(A30,RDPLP!A30:A55,1,0)),"N","Y")</f>
        <v>N</v>
      </c>
      <c r="C30" s="5" t="str">
        <f>IF(ISERROR(VLOOKUP(A30,'SCINET-PLP'!A:A,1,0)),"N","Y")</f>
        <v>N</v>
      </c>
      <c r="D30" s="5" t="str">
        <f>IF(ISERROR(VLOOKUP(A30,FLEXPLP!A:A,1,0)),"N","Y")</f>
        <v>N</v>
      </c>
      <c r="E30" s="5" t="str">
        <f>IF(ISERROR(VLOOKUP(A30,'ELN PLP'!A:A,1,0)),"N","Y")</f>
        <v>N</v>
      </c>
      <c r="F30" s="26">
        <f t="shared" si="0"/>
        <v>0</v>
      </c>
      <c r="G30" s="8" t="str">
        <f>IF(ISERROR(VLOOKUP(A30,RDPLP!D:D,1,0)),"N","Y")</f>
        <v>Y</v>
      </c>
      <c r="H30" s="8" t="str">
        <f>IF(ISERROR(VLOOKUP(A30,'SCINET-PLP'!D:D,1,0)),"N","Y")</f>
        <v>Y</v>
      </c>
      <c r="I30" s="8" t="str">
        <f>IF(ISERROR(VLOOKUP(A30,FLEXPLP!D:D,1,0)),"N","Y")</f>
        <v>Y</v>
      </c>
      <c r="J30" s="8" t="str">
        <f>IF(ISERROR(VLOOKUP(A30,'ELN PLP'!D:D,1,0)),"N","Y")</f>
        <v>Y</v>
      </c>
      <c r="K30" s="29">
        <f t="shared" si="1"/>
        <v>1</v>
      </c>
      <c r="L30" s="52" t="str">
        <f>IF(ISERROR(VLOOKUP(A30,RDPLP!G:G,1,0)),"N","Y")</f>
        <v>Y</v>
      </c>
      <c r="M30" s="52" t="str">
        <f>IF(ISERROR(VLOOKUP(A30,'SCINET-PLP'!G:G,1,0)),"N","Y")</f>
        <v>N</v>
      </c>
      <c r="N30" s="52" t="str">
        <f>IF(ISERROR(VLOOKUP(A30,FLEXPLP!G:G,1,0)),"N","Y")</f>
        <v>N</v>
      </c>
      <c r="O30" s="52" t="str">
        <f>IF(ISERROR(VLOOKUP(A30,'ELN PLP'!G:G,1,0)),"N","Y")</f>
        <v>N</v>
      </c>
      <c r="P30" s="53">
        <f t="shared" si="2"/>
        <v>1</v>
      </c>
      <c r="R30" s="21">
        <f>IF(K30+F30&gt;0,1,0)</f>
        <v>1</v>
      </c>
      <c r="S30" s="24">
        <f>IF(ISERROR(VLOOKUP(A30,U:U,1,0)),0,1)</f>
        <v>0</v>
      </c>
      <c r="Z30" t="s">
        <v>1907</v>
      </c>
    </row>
    <row r="31" spans="1:26" x14ac:dyDescent="0.35">
      <c r="A31" s="3" t="s">
        <v>14</v>
      </c>
      <c r="B31" s="5" t="str">
        <f>IF(ISERROR(VLOOKUP(A31,RDPLP!A31:A56,1,0)),"N","Y")</f>
        <v>N</v>
      </c>
      <c r="C31" s="5" t="str">
        <f>IF(ISERROR(VLOOKUP(A31,'SCINET-PLP'!A:A,1,0)),"N","Y")</f>
        <v>N</v>
      </c>
      <c r="D31" s="5" t="str">
        <f>IF(ISERROR(VLOOKUP(A31,FLEXPLP!A:A,1,0)),"N","Y")</f>
        <v>Y</v>
      </c>
      <c r="E31" s="5" t="str">
        <f>IF(ISERROR(VLOOKUP(A31,'ELN PLP'!A:A,1,0)),"N","Y")</f>
        <v>N</v>
      </c>
      <c r="F31" s="26">
        <f t="shared" si="0"/>
        <v>1</v>
      </c>
      <c r="G31" s="8" t="str">
        <f>IF(ISERROR(VLOOKUP(A31,RDPLP!D:D,1,0)),"N","Y")</f>
        <v>Y</v>
      </c>
      <c r="H31" s="8" t="str">
        <f>IF(ISERROR(VLOOKUP(A31,'SCINET-PLP'!D:D,1,0)),"N","Y")</f>
        <v>N</v>
      </c>
      <c r="I31" s="8" t="str">
        <f>IF(ISERROR(VLOOKUP(A31,FLEXPLP!D:D,1,0)),"N","Y")</f>
        <v>N</v>
      </c>
      <c r="J31" s="8" t="str">
        <f>IF(ISERROR(VLOOKUP(A31,'ELN PLP'!D:D,1,0)),"N","Y")</f>
        <v>N</v>
      </c>
      <c r="K31" s="29">
        <f t="shared" si="1"/>
        <v>1</v>
      </c>
      <c r="L31" s="52" t="str">
        <f>IF(ISERROR(VLOOKUP(A31,RDPLP!G:G,1,0)),"N","Y")</f>
        <v>Y</v>
      </c>
      <c r="M31" s="52" t="str">
        <f>IF(ISERROR(VLOOKUP(A31,'SCINET-PLP'!G:G,1,0)),"N","Y")</f>
        <v>N</v>
      </c>
      <c r="N31" s="52" t="str">
        <f>IF(ISERROR(VLOOKUP(A31,FLEXPLP!G:G,1,0)),"N","Y")</f>
        <v>Y</v>
      </c>
      <c r="O31" s="52" t="str">
        <f>IF(ISERROR(VLOOKUP(A31,'ELN PLP'!G:G,1,0)),"N","Y")</f>
        <v>N</v>
      </c>
      <c r="P31" s="53">
        <f t="shared" si="2"/>
        <v>1</v>
      </c>
      <c r="R31" s="21">
        <f>IF(K31+F31&gt;0,1,0)</f>
        <v>1</v>
      </c>
      <c r="S31" s="24">
        <f>IF(ISERROR(VLOOKUP(A31,U:U,1,0)),0,1)</f>
        <v>0</v>
      </c>
      <c r="Z31" t="s">
        <v>1910</v>
      </c>
    </row>
    <row r="32" spans="1:26" x14ac:dyDescent="0.35">
      <c r="A32" s="3" t="s">
        <v>24</v>
      </c>
      <c r="B32" s="5" t="str">
        <f>IF(ISERROR(VLOOKUP(A32,RDPLP!A32:A57,1,0)),"N","Y")</f>
        <v>N</v>
      </c>
      <c r="C32" s="5" t="str">
        <f>IF(ISERROR(VLOOKUP(A32,'SCINET-PLP'!A:A,1,0)),"N","Y")</f>
        <v>N</v>
      </c>
      <c r="D32" s="5" t="str">
        <f>IF(ISERROR(VLOOKUP(A32,FLEXPLP!A:A,1,0)),"N","Y")</f>
        <v>N</v>
      </c>
      <c r="E32" s="5" t="str">
        <f>IF(ISERROR(VLOOKUP(A32,'ELN PLP'!A:A,1,0)),"N","Y")</f>
        <v>N</v>
      </c>
      <c r="F32" s="26">
        <f t="shared" si="0"/>
        <v>0</v>
      </c>
      <c r="G32" s="8" t="str">
        <f>IF(ISERROR(VLOOKUP(A32,RDPLP!D:D,1,0)),"N","Y")</f>
        <v>Y</v>
      </c>
      <c r="H32" s="8" t="str">
        <f>IF(ISERROR(VLOOKUP(A32,'SCINET-PLP'!D:D,1,0)),"N","Y")</f>
        <v>N</v>
      </c>
      <c r="I32" s="8" t="str">
        <f>IF(ISERROR(VLOOKUP(A32,FLEXPLP!D:D,1,0)),"N","Y")</f>
        <v>N</v>
      </c>
      <c r="J32" s="8" t="str">
        <f>IF(ISERROR(VLOOKUP(A32,'ELN PLP'!D:D,1,0)),"N","Y")</f>
        <v>N</v>
      </c>
      <c r="K32" s="29">
        <f t="shared" si="1"/>
        <v>1</v>
      </c>
      <c r="L32" s="52" t="str">
        <f>IF(ISERROR(VLOOKUP(A32,RDPLP!G:G,1,0)),"N","Y")</f>
        <v>N</v>
      </c>
      <c r="M32" s="52" t="str">
        <f>IF(ISERROR(VLOOKUP(A32,'SCINET-PLP'!G:G,1,0)),"N","Y")</f>
        <v>N</v>
      </c>
      <c r="N32" s="52" t="str">
        <f>IF(ISERROR(VLOOKUP(A32,FLEXPLP!G:G,1,0)),"N","Y")</f>
        <v>N</v>
      </c>
      <c r="O32" s="52" t="str">
        <f>IF(ISERROR(VLOOKUP(A32,'ELN PLP'!G:G,1,0)),"N","Y")</f>
        <v>N</v>
      </c>
      <c r="P32" s="53">
        <f t="shared" si="2"/>
        <v>0</v>
      </c>
      <c r="R32" s="21">
        <f>IF(K32+F32&gt;0,1,0)</f>
        <v>1</v>
      </c>
      <c r="S32" s="24">
        <f>IF(ISERROR(VLOOKUP(A32,U:U,1,0)),0,1)</f>
        <v>0</v>
      </c>
      <c r="Z32" t="s">
        <v>8</v>
      </c>
    </row>
    <row r="33" spans="1:26" x14ac:dyDescent="0.35">
      <c r="A33" s="3" t="s">
        <v>25</v>
      </c>
      <c r="B33" s="5" t="str">
        <f>IF(ISERROR(VLOOKUP(A33,RDPLP!A33:A58,1,0)),"N","Y")</f>
        <v>N</v>
      </c>
      <c r="C33" s="5" t="str">
        <f>IF(ISERROR(VLOOKUP(A33,'SCINET-PLP'!A:A,1,0)),"N","Y")</f>
        <v>N</v>
      </c>
      <c r="D33" s="5" t="str">
        <f>IF(ISERROR(VLOOKUP(A33,FLEXPLP!A:A,1,0)),"N","Y")</f>
        <v>N</v>
      </c>
      <c r="E33" s="5" t="str">
        <f>IF(ISERROR(VLOOKUP(A33,'ELN PLP'!A:A,1,0)),"N","Y")</f>
        <v>N</v>
      </c>
      <c r="F33" s="26">
        <f t="shared" si="0"/>
        <v>0</v>
      </c>
      <c r="G33" s="8" t="str">
        <f>IF(ISERROR(VLOOKUP(A33,RDPLP!D:D,1,0)),"N","Y")</f>
        <v>Y</v>
      </c>
      <c r="H33" s="8" t="str">
        <f>IF(ISERROR(VLOOKUP(A33,'SCINET-PLP'!D:D,1,0)),"N","Y")</f>
        <v>N</v>
      </c>
      <c r="I33" s="8" t="str">
        <f>IF(ISERROR(VLOOKUP(A33,FLEXPLP!D:D,1,0)),"N","Y")</f>
        <v>Y</v>
      </c>
      <c r="J33" s="8" t="str">
        <f>IF(ISERROR(VLOOKUP(A33,'ELN PLP'!D:D,1,0)),"N","Y")</f>
        <v>N</v>
      </c>
      <c r="K33" s="29">
        <f t="shared" si="1"/>
        <v>1</v>
      </c>
      <c r="L33" s="52" t="str">
        <f>IF(ISERROR(VLOOKUP(A33,RDPLP!G:G,1,0)),"N","Y")</f>
        <v>N</v>
      </c>
      <c r="M33" s="52" t="str">
        <f>IF(ISERROR(VLOOKUP(A33,'SCINET-PLP'!G:G,1,0)),"N","Y")</f>
        <v>N</v>
      </c>
      <c r="N33" s="52" t="str">
        <f>IF(ISERROR(VLOOKUP(A33,FLEXPLP!G:G,1,0)),"N","Y")</f>
        <v>N</v>
      </c>
      <c r="O33" s="52" t="str">
        <f>IF(ISERROR(VLOOKUP(A33,'ELN PLP'!G:G,1,0)),"N","Y")</f>
        <v>N</v>
      </c>
      <c r="P33" s="53">
        <f t="shared" si="2"/>
        <v>0</v>
      </c>
      <c r="R33" s="21">
        <f>IF(K33+F33&gt;0,1,0)</f>
        <v>1</v>
      </c>
      <c r="S33" s="24">
        <f>IF(ISERROR(VLOOKUP(A33,U:U,1,0)),0,1)</f>
        <v>0</v>
      </c>
      <c r="Z33" t="s">
        <v>37</v>
      </c>
    </row>
    <row r="34" spans="1:26" x14ac:dyDescent="0.35">
      <c r="A34" s="3" t="s">
        <v>31</v>
      </c>
      <c r="B34" s="5" t="str">
        <f>IF(ISERROR(VLOOKUP(A34,RDPLP!A34:A59,1,0)),"N","Y")</f>
        <v>N</v>
      </c>
      <c r="C34" s="5" t="str">
        <f>IF(ISERROR(VLOOKUP(A34,'SCINET-PLP'!A:A,1,0)),"N","Y")</f>
        <v>N</v>
      </c>
      <c r="D34" s="5" t="str">
        <f>IF(ISERROR(VLOOKUP(A34,FLEXPLP!A:A,1,0)),"N","Y")</f>
        <v>N</v>
      </c>
      <c r="E34" s="5" t="str">
        <f>IF(ISERROR(VLOOKUP(A34,'ELN PLP'!A:A,1,0)),"N","Y")</f>
        <v>N</v>
      </c>
      <c r="F34" s="26">
        <f t="shared" si="0"/>
        <v>0</v>
      </c>
      <c r="G34" s="8" t="str">
        <f>IF(ISERROR(VLOOKUP(A34,RDPLP!D:D,1,0)),"N","Y")</f>
        <v>Y</v>
      </c>
      <c r="H34" s="8" t="str">
        <f>IF(ISERROR(VLOOKUP(A34,'SCINET-PLP'!D:D,1,0)),"N","Y")</f>
        <v>N</v>
      </c>
      <c r="I34" s="8" t="str">
        <f>IF(ISERROR(VLOOKUP(A34,FLEXPLP!D:D,1,0)),"N","Y")</f>
        <v>Y</v>
      </c>
      <c r="J34" s="8" t="str">
        <f>IF(ISERROR(VLOOKUP(A34,'ELN PLP'!D:D,1,0)),"N","Y")</f>
        <v>N</v>
      </c>
      <c r="K34" s="29">
        <f t="shared" si="1"/>
        <v>1</v>
      </c>
      <c r="L34" s="52" t="str">
        <f>IF(ISERROR(VLOOKUP(A34,RDPLP!G:G,1,0)),"N","Y")</f>
        <v>N</v>
      </c>
      <c r="M34" s="52" t="str">
        <f>IF(ISERROR(VLOOKUP(A34,'SCINET-PLP'!G:G,1,0)),"N","Y")</f>
        <v>N</v>
      </c>
      <c r="N34" s="52" t="str">
        <f>IF(ISERROR(VLOOKUP(A34,FLEXPLP!G:G,1,0)),"N","Y")</f>
        <v>N</v>
      </c>
      <c r="O34" s="52" t="str">
        <f>IF(ISERROR(VLOOKUP(A34,'ELN PLP'!G:G,1,0)),"N","Y")</f>
        <v>N</v>
      </c>
      <c r="P34" s="53">
        <f t="shared" si="2"/>
        <v>0</v>
      </c>
      <c r="R34" s="21">
        <f>IF(K34+F34&gt;0,1,0)</f>
        <v>1</v>
      </c>
      <c r="S34" s="24">
        <f>IF(ISERROR(VLOOKUP(A34,U:U,1,0)),0,1)</f>
        <v>0</v>
      </c>
      <c r="Z34" t="s">
        <v>1919</v>
      </c>
    </row>
    <row r="35" spans="1:26" x14ac:dyDescent="0.35">
      <c r="A35" s="3" t="s">
        <v>33</v>
      </c>
      <c r="B35" s="5" t="str">
        <f>IF(ISERROR(VLOOKUP(A35,RDPLP!A35:A60,1,0)),"N","Y")</f>
        <v>N</v>
      </c>
      <c r="C35" s="5" t="str">
        <f>IF(ISERROR(VLOOKUP(A35,'SCINET-PLP'!A:A,1,0)),"N","Y")</f>
        <v>N</v>
      </c>
      <c r="D35" s="5" t="str">
        <f>IF(ISERROR(VLOOKUP(A35,FLEXPLP!A:A,1,0)),"N","Y")</f>
        <v>N</v>
      </c>
      <c r="E35" s="5" t="str">
        <f>IF(ISERROR(VLOOKUP(A35,'ELN PLP'!A:A,1,0)),"N","Y")</f>
        <v>N</v>
      </c>
      <c r="F35" s="26">
        <f t="shared" si="0"/>
        <v>0</v>
      </c>
      <c r="G35" s="8" t="str">
        <f>IF(ISERROR(VLOOKUP(A35,RDPLP!D:D,1,0)),"N","Y")</f>
        <v>Y</v>
      </c>
      <c r="H35" s="8" t="str">
        <f>IF(ISERROR(VLOOKUP(A35,'SCINET-PLP'!D:D,1,0)),"N","Y")</f>
        <v>N</v>
      </c>
      <c r="I35" s="8" t="str">
        <f>IF(ISERROR(VLOOKUP(A35,FLEXPLP!D:D,1,0)),"N","Y")</f>
        <v>N</v>
      </c>
      <c r="J35" s="8" t="str">
        <f>IF(ISERROR(VLOOKUP(A35,'ELN PLP'!D:D,1,0)),"N","Y")</f>
        <v>N</v>
      </c>
      <c r="K35" s="29">
        <f t="shared" si="1"/>
        <v>1</v>
      </c>
      <c r="L35" s="52" t="str">
        <f>IF(ISERROR(VLOOKUP(A35,RDPLP!G:G,1,0)),"N","Y")</f>
        <v>N</v>
      </c>
      <c r="M35" s="52" t="str">
        <f>IF(ISERROR(VLOOKUP(A35,'SCINET-PLP'!G:G,1,0)),"N","Y")</f>
        <v>N</v>
      </c>
      <c r="N35" s="52" t="str">
        <f>IF(ISERROR(VLOOKUP(A35,FLEXPLP!G:G,1,0)),"N","Y")</f>
        <v>N</v>
      </c>
      <c r="O35" s="52" t="str">
        <f>IF(ISERROR(VLOOKUP(A35,'ELN PLP'!G:G,1,0)),"N","Y")</f>
        <v>N</v>
      </c>
      <c r="P35" s="53">
        <f t="shared" si="2"/>
        <v>0</v>
      </c>
      <c r="R35" s="21">
        <f>IF(K35+F35&gt;0,1,0)</f>
        <v>1</v>
      </c>
      <c r="S35" s="24">
        <f>IF(ISERROR(VLOOKUP(A35,U:U,1,0)),0,1)</f>
        <v>0</v>
      </c>
      <c r="Z35" t="s">
        <v>1923</v>
      </c>
    </row>
    <row r="36" spans="1:26" x14ac:dyDescent="0.35">
      <c r="A36" s="3" t="s">
        <v>35</v>
      </c>
      <c r="B36" s="5" t="str">
        <f>IF(ISERROR(VLOOKUP(A36,RDPLP!A36:A61,1,0)),"N","Y")</f>
        <v>N</v>
      </c>
      <c r="C36" s="5" t="str">
        <f>IF(ISERROR(VLOOKUP(A36,'SCINET-PLP'!A:A,1,0)),"N","Y")</f>
        <v>N</v>
      </c>
      <c r="D36" s="5" t="str">
        <f>IF(ISERROR(VLOOKUP(A36,FLEXPLP!A:A,1,0)),"N","Y")</f>
        <v>N</v>
      </c>
      <c r="E36" s="5" t="str">
        <f>IF(ISERROR(VLOOKUP(A36,'ELN PLP'!A:A,1,0)),"N","Y")</f>
        <v>N</v>
      </c>
      <c r="F36" s="26">
        <f t="shared" si="0"/>
        <v>0</v>
      </c>
      <c r="G36" s="8" t="str">
        <f>IF(ISERROR(VLOOKUP(A36,RDPLP!D:D,1,0)),"N","Y")</f>
        <v>Y</v>
      </c>
      <c r="H36" s="8" t="str">
        <f>IF(ISERROR(VLOOKUP(A36,'SCINET-PLP'!D:D,1,0)),"N","Y")</f>
        <v>N</v>
      </c>
      <c r="I36" s="8" t="str">
        <f>IF(ISERROR(VLOOKUP(A36,FLEXPLP!D:D,1,0)),"N","Y")</f>
        <v>N</v>
      </c>
      <c r="J36" s="8" t="str">
        <f>IF(ISERROR(VLOOKUP(A36,'ELN PLP'!D:D,1,0)),"N","Y")</f>
        <v>N</v>
      </c>
      <c r="K36" s="29">
        <f t="shared" si="1"/>
        <v>1</v>
      </c>
      <c r="L36" s="52" t="str">
        <f>IF(ISERROR(VLOOKUP(A36,RDPLP!G:G,1,0)),"N","Y")</f>
        <v>N</v>
      </c>
      <c r="M36" s="52" t="str">
        <f>IF(ISERROR(VLOOKUP(A36,'SCINET-PLP'!G:G,1,0)),"N","Y")</f>
        <v>N</v>
      </c>
      <c r="N36" s="52" t="str">
        <f>IF(ISERROR(VLOOKUP(A36,FLEXPLP!G:G,1,0)),"N","Y")</f>
        <v>N</v>
      </c>
      <c r="O36" s="52" t="str">
        <f>IF(ISERROR(VLOOKUP(A36,'ELN PLP'!G:G,1,0)),"N","Y")</f>
        <v>N</v>
      </c>
      <c r="P36" s="53">
        <f t="shared" si="2"/>
        <v>0</v>
      </c>
      <c r="R36" s="21">
        <f>IF(K36+F36&gt;0,1,0)</f>
        <v>1</v>
      </c>
      <c r="S36" s="24">
        <f>IF(ISERROR(VLOOKUP(A36,U:U,1,0)),0,1)</f>
        <v>0</v>
      </c>
      <c r="Z36" t="s">
        <v>163</v>
      </c>
    </row>
    <row r="37" spans="1:26" x14ac:dyDescent="0.35">
      <c r="A37" s="3" t="s">
        <v>38</v>
      </c>
      <c r="B37" s="5" t="str">
        <f>IF(ISERROR(VLOOKUP(A37,RDPLP!A37:A62,1,0)),"N","Y")</f>
        <v>N</v>
      </c>
      <c r="C37" s="5" t="str">
        <f>IF(ISERROR(VLOOKUP(A37,'SCINET-PLP'!A:A,1,0)),"N","Y")</f>
        <v>N</v>
      </c>
      <c r="D37" s="5" t="str">
        <f>IF(ISERROR(VLOOKUP(A37,FLEXPLP!A:A,1,0)),"N","Y")</f>
        <v>N</v>
      </c>
      <c r="E37" s="5" t="str">
        <f>IF(ISERROR(VLOOKUP(A37,'ELN PLP'!A:A,1,0)),"N","Y")</f>
        <v>N</v>
      </c>
      <c r="F37" s="26">
        <f t="shared" si="0"/>
        <v>0</v>
      </c>
      <c r="G37" s="8" t="str">
        <f>IF(ISERROR(VLOOKUP(A37,RDPLP!D:D,1,0)),"N","Y")</f>
        <v>Y</v>
      </c>
      <c r="H37" s="8" t="str">
        <f>IF(ISERROR(VLOOKUP(A37,'SCINET-PLP'!D:D,1,0)),"N","Y")</f>
        <v>N</v>
      </c>
      <c r="I37" s="8" t="str">
        <f>IF(ISERROR(VLOOKUP(A37,FLEXPLP!D:D,1,0)),"N","Y")</f>
        <v>Y</v>
      </c>
      <c r="J37" s="8" t="str">
        <f>IF(ISERROR(VLOOKUP(A37,'ELN PLP'!D:D,1,0)),"N","Y")</f>
        <v>N</v>
      </c>
      <c r="K37" s="29">
        <f t="shared" si="1"/>
        <v>1</v>
      </c>
      <c r="L37" s="52" t="str">
        <f>IF(ISERROR(VLOOKUP(A37,RDPLP!G:G,1,0)),"N","Y")</f>
        <v>Y</v>
      </c>
      <c r="M37" s="52" t="str">
        <f>IF(ISERROR(VLOOKUP(A37,'SCINET-PLP'!G:G,1,0)),"N","Y")</f>
        <v>N</v>
      </c>
      <c r="N37" s="52" t="str">
        <f>IF(ISERROR(VLOOKUP(A37,FLEXPLP!G:G,1,0)),"N","Y")</f>
        <v>Y</v>
      </c>
      <c r="O37" s="52" t="str">
        <f>IF(ISERROR(VLOOKUP(A37,'ELN PLP'!G:G,1,0)),"N","Y")</f>
        <v>N</v>
      </c>
      <c r="P37" s="53">
        <f t="shared" si="2"/>
        <v>1</v>
      </c>
      <c r="R37" s="21">
        <f>IF(K37+F37&gt;0,1,0)</f>
        <v>1</v>
      </c>
      <c r="S37" s="24">
        <f>IF(ISERROR(VLOOKUP(A37,U:U,1,0)),0,1)</f>
        <v>0</v>
      </c>
      <c r="Z37" t="s">
        <v>1929</v>
      </c>
    </row>
    <row r="38" spans="1:26" x14ac:dyDescent="0.35">
      <c r="A38" s="3" t="s">
        <v>39</v>
      </c>
      <c r="B38" s="5" t="str">
        <f>IF(ISERROR(VLOOKUP(A38,RDPLP!A38:A63,1,0)),"N","Y")</f>
        <v>N</v>
      </c>
      <c r="C38" s="5" t="str">
        <f>IF(ISERROR(VLOOKUP(A38,'SCINET-PLP'!A:A,1,0)),"N","Y")</f>
        <v>Y</v>
      </c>
      <c r="D38" s="5" t="str">
        <f>IF(ISERROR(VLOOKUP(A38,FLEXPLP!A:A,1,0)),"N","Y")</f>
        <v>N</v>
      </c>
      <c r="E38" s="5" t="str">
        <f>IF(ISERROR(VLOOKUP(A38,'ELN PLP'!A:A,1,0)),"N","Y")</f>
        <v>N</v>
      </c>
      <c r="F38" s="26">
        <f t="shared" si="0"/>
        <v>1</v>
      </c>
      <c r="G38" s="8" t="str">
        <f>IF(ISERROR(VLOOKUP(A38,RDPLP!D:D,1,0)),"N","Y")</f>
        <v>N</v>
      </c>
      <c r="H38" s="8" t="str">
        <f>IF(ISERROR(VLOOKUP(A38,'SCINET-PLP'!D:D,1,0)),"N","Y")</f>
        <v>Y</v>
      </c>
      <c r="I38" s="8" t="str">
        <f>IF(ISERROR(VLOOKUP(A38,FLEXPLP!D:D,1,0)),"N","Y")</f>
        <v>N</v>
      </c>
      <c r="J38" s="8" t="str">
        <f>IF(ISERROR(VLOOKUP(A38,'ELN PLP'!D:D,1,0)),"N","Y")</f>
        <v>N</v>
      </c>
      <c r="K38" s="29">
        <f t="shared" si="1"/>
        <v>1</v>
      </c>
      <c r="L38" s="52" t="str">
        <f>IF(ISERROR(VLOOKUP(A38,RDPLP!G:G,1,0)),"N","Y")</f>
        <v>N</v>
      </c>
      <c r="M38" s="52" t="str">
        <f>IF(ISERROR(VLOOKUP(A38,'SCINET-PLP'!G:G,1,0)),"N","Y")</f>
        <v>Y</v>
      </c>
      <c r="N38" s="52" t="str">
        <f>IF(ISERROR(VLOOKUP(A38,FLEXPLP!G:G,1,0)),"N","Y")</f>
        <v>N</v>
      </c>
      <c r="O38" s="52" t="str">
        <f>IF(ISERROR(VLOOKUP(A38,'ELN PLP'!G:G,1,0)),"N","Y")</f>
        <v>N</v>
      </c>
      <c r="P38" s="53">
        <f t="shared" si="2"/>
        <v>1</v>
      </c>
      <c r="R38" s="21">
        <f>IF(K38+F38&gt;0,1,0)</f>
        <v>1</v>
      </c>
      <c r="S38" s="24">
        <f>IF(ISERROR(VLOOKUP(A38,U:U,1,0)),0,1)</f>
        <v>0</v>
      </c>
      <c r="Z38" t="s">
        <v>27</v>
      </c>
    </row>
    <row r="39" spans="1:26" x14ac:dyDescent="0.35">
      <c r="A39" s="3" t="s">
        <v>40</v>
      </c>
      <c r="B39" s="5" t="str">
        <f>IF(ISERROR(VLOOKUP(A39,RDPLP!A39:A64,1,0)),"N","Y")</f>
        <v>N</v>
      </c>
      <c r="C39" s="5" t="str">
        <f>IF(ISERROR(VLOOKUP(A39,'SCINET-PLP'!A:A,1,0)),"N","Y")</f>
        <v>Y</v>
      </c>
      <c r="D39" s="5" t="str">
        <f>IF(ISERROR(VLOOKUP(A39,FLEXPLP!A:A,1,0)),"N","Y")</f>
        <v>N</v>
      </c>
      <c r="E39" s="5" t="str">
        <f>IF(ISERROR(VLOOKUP(A39,'ELN PLP'!A:A,1,0)),"N","Y")</f>
        <v>N</v>
      </c>
      <c r="F39" s="26">
        <f t="shared" si="0"/>
        <v>1</v>
      </c>
      <c r="G39" s="8" t="str">
        <f>IF(ISERROR(VLOOKUP(A39,RDPLP!D:D,1,0)),"N","Y")</f>
        <v>N</v>
      </c>
      <c r="H39" s="8" t="str">
        <f>IF(ISERROR(VLOOKUP(A39,'SCINET-PLP'!D:D,1,0)),"N","Y")</f>
        <v>Y</v>
      </c>
      <c r="I39" s="8" t="str">
        <f>IF(ISERROR(VLOOKUP(A39,FLEXPLP!D:D,1,0)),"N","Y")</f>
        <v>N</v>
      </c>
      <c r="J39" s="8" t="str">
        <f>IF(ISERROR(VLOOKUP(A39,'ELN PLP'!D:D,1,0)),"N","Y")</f>
        <v>N</v>
      </c>
      <c r="K39" s="29">
        <f t="shared" si="1"/>
        <v>1</v>
      </c>
      <c r="L39" s="52" t="str">
        <f>IF(ISERROR(VLOOKUP(A39,RDPLP!G:G,1,0)),"N","Y")</f>
        <v>N</v>
      </c>
      <c r="M39" s="52" t="str">
        <f>IF(ISERROR(VLOOKUP(A39,'SCINET-PLP'!G:G,1,0)),"N","Y")</f>
        <v>Y</v>
      </c>
      <c r="N39" s="52" t="str">
        <f>IF(ISERROR(VLOOKUP(A39,FLEXPLP!G:G,1,0)),"N","Y")</f>
        <v>N</v>
      </c>
      <c r="O39" s="52" t="str">
        <f>IF(ISERROR(VLOOKUP(A39,'ELN PLP'!G:G,1,0)),"N","Y")</f>
        <v>N</v>
      </c>
      <c r="P39" s="53">
        <f t="shared" si="2"/>
        <v>1</v>
      </c>
      <c r="R39" s="21">
        <f>IF(K39+F39&gt;0,1,0)</f>
        <v>1</v>
      </c>
      <c r="S39" s="24">
        <f>IF(ISERROR(VLOOKUP(A39,U:U,1,0)),0,1)</f>
        <v>0</v>
      </c>
      <c r="Z39" t="s">
        <v>24</v>
      </c>
    </row>
    <row r="40" spans="1:26" x14ac:dyDescent="0.35">
      <c r="A40" s="3" t="s">
        <v>42</v>
      </c>
      <c r="B40" s="5" t="str">
        <f>IF(ISERROR(VLOOKUP(A40,RDPLP!A40:A65,1,0)),"N","Y")</f>
        <v>N</v>
      </c>
      <c r="C40" s="5" t="str">
        <f>IF(ISERROR(VLOOKUP(A40,'SCINET-PLP'!A:A,1,0)),"N","Y")</f>
        <v>Y</v>
      </c>
      <c r="D40" s="5" t="str">
        <f>IF(ISERROR(VLOOKUP(A40,FLEXPLP!A:A,1,0)),"N","Y")</f>
        <v>N</v>
      </c>
      <c r="E40" s="5" t="str">
        <f>IF(ISERROR(VLOOKUP(A40,'ELN PLP'!A:A,1,0)),"N","Y")</f>
        <v>N</v>
      </c>
      <c r="F40" s="26">
        <f t="shared" si="0"/>
        <v>1</v>
      </c>
      <c r="G40" s="8" t="str">
        <f>IF(ISERROR(VLOOKUP(A40,RDPLP!D:D,1,0)),"N","Y")</f>
        <v>N</v>
      </c>
      <c r="H40" s="8" t="str">
        <f>IF(ISERROR(VLOOKUP(A40,'SCINET-PLP'!D:D,1,0)),"N","Y")</f>
        <v>N</v>
      </c>
      <c r="I40" s="8" t="str">
        <f>IF(ISERROR(VLOOKUP(A40,FLEXPLP!D:D,1,0)),"N","Y")</f>
        <v>N</v>
      </c>
      <c r="J40" s="8" t="str">
        <f>IF(ISERROR(VLOOKUP(A40,'ELN PLP'!D:D,1,0)),"N","Y")</f>
        <v>N</v>
      </c>
      <c r="K40" s="29">
        <f t="shared" si="1"/>
        <v>0</v>
      </c>
      <c r="L40" s="52" t="str">
        <f>IF(ISERROR(VLOOKUP(A40,RDPLP!G:G,1,0)),"N","Y")</f>
        <v>N</v>
      </c>
      <c r="M40" s="52" t="str">
        <f>IF(ISERROR(VLOOKUP(A40,'SCINET-PLP'!G:G,1,0)),"N","Y")</f>
        <v>N</v>
      </c>
      <c r="N40" s="52" t="str">
        <f>IF(ISERROR(VLOOKUP(A40,FLEXPLP!G:G,1,0)),"N","Y")</f>
        <v>N</v>
      </c>
      <c r="O40" s="52" t="str">
        <f>IF(ISERROR(VLOOKUP(A40,'ELN PLP'!G:G,1,0)),"N","Y")</f>
        <v>N</v>
      </c>
      <c r="P40" s="53">
        <f t="shared" si="2"/>
        <v>0</v>
      </c>
      <c r="R40" s="21">
        <f>IF(K40+F40&gt;0,1,0)</f>
        <v>1</v>
      </c>
      <c r="S40" s="24">
        <f>IF(ISERROR(VLOOKUP(A40,U:U,1,0)),0,1)</f>
        <v>0</v>
      </c>
      <c r="Z40" t="s">
        <v>1935</v>
      </c>
    </row>
    <row r="41" spans="1:26" x14ac:dyDescent="0.35">
      <c r="A41" s="3" t="s">
        <v>44</v>
      </c>
      <c r="B41" s="5" t="str">
        <f>IF(ISERROR(VLOOKUP(A41,RDPLP!A41:A66,1,0)),"N","Y")</f>
        <v>N</v>
      </c>
      <c r="C41" s="5" t="str">
        <f>IF(ISERROR(VLOOKUP(A41,'SCINET-PLP'!A:A,1,0)),"N","Y")</f>
        <v>Y</v>
      </c>
      <c r="D41" s="5" t="str">
        <f>IF(ISERROR(VLOOKUP(A41,FLEXPLP!A:A,1,0)),"N","Y")</f>
        <v>N</v>
      </c>
      <c r="E41" s="5" t="str">
        <f>IF(ISERROR(VLOOKUP(A41,'ELN PLP'!A:A,1,0)),"N","Y")</f>
        <v>N</v>
      </c>
      <c r="F41" s="26">
        <f t="shared" si="0"/>
        <v>1</v>
      </c>
      <c r="G41" s="8" t="str">
        <f>IF(ISERROR(VLOOKUP(A41,RDPLP!D:D,1,0)),"N","Y")</f>
        <v>N</v>
      </c>
      <c r="H41" s="8" t="str">
        <f>IF(ISERROR(VLOOKUP(A41,'SCINET-PLP'!D:D,1,0)),"N","Y")</f>
        <v>Y</v>
      </c>
      <c r="I41" s="8" t="str">
        <f>IF(ISERROR(VLOOKUP(A41,FLEXPLP!D:D,1,0)),"N","Y")</f>
        <v>N</v>
      </c>
      <c r="J41" s="8" t="str">
        <f>IF(ISERROR(VLOOKUP(A41,'ELN PLP'!D:D,1,0)),"N","Y")</f>
        <v>N</v>
      </c>
      <c r="K41" s="29">
        <f t="shared" si="1"/>
        <v>1</v>
      </c>
      <c r="L41" s="52" t="str">
        <f>IF(ISERROR(VLOOKUP(A41,RDPLP!G:G,1,0)),"N","Y")</f>
        <v>N</v>
      </c>
      <c r="M41" s="52" t="str">
        <f>IF(ISERROR(VLOOKUP(A41,'SCINET-PLP'!G:G,1,0)),"N","Y")</f>
        <v>N</v>
      </c>
      <c r="N41" s="52" t="str">
        <f>IF(ISERROR(VLOOKUP(A41,FLEXPLP!G:G,1,0)),"N","Y")</f>
        <v>N</v>
      </c>
      <c r="O41" s="52" t="str">
        <f>IF(ISERROR(VLOOKUP(A41,'ELN PLP'!G:G,1,0)),"N","Y")</f>
        <v>N</v>
      </c>
      <c r="P41" s="53">
        <f t="shared" si="2"/>
        <v>0</v>
      </c>
      <c r="R41" s="21">
        <f>IF(K41+F41&gt;0,1,0)</f>
        <v>1</v>
      </c>
      <c r="S41" s="24">
        <f>IF(ISERROR(VLOOKUP(A41,U:U,1,0)),0,1)</f>
        <v>0</v>
      </c>
      <c r="Z41" t="s">
        <v>1938</v>
      </c>
    </row>
    <row r="42" spans="1:26" x14ac:dyDescent="0.35">
      <c r="A42" s="3" t="s">
        <v>46</v>
      </c>
      <c r="B42" s="5" t="str">
        <f>IF(ISERROR(VLOOKUP(A42,RDPLP!A42:A67,1,0)),"N","Y")</f>
        <v>N</v>
      </c>
      <c r="C42" s="5" t="str">
        <f>IF(ISERROR(VLOOKUP(A42,'SCINET-PLP'!A:A,1,0)),"N","Y")</f>
        <v>Y</v>
      </c>
      <c r="D42" s="5" t="str">
        <f>IF(ISERROR(VLOOKUP(A42,FLEXPLP!A:A,1,0)),"N","Y")</f>
        <v>N</v>
      </c>
      <c r="E42" s="5" t="str">
        <f>IF(ISERROR(VLOOKUP(A42,'ELN PLP'!A:A,1,0)),"N","Y")</f>
        <v>N</v>
      </c>
      <c r="F42" s="26">
        <f t="shared" si="0"/>
        <v>1</v>
      </c>
      <c r="G42" s="8" t="str">
        <f>IF(ISERROR(VLOOKUP(A42,RDPLP!D:D,1,0)),"N","Y")</f>
        <v>N</v>
      </c>
      <c r="H42" s="8" t="str">
        <f>IF(ISERROR(VLOOKUP(A42,'SCINET-PLP'!D:D,1,0)),"N","Y")</f>
        <v>Y</v>
      </c>
      <c r="I42" s="8" t="str">
        <f>IF(ISERROR(VLOOKUP(A42,FLEXPLP!D:D,1,0)),"N","Y")</f>
        <v>N</v>
      </c>
      <c r="J42" s="8" t="str">
        <f>IF(ISERROR(VLOOKUP(A42,'ELN PLP'!D:D,1,0)),"N","Y")</f>
        <v>N</v>
      </c>
      <c r="K42" s="29">
        <f t="shared" si="1"/>
        <v>1</v>
      </c>
      <c r="L42" s="52" t="str">
        <f>IF(ISERROR(VLOOKUP(A42,RDPLP!G:G,1,0)),"N","Y")</f>
        <v>N</v>
      </c>
      <c r="M42" s="52" t="str">
        <f>IF(ISERROR(VLOOKUP(A42,'SCINET-PLP'!G:G,1,0)),"N","Y")</f>
        <v>N</v>
      </c>
      <c r="N42" s="52" t="str">
        <f>IF(ISERROR(VLOOKUP(A42,FLEXPLP!G:G,1,0)),"N","Y")</f>
        <v>N</v>
      </c>
      <c r="O42" s="52" t="str">
        <f>IF(ISERROR(VLOOKUP(A42,'ELN PLP'!G:G,1,0)),"N","Y")</f>
        <v>N</v>
      </c>
      <c r="P42" s="53">
        <f t="shared" si="2"/>
        <v>0</v>
      </c>
      <c r="R42" s="21">
        <f>IF(K42+F42&gt;0,1,0)</f>
        <v>1</v>
      </c>
      <c r="S42" s="24">
        <f>IF(ISERROR(VLOOKUP(A42,U:U,1,0)),0,1)</f>
        <v>0</v>
      </c>
      <c r="Z42" t="s">
        <v>36</v>
      </c>
    </row>
    <row r="43" spans="1:26" x14ac:dyDescent="0.35">
      <c r="A43" s="3" t="s">
        <v>48</v>
      </c>
      <c r="B43" s="5" t="str">
        <f>IF(ISERROR(VLOOKUP(A43,RDPLP!A43:A68,1,0)),"N","Y")</f>
        <v>N</v>
      </c>
      <c r="C43" s="5" t="str">
        <f>IF(ISERROR(VLOOKUP(A43,'SCINET-PLP'!A:A,1,0)),"N","Y")</f>
        <v>Y</v>
      </c>
      <c r="D43" s="5" t="str">
        <f>IF(ISERROR(VLOOKUP(A43,FLEXPLP!A:A,1,0)),"N","Y")</f>
        <v>N</v>
      </c>
      <c r="E43" s="5" t="str">
        <f>IF(ISERROR(VLOOKUP(A43,'ELN PLP'!A:A,1,0)),"N","Y")</f>
        <v>N</v>
      </c>
      <c r="F43" s="26">
        <f t="shared" si="0"/>
        <v>1</v>
      </c>
      <c r="G43" s="8" t="str">
        <f>IF(ISERROR(VLOOKUP(A43,RDPLP!D:D,1,0)),"N","Y")</f>
        <v>N</v>
      </c>
      <c r="H43" s="8" t="str">
        <f>IF(ISERROR(VLOOKUP(A43,'SCINET-PLP'!D:D,1,0)),"N","Y")</f>
        <v>Y</v>
      </c>
      <c r="I43" s="8" t="str">
        <f>IF(ISERROR(VLOOKUP(A43,FLEXPLP!D:D,1,0)),"N","Y")</f>
        <v>N</v>
      </c>
      <c r="J43" s="8" t="str">
        <f>IF(ISERROR(VLOOKUP(A43,'ELN PLP'!D:D,1,0)),"N","Y")</f>
        <v>N</v>
      </c>
      <c r="K43" s="29">
        <f t="shared" si="1"/>
        <v>1</v>
      </c>
      <c r="L43" s="52" t="str">
        <f>IF(ISERROR(VLOOKUP(A43,RDPLP!G:G,1,0)),"N","Y")</f>
        <v>N</v>
      </c>
      <c r="M43" s="52" t="str">
        <f>IF(ISERROR(VLOOKUP(A43,'SCINET-PLP'!G:G,1,0)),"N","Y")</f>
        <v>N</v>
      </c>
      <c r="N43" s="52" t="str">
        <f>IF(ISERROR(VLOOKUP(A43,FLEXPLP!G:G,1,0)),"N","Y")</f>
        <v>N</v>
      </c>
      <c r="O43" s="52" t="str">
        <f>IF(ISERROR(VLOOKUP(A43,'ELN PLP'!G:G,1,0)),"N","Y")</f>
        <v>N</v>
      </c>
      <c r="P43" s="53">
        <f t="shared" si="2"/>
        <v>0</v>
      </c>
      <c r="R43" s="21">
        <f>IF(K43+F43&gt;0,1,0)</f>
        <v>1</v>
      </c>
      <c r="S43" s="24">
        <f>IF(ISERROR(VLOOKUP(A43,U:U,1,0)),0,1)</f>
        <v>0</v>
      </c>
      <c r="Z43" t="s">
        <v>1945</v>
      </c>
    </row>
    <row r="44" spans="1:26" x14ac:dyDescent="0.35">
      <c r="A44" s="3" t="s">
        <v>43</v>
      </c>
      <c r="B44" s="5" t="str">
        <f>IF(ISERROR(VLOOKUP(A44,RDPLP!A44:A69,1,0)),"N","Y")</f>
        <v>N</v>
      </c>
      <c r="C44" s="5" t="str">
        <f>IF(ISERROR(VLOOKUP(A44,'SCINET-PLP'!A:A,1,0)),"N","Y")</f>
        <v>Y</v>
      </c>
      <c r="D44" s="5" t="str">
        <f>IF(ISERROR(VLOOKUP(A44,FLEXPLP!A:A,1,0)),"N","Y")</f>
        <v>N</v>
      </c>
      <c r="E44" s="5" t="str">
        <f>IF(ISERROR(VLOOKUP(A44,'ELN PLP'!A:A,1,0)),"N","Y")</f>
        <v>N</v>
      </c>
      <c r="F44" s="26">
        <f t="shared" si="0"/>
        <v>1</v>
      </c>
      <c r="G44" s="8" t="str">
        <f>IF(ISERROR(VLOOKUP(A44,RDPLP!D:D,1,0)),"N","Y")</f>
        <v>N</v>
      </c>
      <c r="H44" s="8" t="str">
        <f>IF(ISERROR(VLOOKUP(A44,'SCINET-PLP'!D:D,1,0)),"N","Y")</f>
        <v>Y</v>
      </c>
      <c r="I44" s="8" t="str">
        <f>IF(ISERROR(VLOOKUP(A44,FLEXPLP!D:D,1,0)),"N","Y")</f>
        <v>N</v>
      </c>
      <c r="J44" s="8" t="str">
        <f>IF(ISERROR(VLOOKUP(A44,'ELN PLP'!D:D,1,0)),"N","Y")</f>
        <v>N</v>
      </c>
      <c r="K44" s="29">
        <f t="shared" si="1"/>
        <v>1</v>
      </c>
      <c r="L44" s="52" t="str">
        <f>IF(ISERROR(VLOOKUP(A44,RDPLP!G:G,1,0)),"N","Y")</f>
        <v>N</v>
      </c>
      <c r="M44" s="52" t="str">
        <f>IF(ISERROR(VLOOKUP(A44,'SCINET-PLP'!G:G,1,0)),"N","Y")</f>
        <v>N</v>
      </c>
      <c r="N44" s="52" t="str">
        <f>IF(ISERROR(VLOOKUP(A44,FLEXPLP!G:G,1,0)),"N","Y")</f>
        <v>N</v>
      </c>
      <c r="O44" s="52" t="str">
        <f>IF(ISERROR(VLOOKUP(A44,'ELN PLP'!G:G,1,0)),"N","Y")</f>
        <v>N</v>
      </c>
      <c r="P44" s="53">
        <f t="shared" si="2"/>
        <v>0</v>
      </c>
      <c r="R44" s="21">
        <f>IF(K44+F44&gt;0,1,0)</f>
        <v>1</v>
      </c>
      <c r="S44" s="24">
        <f>IF(ISERROR(VLOOKUP(A44,U:U,1,0)),0,1)</f>
        <v>0</v>
      </c>
      <c r="Z44" t="s">
        <v>38</v>
      </c>
    </row>
    <row r="45" spans="1:26" x14ac:dyDescent="0.35">
      <c r="A45" s="3" t="s">
        <v>49</v>
      </c>
      <c r="B45" s="5" t="str">
        <f>IF(ISERROR(VLOOKUP(A45,RDPLP!A45:A70,1,0)),"N","Y")</f>
        <v>N</v>
      </c>
      <c r="C45" s="5" t="str">
        <f>IF(ISERROR(VLOOKUP(A45,'SCINET-PLP'!A:A,1,0)),"N","Y")</f>
        <v>Y</v>
      </c>
      <c r="D45" s="5" t="str">
        <f>IF(ISERROR(VLOOKUP(A45,FLEXPLP!A:A,1,0)),"N","Y")</f>
        <v>N</v>
      </c>
      <c r="E45" s="5" t="str">
        <f>IF(ISERROR(VLOOKUP(A45,'ELN PLP'!A:A,1,0)),"N","Y")</f>
        <v>N</v>
      </c>
      <c r="F45" s="26">
        <f t="shared" si="0"/>
        <v>1</v>
      </c>
      <c r="G45" s="8" t="str">
        <f>IF(ISERROR(VLOOKUP(A45,RDPLP!D:D,1,0)),"N","Y")</f>
        <v>N</v>
      </c>
      <c r="H45" s="8" t="str">
        <f>IF(ISERROR(VLOOKUP(A45,'SCINET-PLP'!D:D,1,0)),"N","Y")</f>
        <v>Y</v>
      </c>
      <c r="I45" s="8" t="str">
        <f>IF(ISERROR(VLOOKUP(A45,FLEXPLP!D:D,1,0)),"N","Y")</f>
        <v>N</v>
      </c>
      <c r="J45" s="8" t="str">
        <f>IF(ISERROR(VLOOKUP(A45,'ELN PLP'!D:D,1,0)),"N","Y")</f>
        <v>N</v>
      </c>
      <c r="K45" s="29">
        <f t="shared" si="1"/>
        <v>1</v>
      </c>
      <c r="L45" s="52" t="str">
        <f>IF(ISERROR(VLOOKUP(A45,RDPLP!G:G,1,0)),"N","Y")</f>
        <v>N</v>
      </c>
      <c r="M45" s="52" t="str">
        <f>IF(ISERROR(VLOOKUP(A45,'SCINET-PLP'!G:G,1,0)),"N","Y")</f>
        <v>N</v>
      </c>
      <c r="N45" s="52" t="str">
        <f>IF(ISERROR(VLOOKUP(A45,FLEXPLP!G:G,1,0)),"N","Y")</f>
        <v>N</v>
      </c>
      <c r="O45" s="52" t="str">
        <f>IF(ISERROR(VLOOKUP(A45,'ELN PLP'!G:G,1,0)),"N","Y")</f>
        <v>N</v>
      </c>
      <c r="P45" s="53">
        <f t="shared" si="2"/>
        <v>0</v>
      </c>
      <c r="R45" s="21">
        <f>IF(K45+F45&gt;0,1,0)</f>
        <v>1</v>
      </c>
      <c r="S45" s="24">
        <f>IF(ISERROR(VLOOKUP(A45,U:U,1,0)),0,1)</f>
        <v>0</v>
      </c>
      <c r="Z45" t="s">
        <v>1950</v>
      </c>
    </row>
    <row r="46" spans="1:26" x14ac:dyDescent="0.35">
      <c r="A46" s="3" t="s">
        <v>52</v>
      </c>
      <c r="B46" s="5" t="str">
        <f>IF(ISERROR(VLOOKUP(A46,RDPLP!A46:A71,1,0)),"N","Y")</f>
        <v>N</v>
      </c>
      <c r="C46" s="5" t="str">
        <f>IF(ISERROR(VLOOKUP(A46,'SCINET-PLP'!A:A,1,0)),"N","Y")</f>
        <v>Y</v>
      </c>
      <c r="D46" s="5" t="str">
        <f>IF(ISERROR(VLOOKUP(A46,FLEXPLP!A:A,1,0)),"N","Y")</f>
        <v>N</v>
      </c>
      <c r="E46" s="5" t="str">
        <f>IF(ISERROR(VLOOKUP(A46,'ELN PLP'!A:A,1,0)),"N","Y")</f>
        <v>N</v>
      </c>
      <c r="F46" s="26">
        <f t="shared" si="0"/>
        <v>1</v>
      </c>
      <c r="G46" s="8" t="str">
        <f>IF(ISERROR(VLOOKUP(A46,RDPLP!D:D,1,0)),"N","Y")</f>
        <v>N</v>
      </c>
      <c r="H46" s="8" t="str">
        <f>IF(ISERROR(VLOOKUP(A46,'SCINET-PLP'!D:D,1,0)),"N","Y")</f>
        <v>N</v>
      </c>
      <c r="I46" s="8" t="str">
        <f>IF(ISERROR(VLOOKUP(A46,FLEXPLP!D:D,1,0)),"N","Y")</f>
        <v>N</v>
      </c>
      <c r="J46" s="8" t="str">
        <f>IF(ISERROR(VLOOKUP(A46,'ELN PLP'!D:D,1,0)),"N","Y")</f>
        <v>N</v>
      </c>
      <c r="K46" s="29">
        <f t="shared" si="1"/>
        <v>0</v>
      </c>
      <c r="L46" s="52" t="str">
        <f>IF(ISERROR(VLOOKUP(A46,RDPLP!G:G,1,0)),"N","Y")</f>
        <v>N</v>
      </c>
      <c r="M46" s="52" t="str">
        <f>IF(ISERROR(VLOOKUP(A46,'SCINET-PLP'!G:G,1,0)),"N","Y")</f>
        <v>N</v>
      </c>
      <c r="N46" s="52" t="str">
        <f>IF(ISERROR(VLOOKUP(A46,FLEXPLP!G:G,1,0)),"N","Y")</f>
        <v>N</v>
      </c>
      <c r="O46" s="52" t="str">
        <f>IF(ISERROR(VLOOKUP(A46,'ELN PLP'!G:G,1,0)),"N","Y")</f>
        <v>N</v>
      </c>
      <c r="P46" s="53">
        <f t="shared" si="2"/>
        <v>0</v>
      </c>
      <c r="R46" s="21">
        <f>IF(K46+F46&gt;0,1,0)</f>
        <v>1</v>
      </c>
      <c r="S46" s="24">
        <f>IF(ISERROR(VLOOKUP(A46,U:U,1,0)),0,1)</f>
        <v>0</v>
      </c>
      <c r="Z46" t="s">
        <v>1954</v>
      </c>
    </row>
    <row r="47" spans="1:26" x14ac:dyDescent="0.35">
      <c r="A47" s="3" t="s">
        <v>45</v>
      </c>
      <c r="B47" s="5" t="str">
        <f>IF(ISERROR(VLOOKUP(A47,RDPLP!A47:A72,1,0)),"N","Y")</f>
        <v>N</v>
      </c>
      <c r="C47" s="5" t="str">
        <f>IF(ISERROR(VLOOKUP(A47,'SCINET-PLP'!A:A,1,0)),"N","Y")</f>
        <v>Y</v>
      </c>
      <c r="D47" s="5" t="str">
        <f>IF(ISERROR(VLOOKUP(A47,FLEXPLP!A:A,1,0)),"N","Y")</f>
        <v>N</v>
      </c>
      <c r="E47" s="5" t="str">
        <f>IF(ISERROR(VLOOKUP(A47,'ELN PLP'!A:A,1,0)),"N","Y")</f>
        <v>N</v>
      </c>
      <c r="F47" s="26">
        <f t="shared" si="0"/>
        <v>1</v>
      </c>
      <c r="G47" s="8" t="str">
        <f>IF(ISERROR(VLOOKUP(A47,RDPLP!D:D,1,0)),"N","Y")</f>
        <v>N</v>
      </c>
      <c r="H47" s="8" t="str">
        <f>IF(ISERROR(VLOOKUP(A47,'SCINET-PLP'!D:D,1,0)),"N","Y")</f>
        <v>Y</v>
      </c>
      <c r="I47" s="8" t="str">
        <f>IF(ISERROR(VLOOKUP(A47,FLEXPLP!D:D,1,0)),"N","Y")</f>
        <v>N</v>
      </c>
      <c r="J47" s="8" t="str">
        <f>IF(ISERROR(VLOOKUP(A47,'ELN PLP'!D:D,1,0)),"N","Y")</f>
        <v>N</v>
      </c>
      <c r="K47" s="29">
        <f t="shared" si="1"/>
        <v>1</v>
      </c>
      <c r="L47" s="52" t="str">
        <f>IF(ISERROR(VLOOKUP(A47,RDPLP!G:G,1,0)),"N","Y")</f>
        <v>N</v>
      </c>
      <c r="M47" s="52" t="str">
        <f>IF(ISERROR(VLOOKUP(A47,'SCINET-PLP'!G:G,1,0)),"N","Y")</f>
        <v>Y</v>
      </c>
      <c r="N47" s="52" t="str">
        <f>IF(ISERROR(VLOOKUP(A47,FLEXPLP!G:G,1,0)),"N","Y")</f>
        <v>N</v>
      </c>
      <c r="O47" s="52" t="str">
        <f>IF(ISERROR(VLOOKUP(A47,'ELN PLP'!G:G,1,0)),"N","Y")</f>
        <v>N</v>
      </c>
      <c r="P47" s="53">
        <f t="shared" si="2"/>
        <v>1</v>
      </c>
      <c r="R47" s="21">
        <f>IF(K47+F47&gt;0,1,0)</f>
        <v>1</v>
      </c>
      <c r="S47" s="24">
        <f>IF(ISERROR(VLOOKUP(A47,U:U,1,0)),0,1)</f>
        <v>0</v>
      </c>
      <c r="Z47" t="s">
        <v>1957</v>
      </c>
    </row>
    <row r="48" spans="1:26" x14ac:dyDescent="0.35">
      <c r="A48" s="3" t="s">
        <v>54</v>
      </c>
      <c r="B48" s="5" t="str">
        <f>IF(ISERROR(VLOOKUP(A48,RDPLP!A48:A73,1,0)),"N","Y")</f>
        <v>N</v>
      </c>
      <c r="C48" s="5" t="str">
        <f>IF(ISERROR(VLOOKUP(A48,'SCINET-PLP'!A:A,1,0)),"N","Y")</f>
        <v>Y</v>
      </c>
      <c r="D48" s="5" t="str">
        <f>IF(ISERROR(VLOOKUP(A48,FLEXPLP!A:A,1,0)),"N","Y")</f>
        <v>N</v>
      </c>
      <c r="E48" s="5" t="str">
        <f>IF(ISERROR(VLOOKUP(A48,'ELN PLP'!A:A,1,0)),"N","Y")</f>
        <v>N</v>
      </c>
      <c r="F48" s="26">
        <f t="shared" si="0"/>
        <v>1</v>
      </c>
      <c r="G48" s="8" t="str">
        <f>IF(ISERROR(VLOOKUP(A48,RDPLP!D:D,1,0)),"N","Y")</f>
        <v>N</v>
      </c>
      <c r="H48" s="8" t="str">
        <f>IF(ISERROR(VLOOKUP(A48,'SCINET-PLP'!D:D,1,0)),"N","Y")</f>
        <v>N</v>
      </c>
      <c r="I48" s="8" t="str">
        <f>IF(ISERROR(VLOOKUP(A48,FLEXPLP!D:D,1,0)),"N","Y")</f>
        <v>N</v>
      </c>
      <c r="J48" s="8" t="str">
        <f>IF(ISERROR(VLOOKUP(A48,'ELN PLP'!D:D,1,0)),"N","Y")</f>
        <v>N</v>
      </c>
      <c r="K48" s="29">
        <f t="shared" si="1"/>
        <v>0</v>
      </c>
      <c r="L48" s="52" t="str">
        <f>IF(ISERROR(VLOOKUP(A48,RDPLP!G:G,1,0)),"N","Y")</f>
        <v>N</v>
      </c>
      <c r="M48" s="52" t="str">
        <f>IF(ISERROR(VLOOKUP(A48,'SCINET-PLP'!G:G,1,0)),"N","Y")</f>
        <v>N</v>
      </c>
      <c r="N48" s="52" t="str">
        <f>IF(ISERROR(VLOOKUP(A48,FLEXPLP!G:G,1,0)),"N","Y")</f>
        <v>N</v>
      </c>
      <c r="O48" s="52" t="str">
        <f>IF(ISERROR(VLOOKUP(A48,'ELN PLP'!G:G,1,0)),"N","Y")</f>
        <v>N</v>
      </c>
      <c r="P48" s="53">
        <f t="shared" si="2"/>
        <v>0</v>
      </c>
      <c r="R48" s="21">
        <f>IF(K48+F48&gt;0,1,0)</f>
        <v>1</v>
      </c>
      <c r="S48" s="24">
        <f>IF(ISERROR(VLOOKUP(A48,U:U,1,0)),0,1)</f>
        <v>0</v>
      </c>
      <c r="Z48" t="s">
        <v>31</v>
      </c>
    </row>
    <row r="49" spans="1:26" x14ac:dyDescent="0.35">
      <c r="A49" s="3" t="s">
        <v>56</v>
      </c>
      <c r="B49" s="5" t="str">
        <f>IF(ISERROR(VLOOKUP(A49,RDPLP!A49:A74,1,0)),"N","Y")</f>
        <v>N</v>
      </c>
      <c r="C49" s="5" t="str">
        <f>IF(ISERROR(VLOOKUP(A49,'SCINET-PLP'!A:A,1,0)),"N","Y")</f>
        <v>Y</v>
      </c>
      <c r="D49" s="5" t="str">
        <f>IF(ISERROR(VLOOKUP(A49,FLEXPLP!A:A,1,0)),"N","Y")</f>
        <v>N</v>
      </c>
      <c r="E49" s="5" t="str">
        <f>IF(ISERROR(VLOOKUP(A49,'ELN PLP'!A:A,1,0)),"N","Y")</f>
        <v>N</v>
      </c>
      <c r="F49" s="26">
        <f t="shared" si="0"/>
        <v>1</v>
      </c>
      <c r="G49" s="8" t="str">
        <f>IF(ISERROR(VLOOKUP(A49,RDPLP!D:D,1,0)),"N","Y")</f>
        <v>N</v>
      </c>
      <c r="H49" s="8" t="str">
        <f>IF(ISERROR(VLOOKUP(A49,'SCINET-PLP'!D:D,1,0)),"N","Y")</f>
        <v>N</v>
      </c>
      <c r="I49" s="8" t="str">
        <f>IF(ISERROR(VLOOKUP(A49,FLEXPLP!D:D,1,0)),"N","Y")</f>
        <v>N</v>
      </c>
      <c r="J49" s="8" t="str">
        <f>IF(ISERROR(VLOOKUP(A49,'ELN PLP'!D:D,1,0)),"N","Y")</f>
        <v>N</v>
      </c>
      <c r="K49" s="29">
        <f t="shared" si="1"/>
        <v>0</v>
      </c>
      <c r="L49" s="52" t="str">
        <f>IF(ISERROR(VLOOKUP(A49,RDPLP!G:G,1,0)),"N","Y")</f>
        <v>N</v>
      </c>
      <c r="M49" s="52" t="str">
        <f>IF(ISERROR(VLOOKUP(A49,'SCINET-PLP'!G:G,1,0)),"N","Y")</f>
        <v>N</v>
      </c>
      <c r="N49" s="52" t="str">
        <f>IF(ISERROR(VLOOKUP(A49,FLEXPLP!G:G,1,0)),"N","Y")</f>
        <v>N</v>
      </c>
      <c r="O49" s="52" t="str">
        <f>IF(ISERROR(VLOOKUP(A49,'ELN PLP'!G:G,1,0)),"N","Y")</f>
        <v>N</v>
      </c>
      <c r="P49" s="53">
        <f t="shared" si="2"/>
        <v>0</v>
      </c>
      <c r="R49" s="21">
        <f>IF(K49+F49&gt;0,1,0)</f>
        <v>1</v>
      </c>
      <c r="S49" s="24">
        <f>IF(ISERROR(VLOOKUP(A49,U:U,1,0)),0,1)</f>
        <v>0</v>
      </c>
      <c r="Z49" t="s">
        <v>1962</v>
      </c>
    </row>
    <row r="50" spans="1:26" x14ac:dyDescent="0.35">
      <c r="A50" s="3" t="s">
        <v>58</v>
      </c>
      <c r="B50" s="5" t="str">
        <f>IF(ISERROR(VLOOKUP(A50,RDPLP!A50:A75,1,0)),"N","Y")</f>
        <v>N</v>
      </c>
      <c r="C50" s="5" t="str">
        <f>IF(ISERROR(VLOOKUP(A50,'SCINET-PLP'!A:A,1,0)),"N","Y")</f>
        <v>Y</v>
      </c>
      <c r="D50" s="5" t="str">
        <f>IF(ISERROR(VLOOKUP(A50,FLEXPLP!A:A,1,0)),"N","Y")</f>
        <v>N</v>
      </c>
      <c r="E50" s="5" t="str">
        <f>IF(ISERROR(VLOOKUP(A50,'ELN PLP'!A:A,1,0)),"N","Y")</f>
        <v>N</v>
      </c>
      <c r="F50" s="26">
        <f t="shared" si="0"/>
        <v>1</v>
      </c>
      <c r="G50" s="8" t="str">
        <f>IF(ISERROR(VLOOKUP(A50,RDPLP!D:D,1,0)),"N","Y")</f>
        <v>N</v>
      </c>
      <c r="H50" s="8" t="str">
        <f>IF(ISERROR(VLOOKUP(A50,'SCINET-PLP'!D:D,1,0)),"N","Y")</f>
        <v>N</v>
      </c>
      <c r="I50" s="8" t="str">
        <f>IF(ISERROR(VLOOKUP(A50,FLEXPLP!D:D,1,0)),"N","Y")</f>
        <v>N</v>
      </c>
      <c r="J50" s="8" t="str">
        <f>IF(ISERROR(VLOOKUP(A50,'ELN PLP'!D:D,1,0)),"N","Y")</f>
        <v>N</v>
      </c>
      <c r="K50" s="29">
        <f t="shared" si="1"/>
        <v>0</v>
      </c>
      <c r="L50" s="52" t="str">
        <f>IF(ISERROR(VLOOKUP(A50,RDPLP!G:G,1,0)),"N","Y")</f>
        <v>N</v>
      </c>
      <c r="M50" s="52" t="str">
        <f>IF(ISERROR(VLOOKUP(A50,'SCINET-PLP'!G:G,1,0)),"N","Y")</f>
        <v>N</v>
      </c>
      <c r="N50" s="52" t="str">
        <f>IF(ISERROR(VLOOKUP(A50,FLEXPLP!G:G,1,0)),"N","Y")</f>
        <v>N</v>
      </c>
      <c r="O50" s="52" t="str">
        <f>IF(ISERROR(VLOOKUP(A50,'ELN PLP'!G:G,1,0)),"N","Y")</f>
        <v>N</v>
      </c>
      <c r="P50" s="53">
        <f t="shared" si="2"/>
        <v>0</v>
      </c>
      <c r="R50" s="21">
        <f>IF(K50+F50&gt;0,1,0)</f>
        <v>1</v>
      </c>
      <c r="S50" s="24">
        <f>IF(ISERROR(VLOOKUP(A50,U:U,1,0)),0,1)</f>
        <v>0</v>
      </c>
      <c r="Z50" t="s">
        <v>1964</v>
      </c>
    </row>
    <row r="51" spans="1:26" x14ac:dyDescent="0.35">
      <c r="A51" s="3" t="s">
        <v>60</v>
      </c>
      <c r="B51" s="5" t="str">
        <f>IF(ISERROR(VLOOKUP(A51,RDPLP!A51:A76,1,0)),"N","Y")</f>
        <v>N</v>
      </c>
      <c r="C51" s="5" t="str">
        <f>IF(ISERROR(VLOOKUP(A51,'SCINET-PLP'!A:A,1,0)),"N","Y")</f>
        <v>Y</v>
      </c>
      <c r="D51" s="5" t="str">
        <f>IF(ISERROR(VLOOKUP(A51,FLEXPLP!A:A,1,0)),"N","Y")</f>
        <v>N</v>
      </c>
      <c r="E51" s="5" t="str">
        <f>IF(ISERROR(VLOOKUP(A51,'ELN PLP'!A:A,1,0)),"N","Y")</f>
        <v>N</v>
      </c>
      <c r="F51" s="26">
        <f t="shared" si="0"/>
        <v>1</v>
      </c>
      <c r="G51" s="8" t="str">
        <f>IF(ISERROR(VLOOKUP(A51,RDPLP!D:D,1,0)),"N","Y")</f>
        <v>N</v>
      </c>
      <c r="H51" s="8" t="str">
        <f>IF(ISERROR(VLOOKUP(A51,'SCINET-PLP'!D:D,1,0)),"N","Y")</f>
        <v>N</v>
      </c>
      <c r="I51" s="8" t="str">
        <f>IF(ISERROR(VLOOKUP(A51,FLEXPLP!D:D,1,0)),"N","Y")</f>
        <v>N</v>
      </c>
      <c r="J51" s="8" t="str">
        <f>IF(ISERROR(VLOOKUP(A51,'ELN PLP'!D:D,1,0)),"N","Y")</f>
        <v>N</v>
      </c>
      <c r="K51" s="29">
        <f t="shared" si="1"/>
        <v>0</v>
      </c>
      <c r="L51" s="52" t="str">
        <f>IF(ISERROR(VLOOKUP(A51,RDPLP!G:G,1,0)),"N","Y")</f>
        <v>N</v>
      </c>
      <c r="M51" s="52" t="str">
        <f>IF(ISERROR(VLOOKUP(A51,'SCINET-PLP'!G:G,1,0)),"N","Y")</f>
        <v>N</v>
      </c>
      <c r="N51" s="52" t="str">
        <f>IF(ISERROR(VLOOKUP(A51,FLEXPLP!G:G,1,0)),"N","Y")</f>
        <v>N</v>
      </c>
      <c r="O51" s="52" t="str">
        <f>IF(ISERROR(VLOOKUP(A51,'ELN PLP'!G:G,1,0)),"N","Y")</f>
        <v>N</v>
      </c>
      <c r="P51" s="53">
        <f t="shared" si="2"/>
        <v>0</v>
      </c>
      <c r="R51" s="21">
        <f>IF(K51+F51&gt;0,1,0)</f>
        <v>1</v>
      </c>
      <c r="S51" s="24">
        <f>IF(ISERROR(VLOOKUP(A51,U:U,1,0)),0,1)</f>
        <v>0</v>
      </c>
      <c r="Z51" t="s">
        <v>1967</v>
      </c>
    </row>
    <row r="52" spans="1:26" x14ac:dyDescent="0.35">
      <c r="A52" s="3" t="s">
        <v>62</v>
      </c>
      <c r="B52" s="5" t="str">
        <f>IF(ISERROR(VLOOKUP(A52,RDPLP!A52:A77,1,0)),"N","Y")</f>
        <v>N</v>
      </c>
      <c r="C52" s="5" t="str">
        <f>IF(ISERROR(VLOOKUP(A52,'SCINET-PLP'!A:A,1,0)),"N","Y")</f>
        <v>Y</v>
      </c>
      <c r="D52" s="5" t="str">
        <f>IF(ISERROR(VLOOKUP(A52,FLEXPLP!A:A,1,0)),"N","Y")</f>
        <v>N</v>
      </c>
      <c r="E52" s="5" t="str">
        <f>IF(ISERROR(VLOOKUP(A52,'ELN PLP'!A:A,1,0)),"N","Y")</f>
        <v>N</v>
      </c>
      <c r="F52" s="26">
        <f t="shared" si="0"/>
        <v>1</v>
      </c>
      <c r="G52" s="8" t="str">
        <f>IF(ISERROR(VLOOKUP(A52,RDPLP!D:D,1,0)),"N","Y")</f>
        <v>N</v>
      </c>
      <c r="H52" s="8" t="str">
        <f>IF(ISERROR(VLOOKUP(A52,'SCINET-PLP'!D:D,1,0)),"N","Y")</f>
        <v>N</v>
      </c>
      <c r="I52" s="8" t="str">
        <f>IF(ISERROR(VLOOKUP(A52,FLEXPLP!D:D,1,0)),"N","Y")</f>
        <v>N</v>
      </c>
      <c r="J52" s="8" t="str">
        <f>IF(ISERROR(VLOOKUP(A52,'ELN PLP'!D:D,1,0)),"N","Y")</f>
        <v>N</v>
      </c>
      <c r="K52" s="29">
        <f t="shared" si="1"/>
        <v>0</v>
      </c>
      <c r="L52" s="52" t="str">
        <f>IF(ISERROR(VLOOKUP(A52,RDPLP!G:G,1,0)),"N","Y")</f>
        <v>N</v>
      </c>
      <c r="M52" s="52" t="str">
        <f>IF(ISERROR(VLOOKUP(A52,'SCINET-PLP'!G:G,1,0)),"N","Y")</f>
        <v>N</v>
      </c>
      <c r="N52" s="52" t="str">
        <f>IF(ISERROR(VLOOKUP(A52,FLEXPLP!G:G,1,0)),"N","Y")</f>
        <v>N</v>
      </c>
      <c r="O52" s="52" t="str">
        <f>IF(ISERROR(VLOOKUP(A52,'ELN PLP'!G:G,1,0)),"N","Y")</f>
        <v>N</v>
      </c>
      <c r="P52" s="53">
        <f t="shared" si="2"/>
        <v>0</v>
      </c>
      <c r="R52" s="21">
        <f>IF(K52+F52&gt;0,1,0)</f>
        <v>1</v>
      </c>
      <c r="S52" s="24">
        <f>IF(ISERROR(VLOOKUP(A52,U:U,1,0)),0,1)</f>
        <v>0</v>
      </c>
      <c r="Z52" t="s">
        <v>29</v>
      </c>
    </row>
    <row r="53" spans="1:26" x14ac:dyDescent="0.35">
      <c r="A53" s="3" t="s">
        <v>64</v>
      </c>
      <c r="B53" s="5" t="str">
        <f>IF(ISERROR(VLOOKUP(A53,RDPLP!A53:A78,1,0)),"N","Y")</f>
        <v>N</v>
      </c>
      <c r="C53" s="5" t="str">
        <f>IF(ISERROR(VLOOKUP(A53,'SCINET-PLP'!A:A,1,0)),"N","Y")</f>
        <v>Y</v>
      </c>
      <c r="D53" s="5" t="str">
        <f>IF(ISERROR(VLOOKUP(A53,FLEXPLP!A:A,1,0)),"N","Y")</f>
        <v>N</v>
      </c>
      <c r="E53" s="5" t="str">
        <f>IF(ISERROR(VLOOKUP(A53,'ELN PLP'!A:A,1,0)),"N","Y")</f>
        <v>N</v>
      </c>
      <c r="F53" s="26">
        <f t="shared" si="0"/>
        <v>1</v>
      </c>
      <c r="G53" s="8" t="str">
        <f>IF(ISERROR(VLOOKUP(A53,RDPLP!D:D,1,0)),"N","Y")</f>
        <v>N</v>
      </c>
      <c r="H53" s="8" t="str">
        <f>IF(ISERROR(VLOOKUP(A53,'SCINET-PLP'!D:D,1,0)),"N","Y")</f>
        <v>N</v>
      </c>
      <c r="I53" s="8" t="str">
        <f>IF(ISERROR(VLOOKUP(A53,FLEXPLP!D:D,1,0)),"N","Y")</f>
        <v>N</v>
      </c>
      <c r="J53" s="8" t="str">
        <f>IF(ISERROR(VLOOKUP(A53,'ELN PLP'!D:D,1,0)),"N","Y")</f>
        <v>N</v>
      </c>
      <c r="K53" s="29">
        <f t="shared" si="1"/>
        <v>0</v>
      </c>
      <c r="L53" s="52" t="str">
        <f>IF(ISERROR(VLOOKUP(A53,RDPLP!G:G,1,0)),"N","Y")</f>
        <v>N</v>
      </c>
      <c r="M53" s="52" t="str">
        <f>IF(ISERROR(VLOOKUP(A53,'SCINET-PLP'!G:G,1,0)),"N","Y")</f>
        <v>Y</v>
      </c>
      <c r="N53" s="52" t="str">
        <f>IF(ISERROR(VLOOKUP(A53,FLEXPLP!G:G,1,0)),"N","Y")</f>
        <v>N</v>
      </c>
      <c r="O53" s="52" t="str">
        <f>IF(ISERROR(VLOOKUP(A53,'ELN PLP'!G:G,1,0)),"N","Y")</f>
        <v>N</v>
      </c>
      <c r="P53" s="53">
        <f t="shared" si="2"/>
        <v>1</v>
      </c>
      <c r="R53" s="21">
        <f>IF(K53+F53&gt;0,1,0)</f>
        <v>1</v>
      </c>
      <c r="S53" s="24">
        <f>IF(ISERROR(VLOOKUP(A53,U:U,1,0)),0,1)</f>
        <v>0</v>
      </c>
      <c r="Z53" t="s">
        <v>1974</v>
      </c>
    </row>
    <row r="54" spans="1:26" x14ac:dyDescent="0.35">
      <c r="A54" s="3" t="s">
        <v>65</v>
      </c>
      <c r="B54" s="5" t="str">
        <f>IF(ISERROR(VLOOKUP(A54,RDPLP!A54:A79,1,0)),"N","Y")</f>
        <v>N</v>
      </c>
      <c r="C54" s="5" t="str">
        <f>IF(ISERROR(VLOOKUP(A54,'SCINET-PLP'!A:A,1,0)),"N","Y")</f>
        <v>Y</v>
      </c>
      <c r="D54" s="5" t="str">
        <f>IF(ISERROR(VLOOKUP(A54,FLEXPLP!A:A,1,0)),"N","Y")</f>
        <v>N</v>
      </c>
      <c r="E54" s="5" t="str">
        <f>IF(ISERROR(VLOOKUP(A54,'ELN PLP'!A:A,1,0)),"N","Y")</f>
        <v>N</v>
      </c>
      <c r="F54" s="26">
        <f t="shared" si="0"/>
        <v>1</v>
      </c>
      <c r="G54" s="8" t="str">
        <f>IF(ISERROR(VLOOKUP(A54,RDPLP!D:D,1,0)),"N","Y")</f>
        <v>N</v>
      </c>
      <c r="H54" s="8" t="str">
        <f>IF(ISERROR(VLOOKUP(A54,'SCINET-PLP'!D:D,1,0)),"N","Y")</f>
        <v>N</v>
      </c>
      <c r="I54" s="8" t="str">
        <f>IF(ISERROR(VLOOKUP(A54,FLEXPLP!D:D,1,0)),"N","Y")</f>
        <v>N</v>
      </c>
      <c r="J54" s="8" t="str">
        <f>IF(ISERROR(VLOOKUP(A54,'ELN PLP'!D:D,1,0)),"N","Y")</f>
        <v>N</v>
      </c>
      <c r="K54" s="29">
        <f t="shared" si="1"/>
        <v>0</v>
      </c>
      <c r="L54" s="52" t="str">
        <f>IF(ISERROR(VLOOKUP(A54,RDPLP!G:G,1,0)),"N","Y")</f>
        <v>N</v>
      </c>
      <c r="M54" s="52" t="str">
        <f>IF(ISERROR(VLOOKUP(A54,'SCINET-PLP'!G:G,1,0)),"N","Y")</f>
        <v>N</v>
      </c>
      <c r="N54" s="52" t="str">
        <f>IF(ISERROR(VLOOKUP(A54,FLEXPLP!G:G,1,0)),"N","Y")</f>
        <v>N</v>
      </c>
      <c r="O54" s="52" t="str">
        <f>IF(ISERROR(VLOOKUP(A54,'ELN PLP'!G:G,1,0)),"N","Y")</f>
        <v>N</v>
      </c>
      <c r="P54" s="53">
        <f t="shared" si="2"/>
        <v>0</v>
      </c>
      <c r="R54" s="21">
        <f>IF(K54+F54&gt;0,1,0)</f>
        <v>1</v>
      </c>
      <c r="S54" s="24">
        <f>IF(ISERROR(VLOOKUP(A54,U:U,1,0)),0,1)</f>
        <v>0</v>
      </c>
      <c r="Z54" t="s">
        <v>1976</v>
      </c>
    </row>
    <row r="55" spans="1:26" x14ac:dyDescent="0.35">
      <c r="A55" s="3" t="s">
        <v>67</v>
      </c>
      <c r="B55" s="5" t="str">
        <f>IF(ISERROR(VLOOKUP(A55,RDPLP!A55:A80,1,0)),"N","Y")</f>
        <v>N</v>
      </c>
      <c r="C55" s="5" t="str">
        <f>IF(ISERROR(VLOOKUP(A55,'SCINET-PLP'!A:A,1,0)),"N","Y")</f>
        <v>Y</v>
      </c>
      <c r="D55" s="5" t="str">
        <f>IF(ISERROR(VLOOKUP(A55,FLEXPLP!A:A,1,0)),"N","Y")</f>
        <v>N</v>
      </c>
      <c r="E55" s="5" t="str">
        <f>IF(ISERROR(VLOOKUP(A55,'ELN PLP'!A:A,1,0)),"N","Y")</f>
        <v>N</v>
      </c>
      <c r="F55" s="26">
        <f t="shared" si="0"/>
        <v>1</v>
      </c>
      <c r="G55" s="8" t="str">
        <f>IF(ISERROR(VLOOKUP(A55,RDPLP!D:D,1,0)),"N","Y")</f>
        <v>N</v>
      </c>
      <c r="H55" s="8" t="str">
        <f>IF(ISERROR(VLOOKUP(A55,'SCINET-PLP'!D:D,1,0)),"N","Y")</f>
        <v>N</v>
      </c>
      <c r="I55" s="8" t="str">
        <f>IF(ISERROR(VLOOKUP(A55,FLEXPLP!D:D,1,0)),"N","Y")</f>
        <v>N</v>
      </c>
      <c r="J55" s="8" t="str">
        <f>IF(ISERROR(VLOOKUP(A55,'ELN PLP'!D:D,1,0)),"N","Y")</f>
        <v>N</v>
      </c>
      <c r="K55" s="29">
        <f t="shared" si="1"/>
        <v>0</v>
      </c>
      <c r="L55" s="52" t="str">
        <f>IF(ISERROR(VLOOKUP(A55,RDPLP!G:G,1,0)),"N","Y")</f>
        <v>N</v>
      </c>
      <c r="M55" s="52" t="str">
        <f>IF(ISERROR(VLOOKUP(A55,'SCINET-PLP'!G:G,1,0)),"N","Y")</f>
        <v>N</v>
      </c>
      <c r="N55" s="52" t="str">
        <f>IF(ISERROR(VLOOKUP(A55,FLEXPLP!G:G,1,0)),"N","Y")</f>
        <v>N</v>
      </c>
      <c r="O55" s="52" t="str">
        <f>IF(ISERROR(VLOOKUP(A55,'ELN PLP'!G:G,1,0)),"N","Y")</f>
        <v>N</v>
      </c>
      <c r="P55" s="53">
        <f t="shared" si="2"/>
        <v>0</v>
      </c>
      <c r="R55" s="21">
        <f>IF(K55+F55&gt;0,1,0)</f>
        <v>1</v>
      </c>
      <c r="S55" s="24">
        <f>IF(ISERROR(VLOOKUP(A55,U:U,1,0)),0,1)</f>
        <v>0</v>
      </c>
      <c r="Z55" t="s">
        <v>1978</v>
      </c>
    </row>
    <row r="56" spans="1:26" x14ac:dyDescent="0.35">
      <c r="A56" s="3" t="s">
        <v>69</v>
      </c>
      <c r="B56" s="5" t="str">
        <f>IF(ISERROR(VLOOKUP(A56,RDPLP!A56:A81,1,0)),"N","Y")</f>
        <v>N</v>
      </c>
      <c r="C56" s="5" t="str">
        <f>IF(ISERROR(VLOOKUP(A56,'SCINET-PLP'!A:A,1,0)),"N","Y")</f>
        <v>Y</v>
      </c>
      <c r="D56" s="5" t="str">
        <f>IF(ISERROR(VLOOKUP(A56,FLEXPLP!A:A,1,0)),"N","Y")</f>
        <v>N</v>
      </c>
      <c r="E56" s="5" t="str">
        <f>IF(ISERROR(VLOOKUP(A56,'ELN PLP'!A:A,1,0)),"N","Y")</f>
        <v>N</v>
      </c>
      <c r="F56" s="26">
        <f t="shared" si="0"/>
        <v>1</v>
      </c>
      <c r="G56" s="8" t="str">
        <f>IF(ISERROR(VLOOKUP(A56,RDPLP!D:D,1,0)),"N","Y")</f>
        <v>N</v>
      </c>
      <c r="H56" s="8" t="str">
        <f>IF(ISERROR(VLOOKUP(A56,'SCINET-PLP'!D:D,1,0)),"N","Y")</f>
        <v>N</v>
      </c>
      <c r="I56" s="8" t="str">
        <f>IF(ISERROR(VLOOKUP(A56,FLEXPLP!D:D,1,0)),"N","Y")</f>
        <v>N</v>
      </c>
      <c r="J56" s="8" t="str">
        <f>IF(ISERROR(VLOOKUP(A56,'ELN PLP'!D:D,1,0)),"N","Y")</f>
        <v>N</v>
      </c>
      <c r="K56" s="29">
        <f t="shared" si="1"/>
        <v>0</v>
      </c>
      <c r="L56" s="52" t="str">
        <f>IF(ISERROR(VLOOKUP(A56,RDPLP!G:G,1,0)),"N","Y")</f>
        <v>N</v>
      </c>
      <c r="M56" s="52" t="str">
        <f>IF(ISERROR(VLOOKUP(A56,'SCINET-PLP'!G:G,1,0)),"N","Y")</f>
        <v>N</v>
      </c>
      <c r="N56" s="52" t="str">
        <f>IF(ISERROR(VLOOKUP(A56,FLEXPLP!G:G,1,0)),"N","Y")</f>
        <v>N</v>
      </c>
      <c r="O56" s="52" t="str">
        <f>IF(ISERROR(VLOOKUP(A56,'ELN PLP'!G:G,1,0)),"N","Y")</f>
        <v>N</v>
      </c>
      <c r="P56" s="53">
        <f t="shared" si="2"/>
        <v>0</v>
      </c>
      <c r="R56" s="21">
        <f>IF(K56+F56&gt;0,1,0)</f>
        <v>1</v>
      </c>
      <c r="S56" s="24">
        <f>IF(ISERROR(VLOOKUP(A56,U:U,1,0)),0,1)</f>
        <v>0</v>
      </c>
      <c r="Z56" t="s">
        <v>23</v>
      </c>
    </row>
    <row r="57" spans="1:26" x14ac:dyDescent="0.35">
      <c r="A57" s="3" t="s">
        <v>70</v>
      </c>
      <c r="B57" s="5" t="str">
        <f>IF(ISERROR(VLOOKUP(A57,RDPLP!A57:A82,1,0)),"N","Y")</f>
        <v>N</v>
      </c>
      <c r="C57" s="5" t="str">
        <f>IF(ISERROR(VLOOKUP(A57,'SCINET-PLP'!A:A,1,0)),"N","Y")</f>
        <v>Y</v>
      </c>
      <c r="D57" s="5" t="str">
        <f>IF(ISERROR(VLOOKUP(A57,FLEXPLP!A:A,1,0)),"N","Y")</f>
        <v>N</v>
      </c>
      <c r="E57" s="5" t="str">
        <f>IF(ISERROR(VLOOKUP(A57,'ELN PLP'!A:A,1,0)),"N","Y")</f>
        <v>N</v>
      </c>
      <c r="F57" s="26">
        <f t="shared" si="0"/>
        <v>1</v>
      </c>
      <c r="G57" s="8" t="str">
        <f>IF(ISERROR(VLOOKUP(A57,RDPLP!D:D,1,0)),"N","Y")</f>
        <v>N</v>
      </c>
      <c r="H57" s="8" t="str">
        <f>IF(ISERROR(VLOOKUP(A57,'SCINET-PLP'!D:D,1,0)),"N","Y")</f>
        <v>Y</v>
      </c>
      <c r="I57" s="8" t="str">
        <f>IF(ISERROR(VLOOKUP(A57,FLEXPLP!D:D,1,0)),"N","Y")</f>
        <v>N</v>
      </c>
      <c r="J57" s="8" t="str">
        <f>IF(ISERROR(VLOOKUP(A57,'ELN PLP'!D:D,1,0)),"N","Y")</f>
        <v>N</v>
      </c>
      <c r="K57" s="29">
        <f t="shared" si="1"/>
        <v>1</v>
      </c>
      <c r="L57" s="52" t="str">
        <f>IF(ISERROR(VLOOKUP(A57,RDPLP!G:G,1,0)),"N","Y")</f>
        <v>N</v>
      </c>
      <c r="M57" s="52" t="str">
        <f>IF(ISERROR(VLOOKUP(A57,'SCINET-PLP'!G:G,1,0)),"N","Y")</f>
        <v>Y</v>
      </c>
      <c r="N57" s="52" t="str">
        <f>IF(ISERROR(VLOOKUP(A57,FLEXPLP!G:G,1,0)),"N","Y")</f>
        <v>N</v>
      </c>
      <c r="O57" s="52" t="str">
        <f>IF(ISERROR(VLOOKUP(A57,'ELN PLP'!G:G,1,0)),"N","Y")</f>
        <v>N</v>
      </c>
      <c r="P57" s="53">
        <f t="shared" si="2"/>
        <v>1</v>
      </c>
      <c r="R57" s="21">
        <f>IF(K57+F57&gt;0,1,0)</f>
        <v>1</v>
      </c>
      <c r="S57" s="24">
        <f>IF(ISERROR(VLOOKUP(A57,U:U,1,0)),0,1)</f>
        <v>0</v>
      </c>
      <c r="Z57" t="s">
        <v>1985</v>
      </c>
    </row>
    <row r="58" spans="1:26" x14ac:dyDescent="0.35">
      <c r="A58" s="3" t="s">
        <v>72</v>
      </c>
      <c r="B58" s="5" t="str">
        <f>IF(ISERROR(VLOOKUP(A58,RDPLP!A58:A83,1,0)),"N","Y")</f>
        <v>N</v>
      </c>
      <c r="C58" s="5" t="str">
        <f>IF(ISERROR(VLOOKUP(A58,'SCINET-PLP'!A:A,1,0)),"N","Y")</f>
        <v>Y</v>
      </c>
      <c r="D58" s="5" t="str">
        <f>IF(ISERROR(VLOOKUP(A58,FLEXPLP!A:A,1,0)),"N","Y")</f>
        <v>N</v>
      </c>
      <c r="E58" s="5" t="str">
        <f>IF(ISERROR(VLOOKUP(A58,'ELN PLP'!A:A,1,0)),"N","Y")</f>
        <v>N</v>
      </c>
      <c r="F58" s="26">
        <f t="shared" si="0"/>
        <v>1</v>
      </c>
      <c r="G58" s="8" t="str">
        <f>IF(ISERROR(VLOOKUP(A58,RDPLP!D:D,1,0)),"N","Y")</f>
        <v>N</v>
      </c>
      <c r="H58" s="8" t="str">
        <f>IF(ISERROR(VLOOKUP(A58,'SCINET-PLP'!D:D,1,0)),"N","Y")</f>
        <v>Y</v>
      </c>
      <c r="I58" s="8" t="str">
        <f>IF(ISERROR(VLOOKUP(A58,FLEXPLP!D:D,1,0)),"N","Y")</f>
        <v>N</v>
      </c>
      <c r="J58" s="8" t="str">
        <f>IF(ISERROR(VLOOKUP(A58,'ELN PLP'!D:D,1,0)),"N","Y")</f>
        <v>Y</v>
      </c>
      <c r="K58" s="29">
        <f t="shared" si="1"/>
        <v>1</v>
      </c>
      <c r="L58" s="52" t="str">
        <f>IF(ISERROR(VLOOKUP(A58,RDPLP!G:G,1,0)),"N","Y")</f>
        <v>N</v>
      </c>
      <c r="M58" s="52" t="str">
        <f>IF(ISERROR(VLOOKUP(A58,'SCINET-PLP'!G:G,1,0)),"N","Y")</f>
        <v>Y</v>
      </c>
      <c r="N58" s="52" t="str">
        <f>IF(ISERROR(VLOOKUP(A58,FLEXPLP!G:G,1,0)),"N","Y")</f>
        <v>N</v>
      </c>
      <c r="O58" s="52" t="str">
        <f>IF(ISERROR(VLOOKUP(A58,'ELN PLP'!G:G,1,0)),"N","Y")</f>
        <v>N</v>
      </c>
      <c r="P58" s="53">
        <f t="shared" si="2"/>
        <v>1</v>
      </c>
      <c r="R58" s="21">
        <f>IF(K58+F58&gt;0,1,0)</f>
        <v>1</v>
      </c>
      <c r="S58" s="24">
        <f>IF(ISERROR(VLOOKUP(A58,U:U,1,0)),0,1)</f>
        <v>0</v>
      </c>
      <c r="Z58" t="s">
        <v>87</v>
      </c>
    </row>
    <row r="59" spans="1:26" x14ac:dyDescent="0.35">
      <c r="A59" t="s">
        <v>74</v>
      </c>
      <c r="B59" s="5" t="str">
        <f>IF(ISERROR(VLOOKUP(A59,RDPLP!A59:A84,1,0)),"N","Y")</f>
        <v>N</v>
      </c>
      <c r="C59" s="5" t="str">
        <f>IF(ISERROR(VLOOKUP(A59,'SCINET-PLP'!A:A,1,0)),"N","Y")</f>
        <v>Y</v>
      </c>
      <c r="D59" s="5" t="str">
        <f>IF(ISERROR(VLOOKUP(A59,FLEXPLP!A:A,1,0)),"N","Y")</f>
        <v>N</v>
      </c>
      <c r="E59" s="5" t="str">
        <f>IF(ISERROR(VLOOKUP(A59,'ELN PLP'!A:A,1,0)),"N","Y")</f>
        <v>N</v>
      </c>
      <c r="F59" s="26">
        <f t="shared" si="0"/>
        <v>1</v>
      </c>
      <c r="G59" s="8" t="str">
        <f>IF(ISERROR(VLOOKUP(A59,RDPLP!D:D,1,0)),"N","Y")</f>
        <v>N</v>
      </c>
      <c r="H59" s="8" t="str">
        <f>IF(ISERROR(VLOOKUP(A59,'SCINET-PLP'!D:D,1,0)),"N","Y")</f>
        <v>Y</v>
      </c>
      <c r="I59" s="8" t="str">
        <f>IF(ISERROR(VLOOKUP(A59,FLEXPLP!D:D,1,0)),"N","Y")</f>
        <v>N</v>
      </c>
      <c r="J59" s="8" t="str">
        <f>IF(ISERROR(VLOOKUP(A59,'ELN PLP'!D:D,1,0)),"N","Y")</f>
        <v>N</v>
      </c>
      <c r="K59" s="29">
        <f t="shared" si="1"/>
        <v>1</v>
      </c>
      <c r="L59" s="52" t="str">
        <f>IF(ISERROR(VLOOKUP(A59,RDPLP!G:G,1,0)),"N","Y")</f>
        <v>N</v>
      </c>
      <c r="M59" s="52" t="str">
        <f>IF(ISERROR(VLOOKUP(A59,'SCINET-PLP'!G:G,1,0)),"N","Y")</f>
        <v>Y</v>
      </c>
      <c r="N59" s="52" t="str">
        <f>IF(ISERROR(VLOOKUP(A59,FLEXPLP!G:G,1,0)),"N","Y")</f>
        <v>N</v>
      </c>
      <c r="O59" s="52" t="str">
        <f>IF(ISERROR(VLOOKUP(A59,'ELN PLP'!G:G,1,0)),"N","Y")</f>
        <v>N</v>
      </c>
      <c r="P59" s="53">
        <f t="shared" si="2"/>
        <v>1</v>
      </c>
      <c r="R59" s="21">
        <f>IF(K59+F59&gt;0,1,0)</f>
        <v>1</v>
      </c>
      <c r="S59" s="24">
        <f>IF(ISERROR(VLOOKUP(A59,U:U,1,0)),0,1)</f>
        <v>0</v>
      </c>
      <c r="Z59" t="s">
        <v>1989</v>
      </c>
    </row>
    <row r="60" spans="1:26" x14ac:dyDescent="0.35">
      <c r="A60" t="s">
        <v>75</v>
      </c>
      <c r="B60" s="5" t="str">
        <f>IF(ISERROR(VLOOKUP(A60,RDPLP!A60:A85,1,0)),"N","Y")</f>
        <v>N</v>
      </c>
      <c r="C60" s="5" t="str">
        <f>IF(ISERROR(VLOOKUP(A60,'SCINET-PLP'!A:A,1,0)),"N","Y")</f>
        <v>Y</v>
      </c>
      <c r="D60" s="5" t="str">
        <f>IF(ISERROR(VLOOKUP(A60,FLEXPLP!A:A,1,0)),"N","Y")</f>
        <v>N</v>
      </c>
      <c r="E60" s="5" t="str">
        <f>IF(ISERROR(VLOOKUP(A60,'ELN PLP'!A:A,1,0)),"N","Y")</f>
        <v>N</v>
      </c>
      <c r="F60" s="26">
        <f t="shared" si="0"/>
        <v>1</v>
      </c>
      <c r="G60" s="8" t="str">
        <f>IF(ISERROR(VLOOKUP(A60,RDPLP!D:D,1,0)),"N","Y")</f>
        <v>N</v>
      </c>
      <c r="H60" s="8" t="str">
        <f>IF(ISERROR(VLOOKUP(A60,'SCINET-PLP'!D:D,1,0)),"N","Y")</f>
        <v>Y</v>
      </c>
      <c r="I60" s="8" t="str">
        <f>IF(ISERROR(VLOOKUP(A60,FLEXPLP!D:D,1,0)),"N","Y")</f>
        <v>N</v>
      </c>
      <c r="J60" s="8" t="str">
        <f>IF(ISERROR(VLOOKUP(A60,'ELN PLP'!D:D,1,0)),"N","Y")</f>
        <v>N</v>
      </c>
      <c r="K60" s="29">
        <f t="shared" si="1"/>
        <v>1</v>
      </c>
      <c r="L60" s="52" t="str">
        <f>IF(ISERROR(VLOOKUP(A60,RDPLP!G:G,1,0)),"N","Y")</f>
        <v>N</v>
      </c>
      <c r="M60" s="52" t="str">
        <f>IF(ISERROR(VLOOKUP(A60,'SCINET-PLP'!G:G,1,0)),"N","Y")</f>
        <v>Y</v>
      </c>
      <c r="N60" s="52" t="str">
        <f>IF(ISERROR(VLOOKUP(A60,FLEXPLP!G:G,1,0)),"N","Y")</f>
        <v>N</v>
      </c>
      <c r="O60" s="52" t="str">
        <f>IF(ISERROR(VLOOKUP(A60,'ELN PLP'!G:G,1,0)),"N","Y")</f>
        <v>N</v>
      </c>
      <c r="P60" s="53">
        <f t="shared" si="2"/>
        <v>1</v>
      </c>
      <c r="R60" s="21">
        <f>IF(K60+F60&gt;0,1,0)</f>
        <v>1</v>
      </c>
      <c r="S60" s="24">
        <f>IF(ISERROR(VLOOKUP(A60,U:U,1,0)),0,1)</f>
        <v>0</v>
      </c>
      <c r="Z60" t="s">
        <v>22</v>
      </c>
    </row>
    <row r="61" spans="1:26" x14ac:dyDescent="0.35">
      <c r="A61" t="s">
        <v>77</v>
      </c>
      <c r="B61" s="5" t="str">
        <f>IF(ISERROR(VLOOKUP(A61,RDPLP!A61:A86,1,0)),"N","Y")</f>
        <v>N</v>
      </c>
      <c r="C61" s="5" t="str">
        <f>IF(ISERROR(VLOOKUP(A61,'SCINET-PLP'!A:A,1,0)),"N","Y")</f>
        <v>Y</v>
      </c>
      <c r="D61" s="5" t="str">
        <f>IF(ISERROR(VLOOKUP(A61,FLEXPLP!A:A,1,0)),"N","Y")</f>
        <v>N</v>
      </c>
      <c r="E61" s="5" t="str">
        <f>IF(ISERROR(VLOOKUP(A61,'ELN PLP'!A:A,1,0)),"N","Y")</f>
        <v>N</v>
      </c>
      <c r="F61" s="26">
        <f t="shared" si="0"/>
        <v>1</v>
      </c>
      <c r="G61" s="8" t="str">
        <f>IF(ISERROR(VLOOKUP(A61,RDPLP!D:D,1,0)),"N","Y")</f>
        <v>N</v>
      </c>
      <c r="H61" s="8" t="str">
        <f>IF(ISERROR(VLOOKUP(A61,'SCINET-PLP'!D:D,1,0)),"N","Y")</f>
        <v>Y</v>
      </c>
      <c r="I61" s="8" t="str">
        <f>IF(ISERROR(VLOOKUP(A61,FLEXPLP!D:D,1,0)),"N","Y")</f>
        <v>N</v>
      </c>
      <c r="J61" s="8" t="str">
        <f>IF(ISERROR(VLOOKUP(A61,'ELN PLP'!D:D,1,0)),"N","Y")</f>
        <v>Y</v>
      </c>
      <c r="K61" s="29">
        <f t="shared" si="1"/>
        <v>1</v>
      </c>
      <c r="L61" s="52" t="str">
        <f>IF(ISERROR(VLOOKUP(A61,RDPLP!G:G,1,0)),"N","Y")</f>
        <v>N</v>
      </c>
      <c r="M61" s="52" t="str">
        <f>IF(ISERROR(VLOOKUP(A61,'SCINET-PLP'!G:G,1,0)),"N","Y")</f>
        <v>Y</v>
      </c>
      <c r="N61" s="52" t="str">
        <f>IF(ISERROR(VLOOKUP(A61,FLEXPLP!G:G,1,0)),"N","Y")</f>
        <v>N</v>
      </c>
      <c r="O61" s="52" t="str">
        <f>IF(ISERROR(VLOOKUP(A61,'ELN PLP'!G:G,1,0)),"N","Y")</f>
        <v>Y</v>
      </c>
      <c r="P61" s="53">
        <f t="shared" si="2"/>
        <v>1</v>
      </c>
      <c r="R61" s="21">
        <f>IF(K61+F61&gt;0,1,0)</f>
        <v>1</v>
      </c>
      <c r="S61" s="24">
        <f>IF(ISERROR(VLOOKUP(A61,U:U,1,0)),0,1)</f>
        <v>0</v>
      </c>
      <c r="Z61" t="s">
        <v>94</v>
      </c>
    </row>
    <row r="62" spans="1:26" x14ac:dyDescent="0.35">
      <c r="A62" t="s">
        <v>76</v>
      </c>
      <c r="B62" s="5" t="str">
        <f>IF(ISERROR(VLOOKUP(A62,RDPLP!A62:A87,1,0)),"N","Y")</f>
        <v>N</v>
      </c>
      <c r="C62" s="5" t="str">
        <f>IF(ISERROR(VLOOKUP(A62,'SCINET-PLP'!A:A,1,0)),"N","Y")</f>
        <v>Y</v>
      </c>
      <c r="D62" s="5" t="str">
        <f>IF(ISERROR(VLOOKUP(A62,FLEXPLP!A:A,1,0)),"N","Y")</f>
        <v>N</v>
      </c>
      <c r="E62" s="5" t="str">
        <f>IF(ISERROR(VLOOKUP(A62,'ELN PLP'!A:A,1,0)),"N","Y")</f>
        <v>N</v>
      </c>
      <c r="F62" s="26">
        <f t="shared" si="0"/>
        <v>1</v>
      </c>
      <c r="G62" s="8" t="str">
        <f>IF(ISERROR(VLOOKUP(A62,RDPLP!D:D,1,0)),"N","Y")</f>
        <v>N</v>
      </c>
      <c r="H62" s="8" t="str">
        <f>IF(ISERROR(VLOOKUP(A62,'SCINET-PLP'!D:D,1,0)),"N","Y")</f>
        <v>Y</v>
      </c>
      <c r="I62" s="8" t="str">
        <f>IF(ISERROR(VLOOKUP(A62,FLEXPLP!D:D,1,0)),"N","Y")</f>
        <v>N</v>
      </c>
      <c r="J62" s="8" t="str">
        <f>IF(ISERROR(VLOOKUP(A62,'ELN PLP'!D:D,1,0)),"N","Y")</f>
        <v>N</v>
      </c>
      <c r="K62" s="29">
        <f t="shared" si="1"/>
        <v>1</v>
      </c>
      <c r="L62" s="52" t="str">
        <f>IF(ISERROR(VLOOKUP(A62,RDPLP!G:G,1,0)),"N","Y")</f>
        <v>N</v>
      </c>
      <c r="M62" s="52" t="str">
        <f>IF(ISERROR(VLOOKUP(A62,'SCINET-PLP'!G:G,1,0)),"N","Y")</f>
        <v>Y</v>
      </c>
      <c r="N62" s="52" t="str">
        <f>IF(ISERROR(VLOOKUP(A62,FLEXPLP!G:G,1,0)),"N","Y")</f>
        <v>N</v>
      </c>
      <c r="O62" s="52" t="str">
        <f>IF(ISERROR(VLOOKUP(A62,'ELN PLP'!G:G,1,0)),"N","Y")</f>
        <v>N</v>
      </c>
      <c r="P62" s="53">
        <f t="shared" si="2"/>
        <v>1</v>
      </c>
      <c r="R62" s="21">
        <f>IF(K62+F62&gt;0,1,0)</f>
        <v>1</v>
      </c>
      <c r="S62" s="24">
        <f>IF(ISERROR(VLOOKUP(A62,U:U,1,0)),0,1)</f>
        <v>0</v>
      </c>
      <c r="Z62" t="s">
        <v>1992</v>
      </c>
    </row>
    <row r="63" spans="1:26" x14ac:dyDescent="0.35">
      <c r="A63" t="s">
        <v>51</v>
      </c>
      <c r="B63" s="5" t="str">
        <f>IF(ISERROR(VLOOKUP(A63,RDPLP!A63:A88,1,0)),"N","Y")</f>
        <v>N</v>
      </c>
      <c r="C63" s="5" t="str">
        <f>IF(ISERROR(VLOOKUP(A63,'SCINET-PLP'!A:A,1,0)),"N","Y")</f>
        <v>Y</v>
      </c>
      <c r="D63" s="5" t="str">
        <f>IF(ISERROR(VLOOKUP(A63,FLEXPLP!A:A,1,0)),"N","Y")</f>
        <v>N</v>
      </c>
      <c r="E63" s="5" t="str">
        <f>IF(ISERROR(VLOOKUP(A63,'ELN PLP'!A:A,1,0)),"N","Y")</f>
        <v>N</v>
      </c>
      <c r="F63" s="26">
        <f t="shared" si="0"/>
        <v>1</v>
      </c>
      <c r="G63" s="8" t="str">
        <f>IF(ISERROR(VLOOKUP(A63,RDPLP!D:D,1,0)),"N","Y")</f>
        <v>N</v>
      </c>
      <c r="H63" s="8" t="str">
        <f>IF(ISERROR(VLOOKUP(A63,'SCINET-PLP'!D:D,1,0)),"N","Y")</f>
        <v>Y</v>
      </c>
      <c r="I63" s="8" t="str">
        <f>IF(ISERROR(VLOOKUP(A63,FLEXPLP!D:D,1,0)),"N","Y")</f>
        <v>N</v>
      </c>
      <c r="J63" s="8" t="str">
        <f>IF(ISERROR(VLOOKUP(A63,'ELN PLP'!D:D,1,0)),"N","Y")</f>
        <v>N</v>
      </c>
      <c r="K63" s="29">
        <f t="shared" si="1"/>
        <v>1</v>
      </c>
      <c r="L63" s="52" t="str">
        <f>IF(ISERROR(VLOOKUP(A63,RDPLP!G:G,1,0)),"N","Y")</f>
        <v>N</v>
      </c>
      <c r="M63" s="52" t="str">
        <f>IF(ISERROR(VLOOKUP(A63,'SCINET-PLP'!G:G,1,0)),"N","Y")</f>
        <v>N</v>
      </c>
      <c r="N63" s="52" t="str">
        <f>IF(ISERROR(VLOOKUP(A63,FLEXPLP!G:G,1,0)),"N","Y")</f>
        <v>N</v>
      </c>
      <c r="O63" s="52" t="str">
        <f>IF(ISERROR(VLOOKUP(A63,'ELN PLP'!G:G,1,0)),"N","Y")</f>
        <v>N</v>
      </c>
      <c r="P63" s="53">
        <f t="shared" si="2"/>
        <v>0</v>
      </c>
      <c r="R63" s="21">
        <f>IF(K63+F63&gt;0,1,0)</f>
        <v>1</v>
      </c>
      <c r="S63" s="24">
        <f>IF(ISERROR(VLOOKUP(A63,U:U,1,0)),0,1)</f>
        <v>0</v>
      </c>
      <c r="Z63" t="s">
        <v>1993</v>
      </c>
    </row>
    <row r="64" spans="1:26" x14ac:dyDescent="0.35">
      <c r="A64" t="s">
        <v>79</v>
      </c>
      <c r="B64" s="5" t="str">
        <f>IF(ISERROR(VLOOKUP(A64,RDPLP!A64:A89,1,0)),"N","Y")</f>
        <v>N</v>
      </c>
      <c r="C64" s="5" t="str">
        <f>IF(ISERROR(VLOOKUP(A64,'SCINET-PLP'!A:A,1,0)),"N","Y")</f>
        <v>Y</v>
      </c>
      <c r="D64" s="5" t="str">
        <f>IF(ISERROR(VLOOKUP(A64,FLEXPLP!A:A,1,0)),"N","Y")</f>
        <v>N</v>
      </c>
      <c r="E64" s="5" t="str">
        <f>IF(ISERROR(VLOOKUP(A64,'ELN PLP'!A:A,1,0)),"N","Y")</f>
        <v>N</v>
      </c>
      <c r="F64" s="26">
        <f t="shared" si="0"/>
        <v>1</v>
      </c>
      <c r="G64" s="8" t="str">
        <f>IF(ISERROR(VLOOKUP(A64,RDPLP!D:D,1,0)),"N","Y")</f>
        <v>N</v>
      </c>
      <c r="H64" s="8" t="str">
        <f>IF(ISERROR(VLOOKUP(A64,'SCINET-PLP'!D:D,1,0)),"N","Y")</f>
        <v>N</v>
      </c>
      <c r="I64" s="8" t="str">
        <f>IF(ISERROR(VLOOKUP(A64,FLEXPLP!D:D,1,0)),"N","Y")</f>
        <v>N</v>
      </c>
      <c r="J64" s="8" t="str">
        <f>IF(ISERROR(VLOOKUP(A64,'ELN PLP'!D:D,1,0)),"N","Y")</f>
        <v>N</v>
      </c>
      <c r="K64" s="29">
        <f t="shared" si="1"/>
        <v>0</v>
      </c>
      <c r="L64" s="52" t="str">
        <f>IF(ISERROR(VLOOKUP(A64,RDPLP!G:G,1,0)),"N","Y")</f>
        <v>N</v>
      </c>
      <c r="M64" s="52" t="str">
        <f>IF(ISERROR(VLOOKUP(A64,'SCINET-PLP'!G:G,1,0)),"N","Y")</f>
        <v>Y</v>
      </c>
      <c r="N64" s="52" t="str">
        <f>IF(ISERROR(VLOOKUP(A64,FLEXPLP!G:G,1,0)),"N","Y")</f>
        <v>N</v>
      </c>
      <c r="O64" s="52" t="str">
        <f>IF(ISERROR(VLOOKUP(A64,'ELN PLP'!G:G,1,0)),"N","Y")</f>
        <v>N</v>
      </c>
      <c r="P64" s="53">
        <f t="shared" si="2"/>
        <v>1</v>
      </c>
      <c r="R64" s="21">
        <f>IF(K64+F64&gt;0,1,0)</f>
        <v>1</v>
      </c>
      <c r="S64" s="24">
        <f>IF(ISERROR(VLOOKUP(A64,U:U,1,0)),0,1)</f>
        <v>0</v>
      </c>
      <c r="Z64" t="s">
        <v>131</v>
      </c>
    </row>
    <row r="65" spans="1:26" x14ac:dyDescent="0.35">
      <c r="A65" t="s">
        <v>41</v>
      </c>
      <c r="B65" s="5" t="str">
        <f>IF(ISERROR(VLOOKUP(A65,RDPLP!A65:A90,1,0)),"N","Y")</f>
        <v>N</v>
      </c>
      <c r="C65" s="5" t="str">
        <f>IF(ISERROR(VLOOKUP(A65,'SCINET-PLP'!A:A,1,0)),"N","Y")</f>
        <v>N</v>
      </c>
      <c r="D65" s="5" t="str">
        <f>IF(ISERROR(VLOOKUP(A65,FLEXPLP!A:A,1,0)),"N","Y")</f>
        <v>N</v>
      </c>
      <c r="E65" s="5" t="str">
        <f>IF(ISERROR(VLOOKUP(A65,'ELN PLP'!A:A,1,0)),"N","Y")</f>
        <v>N</v>
      </c>
      <c r="F65" s="26">
        <f t="shared" si="0"/>
        <v>0</v>
      </c>
      <c r="G65" s="8" t="str">
        <f>IF(ISERROR(VLOOKUP(A65,RDPLP!D:D,1,0)),"N","Y")</f>
        <v>N</v>
      </c>
      <c r="H65" s="8" t="str">
        <f>IF(ISERROR(VLOOKUP(A65,'SCINET-PLP'!D:D,1,0)),"N","Y")</f>
        <v>Y</v>
      </c>
      <c r="I65" s="8" t="str">
        <f>IF(ISERROR(VLOOKUP(A65,FLEXPLP!D:D,1,0)),"N","Y")</f>
        <v>N</v>
      </c>
      <c r="J65" s="8" t="str">
        <f>IF(ISERROR(VLOOKUP(A65,'ELN PLP'!D:D,1,0)),"N","Y")</f>
        <v>N</v>
      </c>
      <c r="K65" s="29">
        <f t="shared" si="1"/>
        <v>1</v>
      </c>
      <c r="L65" s="52" t="str">
        <f>IF(ISERROR(VLOOKUP(A65,RDPLP!G:G,1,0)),"N","Y")</f>
        <v>N</v>
      </c>
      <c r="M65" s="52" t="str">
        <f>IF(ISERROR(VLOOKUP(A65,'SCINET-PLP'!G:G,1,0)),"N","Y")</f>
        <v>N</v>
      </c>
      <c r="N65" s="52" t="str">
        <f>IF(ISERROR(VLOOKUP(A65,FLEXPLP!G:G,1,0)),"N","Y")</f>
        <v>N</v>
      </c>
      <c r="O65" s="52" t="str">
        <f>IF(ISERROR(VLOOKUP(A65,'ELN PLP'!G:G,1,0)),"N","Y")</f>
        <v>N</v>
      </c>
      <c r="P65" s="53">
        <f t="shared" si="2"/>
        <v>0</v>
      </c>
      <c r="R65" s="21">
        <f>IF(K65+F65&gt;0,1,0)</f>
        <v>1</v>
      </c>
      <c r="S65" s="24">
        <f>IF(ISERROR(VLOOKUP(A65,U:U,1,0)),0,1)</f>
        <v>0</v>
      </c>
      <c r="Z65" t="s">
        <v>11</v>
      </c>
    </row>
    <row r="66" spans="1:26" x14ac:dyDescent="0.35">
      <c r="A66" t="s">
        <v>47</v>
      </c>
      <c r="B66" s="5" t="str">
        <f>IF(ISERROR(VLOOKUP(A66,RDPLP!A66:A91,1,0)),"N","Y")</f>
        <v>N</v>
      </c>
      <c r="C66" s="5" t="str">
        <f>IF(ISERROR(VLOOKUP(A66,'SCINET-PLP'!A:A,1,0)),"N","Y")</f>
        <v>N</v>
      </c>
      <c r="D66" s="5" t="str">
        <f>IF(ISERROR(VLOOKUP(A66,FLEXPLP!A:A,1,0)),"N","Y")</f>
        <v>N</v>
      </c>
      <c r="E66" s="5" t="str">
        <f>IF(ISERROR(VLOOKUP(A66,'ELN PLP'!A:A,1,0)),"N","Y")</f>
        <v>N</v>
      </c>
      <c r="F66" s="26">
        <f t="shared" si="0"/>
        <v>0</v>
      </c>
      <c r="G66" s="8" t="str">
        <f>IF(ISERROR(VLOOKUP(A66,RDPLP!D:D,1,0)),"N","Y")</f>
        <v>N</v>
      </c>
      <c r="H66" s="8" t="str">
        <f>IF(ISERROR(VLOOKUP(A66,'SCINET-PLP'!D:D,1,0)),"N","Y")</f>
        <v>Y</v>
      </c>
      <c r="I66" s="8" t="str">
        <f>IF(ISERROR(VLOOKUP(A66,FLEXPLP!D:D,1,0)),"N","Y")</f>
        <v>N</v>
      </c>
      <c r="J66" s="8" t="str">
        <f>IF(ISERROR(VLOOKUP(A66,'ELN PLP'!D:D,1,0)),"N","Y")</f>
        <v>N</v>
      </c>
      <c r="K66" s="29">
        <f t="shared" si="1"/>
        <v>1</v>
      </c>
      <c r="L66" s="52" t="str">
        <f>IF(ISERROR(VLOOKUP(A66,RDPLP!G:G,1,0)),"N","Y")</f>
        <v>N</v>
      </c>
      <c r="M66" s="52" t="str">
        <f>IF(ISERROR(VLOOKUP(A66,'SCINET-PLP'!G:G,1,0)),"N","Y")</f>
        <v>N</v>
      </c>
      <c r="N66" s="52" t="str">
        <f>IF(ISERROR(VLOOKUP(A66,FLEXPLP!G:G,1,0)),"N","Y")</f>
        <v>N</v>
      </c>
      <c r="O66" s="52" t="str">
        <f>IF(ISERROR(VLOOKUP(A66,'ELN PLP'!G:G,1,0)),"N","Y")</f>
        <v>N</v>
      </c>
      <c r="P66" s="53">
        <f t="shared" si="2"/>
        <v>0</v>
      </c>
      <c r="R66" s="21">
        <f>IF(K66+F66&gt;0,1,0)</f>
        <v>1</v>
      </c>
      <c r="S66" s="24">
        <f>IF(ISERROR(VLOOKUP(A66,U:U,1,0)),0,1)</f>
        <v>0</v>
      </c>
      <c r="Z66" t="s">
        <v>21</v>
      </c>
    </row>
    <row r="67" spans="1:26" x14ac:dyDescent="0.35">
      <c r="A67" t="s">
        <v>50</v>
      </c>
      <c r="B67" s="5" t="str">
        <f>IF(ISERROR(VLOOKUP(A67,RDPLP!A67:A92,1,0)),"N","Y")</f>
        <v>N</v>
      </c>
      <c r="C67" s="5" t="str">
        <f>IF(ISERROR(VLOOKUP(A67,'SCINET-PLP'!A:A,1,0)),"N","Y")</f>
        <v>N</v>
      </c>
      <c r="D67" s="5" t="str">
        <f>IF(ISERROR(VLOOKUP(A67,FLEXPLP!A:A,1,0)),"N","Y")</f>
        <v>N</v>
      </c>
      <c r="E67" s="5" t="str">
        <f>IF(ISERROR(VLOOKUP(A67,'ELN PLP'!A:A,1,0)),"N","Y")</f>
        <v>N</v>
      </c>
      <c r="F67" s="26">
        <f t="shared" si="0"/>
        <v>0</v>
      </c>
      <c r="G67" s="8" t="str">
        <f>IF(ISERROR(VLOOKUP(A67,RDPLP!D:D,1,0)),"N","Y")</f>
        <v>N</v>
      </c>
      <c r="H67" s="8" t="str">
        <f>IF(ISERROR(VLOOKUP(A67,'SCINET-PLP'!D:D,1,0)),"N","Y")</f>
        <v>Y</v>
      </c>
      <c r="I67" s="8" t="str">
        <f>IF(ISERROR(VLOOKUP(A67,FLEXPLP!D:D,1,0)),"N","Y")</f>
        <v>N</v>
      </c>
      <c r="J67" s="8" t="str">
        <f>IF(ISERROR(VLOOKUP(A67,'ELN PLP'!D:D,1,0)),"N","Y")</f>
        <v>N</v>
      </c>
      <c r="K67" s="29">
        <f t="shared" si="1"/>
        <v>1</v>
      </c>
      <c r="L67" s="52" t="str">
        <f>IF(ISERROR(VLOOKUP(A67,RDPLP!G:G,1,0)),"N","Y")</f>
        <v>N</v>
      </c>
      <c r="M67" s="52" t="str">
        <f>IF(ISERROR(VLOOKUP(A67,'SCINET-PLP'!G:G,1,0)),"N","Y")</f>
        <v>N</v>
      </c>
      <c r="N67" s="52" t="str">
        <f>IF(ISERROR(VLOOKUP(A67,FLEXPLP!G:G,1,0)),"N","Y")</f>
        <v>N</v>
      </c>
      <c r="O67" s="52" t="str">
        <f>IF(ISERROR(VLOOKUP(A67,'ELN PLP'!G:G,1,0)),"N","Y")</f>
        <v>N</v>
      </c>
      <c r="P67" s="53">
        <f t="shared" si="2"/>
        <v>0</v>
      </c>
      <c r="R67" s="21">
        <f>IF(K67+F67&gt;0,1,0)</f>
        <v>1</v>
      </c>
      <c r="S67" s="24">
        <f>IF(ISERROR(VLOOKUP(A67,U:U,1,0)),0,1)</f>
        <v>0</v>
      </c>
      <c r="Z67" t="s">
        <v>1995</v>
      </c>
    </row>
    <row r="68" spans="1:26" x14ac:dyDescent="0.35">
      <c r="A68" t="s">
        <v>53</v>
      </c>
      <c r="B68" s="5" t="str">
        <f>IF(ISERROR(VLOOKUP(A68,RDPLP!A68:A93,1,0)),"N","Y")</f>
        <v>N</v>
      </c>
      <c r="C68" s="5" t="str">
        <f>IF(ISERROR(VLOOKUP(A68,'SCINET-PLP'!A:A,1,0)),"N","Y")</f>
        <v>N</v>
      </c>
      <c r="D68" s="5" t="str">
        <f>IF(ISERROR(VLOOKUP(A68,FLEXPLP!A:A,1,0)),"N","Y")</f>
        <v>N</v>
      </c>
      <c r="E68" s="5" t="str">
        <f>IF(ISERROR(VLOOKUP(A68,'ELN PLP'!A:A,1,0)),"N","Y")</f>
        <v>N</v>
      </c>
      <c r="F68" s="26">
        <f t="shared" ref="F68:F131" si="3">IF(COUNTIF(B68:E68,"Y")&gt;0,1,0)</f>
        <v>0</v>
      </c>
      <c r="G68" s="8" t="str">
        <f>IF(ISERROR(VLOOKUP(A68,RDPLP!D:D,1,0)),"N","Y")</f>
        <v>N</v>
      </c>
      <c r="H68" s="8" t="str">
        <f>IF(ISERROR(VLOOKUP(A68,'SCINET-PLP'!D:D,1,0)),"N","Y")</f>
        <v>Y</v>
      </c>
      <c r="I68" s="8" t="str">
        <f>IF(ISERROR(VLOOKUP(A68,FLEXPLP!D:D,1,0)),"N","Y")</f>
        <v>N</v>
      </c>
      <c r="J68" s="8" t="str">
        <f>IF(ISERROR(VLOOKUP(A68,'ELN PLP'!D:D,1,0)),"N","Y")</f>
        <v>N</v>
      </c>
      <c r="K68" s="29">
        <f t="shared" ref="K68:K131" si="4">IF(COUNTIF(G68:J68,"Y")&gt;0,1,0)</f>
        <v>1</v>
      </c>
      <c r="L68" s="52" t="str">
        <f>IF(ISERROR(VLOOKUP(A68,RDPLP!G:G,1,0)),"N","Y")</f>
        <v>N</v>
      </c>
      <c r="M68" s="52" t="str">
        <f>IF(ISERROR(VLOOKUP(A68,'SCINET-PLP'!G:G,1,0)),"N","Y")</f>
        <v>N</v>
      </c>
      <c r="N68" s="52" t="str">
        <f>IF(ISERROR(VLOOKUP(A68,FLEXPLP!G:G,1,0)),"N","Y")</f>
        <v>N</v>
      </c>
      <c r="O68" s="52" t="str">
        <f>IF(ISERROR(VLOOKUP(A68,'ELN PLP'!G:G,1,0)),"N","Y")</f>
        <v>N</v>
      </c>
      <c r="P68" s="53">
        <f t="shared" ref="P68:P131" si="5">IF(COUNTIF(L68:O68,"Y")&gt;0,1,0)</f>
        <v>0</v>
      </c>
      <c r="R68" s="21">
        <f>IF(K68+F68&gt;0,1,0)</f>
        <v>1</v>
      </c>
      <c r="S68" s="24">
        <f>IF(ISERROR(VLOOKUP(A68,U:U,1,0)),0,1)</f>
        <v>0</v>
      </c>
      <c r="Z68" t="s">
        <v>1996</v>
      </c>
    </row>
    <row r="69" spans="1:26" x14ac:dyDescent="0.35">
      <c r="A69" t="s">
        <v>55</v>
      </c>
      <c r="B69" s="5" t="str">
        <f>IF(ISERROR(VLOOKUP(A69,RDPLP!A69:A94,1,0)),"N","Y")</f>
        <v>N</v>
      </c>
      <c r="C69" s="5" t="str">
        <f>IF(ISERROR(VLOOKUP(A69,'SCINET-PLP'!A:A,1,0)),"N","Y")</f>
        <v>N</v>
      </c>
      <c r="D69" s="5" t="str">
        <f>IF(ISERROR(VLOOKUP(A69,FLEXPLP!A:A,1,0)),"N","Y")</f>
        <v>N</v>
      </c>
      <c r="E69" s="5" t="str">
        <f>IF(ISERROR(VLOOKUP(A69,'ELN PLP'!A:A,1,0)),"N","Y")</f>
        <v>N</v>
      </c>
      <c r="F69" s="26">
        <f t="shared" si="3"/>
        <v>0</v>
      </c>
      <c r="G69" s="8" t="str">
        <f>IF(ISERROR(VLOOKUP(A69,RDPLP!D:D,1,0)),"N","Y")</f>
        <v>N</v>
      </c>
      <c r="H69" s="8" t="str">
        <f>IF(ISERROR(VLOOKUP(A69,'SCINET-PLP'!D:D,1,0)),"N","Y")</f>
        <v>Y</v>
      </c>
      <c r="I69" s="8" t="str">
        <f>IF(ISERROR(VLOOKUP(A69,FLEXPLP!D:D,1,0)),"N","Y")</f>
        <v>N</v>
      </c>
      <c r="J69" s="8" t="str">
        <f>IF(ISERROR(VLOOKUP(A69,'ELN PLP'!D:D,1,0)),"N","Y")</f>
        <v>N</v>
      </c>
      <c r="K69" s="29">
        <f t="shared" si="4"/>
        <v>1</v>
      </c>
      <c r="L69" s="52" t="str">
        <f>IF(ISERROR(VLOOKUP(A69,RDPLP!G:G,1,0)),"N","Y")</f>
        <v>N</v>
      </c>
      <c r="M69" s="52" t="str">
        <f>IF(ISERROR(VLOOKUP(A69,'SCINET-PLP'!G:G,1,0)),"N","Y")</f>
        <v>Y</v>
      </c>
      <c r="N69" s="52" t="str">
        <f>IF(ISERROR(VLOOKUP(A69,FLEXPLP!G:G,1,0)),"N","Y")</f>
        <v>N</v>
      </c>
      <c r="O69" s="52" t="str">
        <f>IF(ISERROR(VLOOKUP(A69,'ELN PLP'!G:G,1,0)),"N","Y")</f>
        <v>N</v>
      </c>
      <c r="P69" s="53">
        <f t="shared" si="5"/>
        <v>1</v>
      </c>
      <c r="R69" s="21">
        <f>IF(K69+F69&gt;0,1,0)</f>
        <v>1</v>
      </c>
      <c r="S69" s="24">
        <f>IF(ISERROR(VLOOKUP(A69,U:U,1,0)),0,1)</f>
        <v>0</v>
      </c>
      <c r="Z69" t="s">
        <v>1997</v>
      </c>
    </row>
    <row r="70" spans="1:26" x14ac:dyDescent="0.35">
      <c r="A70" t="s">
        <v>57</v>
      </c>
      <c r="B70" s="5" t="str">
        <f>IF(ISERROR(VLOOKUP(A70,RDPLP!A70:A95,1,0)),"N","Y")</f>
        <v>N</v>
      </c>
      <c r="C70" s="5" t="str">
        <f>IF(ISERROR(VLOOKUP(A70,'SCINET-PLP'!A:A,1,0)),"N","Y")</f>
        <v>N</v>
      </c>
      <c r="D70" s="5" t="str">
        <f>IF(ISERROR(VLOOKUP(A70,FLEXPLP!A:A,1,0)),"N","Y")</f>
        <v>N</v>
      </c>
      <c r="E70" s="5" t="str">
        <f>IF(ISERROR(VLOOKUP(A70,'ELN PLP'!A:A,1,0)),"N","Y")</f>
        <v>N</v>
      </c>
      <c r="F70" s="26">
        <f t="shared" si="3"/>
        <v>0</v>
      </c>
      <c r="G70" s="8" t="str">
        <f>IF(ISERROR(VLOOKUP(A70,RDPLP!D:D,1,0)),"N","Y")</f>
        <v>N</v>
      </c>
      <c r="H70" s="8" t="str">
        <f>IF(ISERROR(VLOOKUP(A70,'SCINET-PLP'!D:D,1,0)),"N","Y")</f>
        <v>Y</v>
      </c>
      <c r="I70" s="8" t="str">
        <f>IF(ISERROR(VLOOKUP(A70,FLEXPLP!D:D,1,0)),"N","Y")</f>
        <v>N</v>
      </c>
      <c r="J70" s="8" t="str">
        <f>IF(ISERROR(VLOOKUP(A70,'ELN PLP'!D:D,1,0)),"N","Y")</f>
        <v>N</v>
      </c>
      <c r="K70" s="29">
        <f t="shared" si="4"/>
        <v>1</v>
      </c>
      <c r="L70" s="52" t="str">
        <f>IF(ISERROR(VLOOKUP(A70,RDPLP!G:G,1,0)),"N","Y")</f>
        <v>N</v>
      </c>
      <c r="M70" s="52" t="str">
        <f>IF(ISERROR(VLOOKUP(A70,'SCINET-PLP'!G:G,1,0)),"N","Y")</f>
        <v>Y</v>
      </c>
      <c r="N70" s="52" t="str">
        <f>IF(ISERROR(VLOOKUP(A70,FLEXPLP!G:G,1,0)),"N","Y")</f>
        <v>N</v>
      </c>
      <c r="O70" s="52" t="str">
        <f>IF(ISERROR(VLOOKUP(A70,'ELN PLP'!G:G,1,0)),"N","Y")</f>
        <v>N</v>
      </c>
      <c r="P70" s="53">
        <f t="shared" si="5"/>
        <v>1</v>
      </c>
      <c r="R70" s="21">
        <f>IF(K70+F70&gt;0,1,0)</f>
        <v>1</v>
      </c>
      <c r="S70" s="24">
        <f>IF(ISERROR(VLOOKUP(A70,U:U,1,0)),0,1)</f>
        <v>0</v>
      </c>
      <c r="Z70" t="s">
        <v>45</v>
      </c>
    </row>
    <row r="71" spans="1:26" x14ac:dyDescent="0.35">
      <c r="A71" t="s">
        <v>59</v>
      </c>
      <c r="B71" s="5" t="str">
        <f>IF(ISERROR(VLOOKUP(A71,RDPLP!A71:A96,1,0)),"N","Y")</f>
        <v>N</v>
      </c>
      <c r="C71" s="5" t="str">
        <f>IF(ISERROR(VLOOKUP(A71,'SCINET-PLP'!A:A,1,0)),"N","Y")</f>
        <v>N</v>
      </c>
      <c r="D71" s="5" t="str">
        <f>IF(ISERROR(VLOOKUP(A71,FLEXPLP!A:A,1,0)),"N","Y")</f>
        <v>N</v>
      </c>
      <c r="E71" s="5" t="str">
        <f>IF(ISERROR(VLOOKUP(A71,'ELN PLP'!A:A,1,0)),"N","Y")</f>
        <v>N</v>
      </c>
      <c r="F71" s="26">
        <f t="shared" si="3"/>
        <v>0</v>
      </c>
      <c r="G71" s="8" t="str">
        <f>IF(ISERROR(VLOOKUP(A71,RDPLP!D:D,1,0)),"N","Y")</f>
        <v>N</v>
      </c>
      <c r="H71" s="8" t="str">
        <f>IF(ISERROR(VLOOKUP(A71,'SCINET-PLP'!D:D,1,0)),"N","Y")</f>
        <v>Y</v>
      </c>
      <c r="I71" s="8" t="str">
        <f>IF(ISERROR(VLOOKUP(A71,FLEXPLP!D:D,1,0)),"N","Y")</f>
        <v>N</v>
      </c>
      <c r="J71" s="8" t="str">
        <f>IF(ISERROR(VLOOKUP(A71,'ELN PLP'!D:D,1,0)),"N","Y")</f>
        <v>N</v>
      </c>
      <c r="K71" s="29">
        <f t="shared" si="4"/>
        <v>1</v>
      </c>
      <c r="L71" s="52" t="str">
        <f>IF(ISERROR(VLOOKUP(A71,RDPLP!G:G,1,0)),"N","Y")</f>
        <v>N</v>
      </c>
      <c r="M71" s="52" t="str">
        <f>IF(ISERROR(VLOOKUP(A71,'SCINET-PLP'!G:G,1,0)),"N","Y")</f>
        <v>Y</v>
      </c>
      <c r="N71" s="52" t="str">
        <f>IF(ISERROR(VLOOKUP(A71,FLEXPLP!G:G,1,0)),"N","Y")</f>
        <v>N</v>
      </c>
      <c r="O71" s="52" t="str">
        <f>IF(ISERROR(VLOOKUP(A71,'ELN PLP'!G:G,1,0)),"N","Y")</f>
        <v>N</v>
      </c>
      <c r="P71" s="53">
        <f t="shared" si="5"/>
        <v>1</v>
      </c>
      <c r="R71" s="21">
        <f>IF(K71+F71&gt;0,1,0)</f>
        <v>1</v>
      </c>
      <c r="S71" s="24">
        <f>IF(ISERROR(VLOOKUP(A71,U:U,1,0)),0,1)</f>
        <v>0</v>
      </c>
      <c r="Z71" t="s">
        <v>1839</v>
      </c>
    </row>
    <row r="72" spans="1:26" x14ac:dyDescent="0.35">
      <c r="A72" t="s">
        <v>61</v>
      </c>
      <c r="B72" s="5" t="str">
        <f>IF(ISERROR(VLOOKUP(A72,RDPLP!A72:A97,1,0)),"N","Y")</f>
        <v>N</v>
      </c>
      <c r="C72" s="5" t="str">
        <f>IF(ISERROR(VLOOKUP(A72,'SCINET-PLP'!A:A,1,0)),"N","Y")</f>
        <v>N</v>
      </c>
      <c r="D72" s="5" t="str">
        <f>IF(ISERROR(VLOOKUP(A72,FLEXPLP!A:A,1,0)),"N","Y")</f>
        <v>N</v>
      </c>
      <c r="E72" s="5" t="str">
        <f>IF(ISERROR(VLOOKUP(A72,'ELN PLP'!A:A,1,0)),"N","Y")</f>
        <v>N</v>
      </c>
      <c r="F72" s="26">
        <f t="shared" si="3"/>
        <v>0</v>
      </c>
      <c r="G72" s="8" t="str">
        <f>IF(ISERROR(VLOOKUP(A72,RDPLP!D:D,1,0)),"N","Y")</f>
        <v>N</v>
      </c>
      <c r="H72" s="8" t="str">
        <f>IF(ISERROR(VLOOKUP(A72,'SCINET-PLP'!D:D,1,0)),"N","Y")</f>
        <v>Y</v>
      </c>
      <c r="I72" s="8" t="str">
        <f>IF(ISERROR(VLOOKUP(A72,FLEXPLP!D:D,1,0)),"N","Y")</f>
        <v>N</v>
      </c>
      <c r="J72" s="8" t="str">
        <f>IF(ISERROR(VLOOKUP(A72,'ELN PLP'!D:D,1,0)),"N","Y")</f>
        <v>N</v>
      </c>
      <c r="K72" s="29">
        <f t="shared" si="4"/>
        <v>1</v>
      </c>
      <c r="L72" s="52" t="str">
        <f>IF(ISERROR(VLOOKUP(A72,RDPLP!G:G,1,0)),"N","Y")</f>
        <v>N</v>
      </c>
      <c r="M72" s="52" t="str">
        <f>IF(ISERROR(VLOOKUP(A72,'SCINET-PLP'!G:G,1,0)),"N","Y")</f>
        <v>N</v>
      </c>
      <c r="N72" s="52" t="str">
        <f>IF(ISERROR(VLOOKUP(A72,FLEXPLP!G:G,1,0)),"N","Y")</f>
        <v>N</v>
      </c>
      <c r="O72" s="52" t="str">
        <f>IF(ISERROR(VLOOKUP(A72,'ELN PLP'!G:G,1,0)),"N","Y")</f>
        <v>N</v>
      </c>
      <c r="P72" s="53">
        <f t="shared" si="5"/>
        <v>0</v>
      </c>
      <c r="R72" s="21">
        <f>IF(K72+F72&gt;0,1,0)</f>
        <v>1</v>
      </c>
      <c r="S72" s="24">
        <f>IF(ISERROR(VLOOKUP(A72,U:U,1,0)),0,1)</f>
        <v>0</v>
      </c>
      <c r="Z72" t="s">
        <v>57</v>
      </c>
    </row>
    <row r="73" spans="1:26" x14ac:dyDescent="0.35">
      <c r="A73" t="s">
        <v>63</v>
      </c>
      <c r="B73" s="5" t="str">
        <f>IF(ISERROR(VLOOKUP(A73,RDPLP!A73:A98,1,0)),"N","Y")</f>
        <v>N</v>
      </c>
      <c r="C73" s="5" t="str">
        <f>IF(ISERROR(VLOOKUP(A73,'SCINET-PLP'!A:A,1,0)),"N","Y")</f>
        <v>N</v>
      </c>
      <c r="D73" s="5" t="str">
        <f>IF(ISERROR(VLOOKUP(A73,FLEXPLP!A:A,1,0)),"N","Y")</f>
        <v>N</v>
      </c>
      <c r="E73" s="5" t="str">
        <f>IF(ISERROR(VLOOKUP(A73,'ELN PLP'!A:A,1,0)),"N","Y")</f>
        <v>N</v>
      </c>
      <c r="F73" s="26">
        <f t="shared" si="3"/>
        <v>0</v>
      </c>
      <c r="G73" s="8" t="str">
        <f>IF(ISERROR(VLOOKUP(A73,RDPLP!D:D,1,0)),"N","Y")</f>
        <v>N</v>
      </c>
      <c r="H73" s="8" t="str">
        <f>IF(ISERROR(VLOOKUP(A73,'SCINET-PLP'!D:D,1,0)),"N","Y")</f>
        <v>Y</v>
      </c>
      <c r="I73" s="8" t="str">
        <f>IF(ISERROR(VLOOKUP(A73,FLEXPLP!D:D,1,0)),"N","Y")</f>
        <v>N</v>
      </c>
      <c r="J73" s="8" t="str">
        <f>IF(ISERROR(VLOOKUP(A73,'ELN PLP'!D:D,1,0)),"N","Y")</f>
        <v>N</v>
      </c>
      <c r="K73" s="29">
        <f t="shared" si="4"/>
        <v>1</v>
      </c>
      <c r="L73" s="52" t="str">
        <f>IF(ISERROR(VLOOKUP(A73,RDPLP!G:G,1,0)),"N","Y")</f>
        <v>N</v>
      </c>
      <c r="M73" s="52" t="str">
        <f>IF(ISERROR(VLOOKUP(A73,'SCINET-PLP'!G:G,1,0)),"N","Y")</f>
        <v>N</v>
      </c>
      <c r="N73" s="52" t="str">
        <f>IF(ISERROR(VLOOKUP(A73,FLEXPLP!G:G,1,0)),"N","Y")</f>
        <v>N</v>
      </c>
      <c r="O73" s="52" t="str">
        <f>IF(ISERROR(VLOOKUP(A73,'ELN PLP'!G:G,1,0)),"N","Y")</f>
        <v>N</v>
      </c>
      <c r="P73" s="53">
        <f t="shared" si="5"/>
        <v>0</v>
      </c>
      <c r="R73" s="21">
        <f>IF(K73+F73&gt;0,1,0)</f>
        <v>1</v>
      </c>
      <c r="S73" s="24">
        <f>IF(ISERROR(VLOOKUP(A73,U:U,1,0)),0,1)</f>
        <v>0</v>
      </c>
      <c r="Z73" t="s">
        <v>1844</v>
      </c>
    </row>
    <row r="74" spans="1:26" x14ac:dyDescent="0.35">
      <c r="A74" t="s">
        <v>66</v>
      </c>
      <c r="B74" s="5" t="str">
        <f>IF(ISERROR(VLOOKUP(A74,RDPLP!A74:A99,1,0)),"N","Y")</f>
        <v>N</v>
      </c>
      <c r="C74" s="5" t="str">
        <f>IF(ISERROR(VLOOKUP(A74,'SCINET-PLP'!A:A,1,0)),"N","Y")</f>
        <v>N</v>
      </c>
      <c r="D74" s="5" t="str">
        <f>IF(ISERROR(VLOOKUP(A74,FLEXPLP!A:A,1,0)),"N","Y")</f>
        <v>N</v>
      </c>
      <c r="E74" s="5" t="str">
        <f>IF(ISERROR(VLOOKUP(A74,'ELN PLP'!A:A,1,0)),"N","Y")</f>
        <v>N</v>
      </c>
      <c r="F74" s="26">
        <f t="shared" si="3"/>
        <v>0</v>
      </c>
      <c r="G74" s="8" t="str">
        <f>IF(ISERROR(VLOOKUP(A74,RDPLP!D:D,1,0)),"N","Y")</f>
        <v>N</v>
      </c>
      <c r="H74" s="8" t="str">
        <f>IF(ISERROR(VLOOKUP(A74,'SCINET-PLP'!D:D,1,0)),"N","Y")</f>
        <v>Y</v>
      </c>
      <c r="I74" s="8" t="str">
        <f>IF(ISERROR(VLOOKUP(A74,FLEXPLP!D:D,1,0)),"N","Y")</f>
        <v>N</v>
      </c>
      <c r="J74" s="8" t="str">
        <f>IF(ISERROR(VLOOKUP(A74,'ELN PLP'!D:D,1,0)),"N","Y")</f>
        <v>N</v>
      </c>
      <c r="K74" s="29">
        <f t="shared" si="4"/>
        <v>1</v>
      </c>
      <c r="L74" s="52" t="str">
        <f>IF(ISERROR(VLOOKUP(A74,RDPLP!G:G,1,0)),"N","Y")</f>
        <v>N</v>
      </c>
      <c r="M74" s="52" t="str">
        <f>IF(ISERROR(VLOOKUP(A74,'SCINET-PLP'!G:G,1,0)),"N","Y")</f>
        <v>N</v>
      </c>
      <c r="N74" s="52" t="str">
        <f>IF(ISERROR(VLOOKUP(A74,FLEXPLP!G:G,1,0)),"N","Y")</f>
        <v>N</v>
      </c>
      <c r="O74" s="52" t="str">
        <f>IF(ISERROR(VLOOKUP(A74,'ELN PLP'!G:G,1,0)),"N","Y")</f>
        <v>N</v>
      </c>
      <c r="P74" s="53">
        <f t="shared" si="5"/>
        <v>0</v>
      </c>
      <c r="R74" s="21">
        <f>IF(K74+F74&gt;0,1,0)</f>
        <v>1</v>
      </c>
      <c r="S74" s="24">
        <f>IF(ISERROR(VLOOKUP(A74,U:U,1,0)),0,1)</f>
        <v>0</v>
      </c>
      <c r="Z74" t="s">
        <v>1847</v>
      </c>
    </row>
    <row r="75" spans="1:26" x14ac:dyDescent="0.35">
      <c r="A75" t="s">
        <v>68</v>
      </c>
      <c r="B75" s="5" t="str">
        <f>IF(ISERROR(VLOOKUP(A75,RDPLP!A75:A100,1,0)),"N","Y")</f>
        <v>N</v>
      </c>
      <c r="C75" s="5" t="str">
        <f>IF(ISERROR(VLOOKUP(A75,'SCINET-PLP'!A:A,1,0)),"N","Y")</f>
        <v>N</v>
      </c>
      <c r="D75" s="5" t="str">
        <f>IF(ISERROR(VLOOKUP(A75,FLEXPLP!A:A,1,0)),"N","Y")</f>
        <v>N</v>
      </c>
      <c r="E75" s="5" t="str">
        <f>IF(ISERROR(VLOOKUP(A75,'ELN PLP'!A:A,1,0)),"N","Y")</f>
        <v>N</v>
      </c>
      <c r="F75" s="26">
        <f t="shared" si="3"/>
        <v>0</v>
      </c>
      <c r="G75" s="8" t="str">
        <f>IF(ISERROR(VLOOKUP(A75,RDPLP!D:D,1,0)),"N","Y")</f>
        <v>N</v>
      </c>
      <c r="H75" s="8" t="str">
        <f>IF(ISERROR(VLOOKUP(A75,'SCINET-PLP'!D:D,1,0)),"N","Y")</f>
        <v>Y</v>
      </c>
      <c r="I75" s="8" t="str">
        <f>IF(ISERROR(VLOOKUP(A75,FLEXPLP!D:D,1,0)),"N","Y")</f>
        <v>N</v>
      </c>
      <c r="J75" s="8" t="str">
        <f>IF(ISERROR(VLOOKUP(A75,'ELN PLP'!D:D,1,0)),"N","Y")</f>
        <v>N</v>
      </c>
      <c r="K75" s="29">
        <f t="shared" si="4"/>
        <v>1</v>
      </c>
      <c r="L75" s="52" t="str">
        <f>IF(ISERROR(VLOOKUP(A75,RDPLP!G:G,1,0)),"N","Y")</f>
        <v>N</v>
      </c>
      <c r="M75" s="52" t="str">
        <f>IF(ISERROR(VLOOKUP(A75,'SCINET-PLP'!G:G,1,0)),"N","Y")</f>
        <v>Y</v>
      </c>
      <c r="N75" s="52" t="str">
        <f>IF(ISERROR(VLOOKUP(A75,FLEXPLP!G:G,1,0)),"N","Y")</f>
        <v>N</v>
      </c>
      <c r="O75" s="52" t="str">
        <f>IF(ISERROR(VLOOKUP(A75,'ELN PLP'!G:G,1,0)),"N","Y")</f>
        <v>N</v>
      </c>
      <c r="P75" s="53">
        <f t="shared" si="5"/>
        <v>1</v>
      </c>
      <c r="R75" s="21">
        <f>IF(K75+F75&gt;0,1,0)</f>
        <v>1</v>
      </c>
      <c r="S75" s="24">
        <f>IF(ISERROR(VLOOKUP(A75,U:U,1,0)),0,1)</f>
        <v>0</v>
      </c>
      <c r="Z75" t="s">
        <v>73</v>
      </c>
    </row>
    <row r="76" spans="1:26" x14ac:dyDescent="0.35">
      <c r="A76" t="s">
        <v>71</v>
      </c>
      <c r="B76" s="5" t="str">
        <f>IF(ISERROR(VLOOKUP(A76,RDPLP!A76:A101,1,0)),"N","Y")</f>
        <v>N</v>
      </c>
      <c r="C76" s="5" t="str">
        <f>IF(ISERROR(VLOOKUP(A76,'SCINET-PLP'!A:A,1,0)),"N","Y")</f>
        <v>N</v>
      </c>
      <c r="D76" s="5" t="str">
        <f>IF(ISERROR(VLOOKUP(A76,FLEXPLP!A:A,1,0)),"N","Y")</f>
        <v>N</v>
      </c>
      <c r="E76" s="5" t="str">
        <f>IF(ISERROR(VLOOKUP(A76,'ELN PLP'!A:A,1,0)),"N","Y")</f>
        <v>N</v>
      </c>
      <c r="F76" s="26">
        <f t="shared" si="3"/>
        <v>0</v>
      </c>
      <c r="G76" s="8" t="str">
        <f>IF(ISERROR(VLOOKUP(A76,RDPLP!D:D,1,0)),"N","Y")</f>
        <v>N</v>
      </c>
      <c r="H76" s="8" t="str">
        <f>IF(ISERROR(VLOOKUP(A76,'SCINET-PLP'!D:D,1,0)),"N","Y")</f>
        <v>Y</v>
      </c>
      <c r="I76" s="8" t="str">
        <f>IF(ISERROR(VLOOKUP(A76,FLEXPLP!D:D,1,0)),"N","Y")</f>
        <v>N</v>
      </c>
      <c r="J76" s="8" t="str">
        <f>IF(ISERROR(VLOOKUP(A76,'ELN PLP'!D:D,1,0)),"N","Y")</f>
        <v>N</v>
      </c>
      <c r="K76" s="29">
        <f t="shared" si="4"/>
        <v>1</v>
      </c>
      <c r="L76" s="52" t="str">
        <f>IF(ISERROR(VLOOKUP(A76,RDPLP!G:G,1,0)),"N","Y")</f>
        <v>N</v>
      </c>
      <c r="M76" s="52" t="str">
        <f>IF(ISERROR(VLOOKUP(A76,'SCINET-PLP'!G:G,1,0)),"N","Y")</f>
        <v>Y</v>
      </c>
      <c r="N76" s="52" t="str">
        <f>IF(ISERROR(VLOOKUP(A76,FLEXPLP!G:G,1,0)),"N","Y")</f>
        <v>N</v>
      </c>
      <c r="O76" s="52" t="str">
        <f>IF(ISERROR(VLOOKUP(A76,'ELN PLP'!G:G,1,0)),"N","Y")</f>
        <v>Y</v>
      </c>
      <c r="P76" s="53">
        <f t="shared" si="5"/>
        <v>1</v>
      </c>
      <c r="R76" s="21">
        <f>IF(K76+F76&gt;0,1,0)</f>
        <v>1</v>
      </c>
      <c r="S76" s="24">
        <f>IF(ISERROR(VLOOKUP(A76,U:U,1,0)),0,1)</f>
        <v>0</v>
      </c>
      <c r="Z76" t="s">
        <v>43</v>
      </c>
    </row>
    <row r="77" spans="1:26" x14ac:dyDescent="0.35">
      <c r="A77" t="s">
        <v>73</v>
      </c>
      <c r="B77" s="5" t="str">
        <f>IF(ISERROR(VLOOKUP(A77,RDPLP!A77:A102,1,0)),"N","Y")</f>
        <v>N</v>
      </c>
      <c r="C77" s="5" t="str">
        <f>IF(ISERROR(VLOOKUP(A77,'SCINET-PLP'!A:A,1,0)),"N","Y")</f>
        <v>N</v>
      </c>
      <c r="D77" s="5" t="str">
        <f>IF(ISERROR(VLOOKUP(A77,FLEXPLP!A:A,1,0)),"N","Y")</f>
        <v>N</v>
      </c>
      <c r="E77" s="5" t="str">
        <f>IF(ISERROR(VLOOKUP(A77,'ELN PLP'!A:A,1,0)),"N","Y")</f>
        <v>N</v>
      </c>
      <c r="F77" s="26">
        <f t="shared" si="3"/>
        <v>0</v>
      </c>
      <c r="G77" s="8" t="str">
        <f>IF(ISERROR(VLOOKUP(A77,RDPLP!D:D,1,0)),"N","Y")</f>
        <v>N</v>
      </c>
      <c r="H77" s="8" t="str">
        <f>IF(ISERROR(VLOOKUP(A77,'SCINET-PLP'!D:D,1,0)),"N","Y")</f>
        <v>Y</v>
      </c>
      <c r="I77" s="8" t="str">
        <f>IF(ISERROR(VLOOKUP(A77,FLEXPLP!D:D,1,0)),"N","Y")</f>
        <v>N</v>
      </c>
      <c r="J77" s="8" t="str">
        <f>IF(ISERROR(VLOOKUP(A77,'ELN PLP'!D:D,1,0)),"N","Y")</f>
        <v>N</v>
      </c>
      <c r="K77" s="29">
        <f t="shared" si="4"/>
        <v>1</v>
      </c>
      <c r="L77" s="52" t="str">
        <f>IF(ISERROR(VLOOKUP(A77,RDPLP!G:G,1,0)),"N","Y")</f>
        <v>N</v>
      </c>
      <c r="M77" s="52" t="str">
        <f>IF(ISERROR(VLOOKUP(A77,'SCINET-PLP'!G:G,1,0)),"N","Y")</f>
        <v>N</v>
      </c>
      <c r="N77" s="52" t="str">
        <f>IF(ISERROR(VLOOKUP(A77,FLEXPLP!G:G,1,0)),"N","Y")</f>
        <v>N</v>
      </c>
      <c r="O77" s="52" t="str">
        <f>IF(ISERROR(VLOOKUP(A77,'ELN PLP'!G:G,1,0)),"N","Y")</f>
        <v>N</v>
      </c>
      <c r="P77" s="53">
        <f t="shared" si="5"/>
        <v>0</v>
      </c>
      <c r="R77" s="21">
        <f>IF(K77+F77&gt;0,1,0)</f>
        <v>1</v>
      </c>
      <c r="S77" s="24">
        <f>IF(ISERROR(VLOOKUP(A77,U:U,1,0)),0,1)</f>
        <v>0</v>
      </c>
      <c r="Z77" t="s">
        <v>1854</v>
      </c>
    </row>
    <row r="78" spans="1:26" x14ac:dyDescent="0.35">
      <c r="A78" t="s">
        <v>78</v>
      </c>
      <c r="B78" s="5" t="str">
        <f>IF(ISERROR(VLOOKUP(A78,RDPLP!A78:A103,1,0)),"N","Y")</f>
        <v>N</v>
      </c>
      <c r="C78" s="5" t="str">
        <f>IF(ISERROR(VLOOKUP(A78,'SCINET-PLP'!A:A,1,0)),"N","Y")</f>
        <v>N</v>
      </c>
      <c r="D78" s="5" t="str">
        <f>IF(ISERROR(VLOOKUP(A78,FLEXPLP!A:A,1,0)),"N","Y")</f>
        <v>N</v>
      </c>
      <c r="E78" s="5" t="str">
        <f>IF(ISERROR(VLOOKUP(A78,'ELN PLP'!A:A,1,0)),"N","Y")</f>
        <v>N</v>
      </c>
      <c r="F78" s="26">
        <f t="shared" si="3"/>
        <v>0</v>
      </c>
      <c r="G78" s="8" t="str">
        <f>IF(ISERROR(VLOOKUP(A78,RDPLP!D:D,1,0)),"N","Y")</f>
        <v>N</v>
      </c>
      <c r="H78" s="8" t="str">
        <f>IF(ISERROR(VLOOKUP(A78,'SCINET-PLP'!D:D,1,0)),"N","Y")</f>
        <v>Y</v>
      </c>
      <c r="I78" s="8" t="str">
        <f>IF(ISERROR(VLOOKUP(A78,FLEXPLP!D:D,1,0)),"N","Y")</f>
        <v>N</v>
      </c>
      <c r="J78" s="8" t="str">
        <f>IF(ISERROR(VLOOKUP(A78,'ELN PLP'!D:D,1,0)),"N","Y")</f>
        <v>N</v>
      </c>
      <c r="K78" s="29">
        <f t="shared" si="4"/>
        <v>1</v>
      </c>
      <c r="L78" s="52" t="str">
        <f>IF(ISERROR(VLOOKUP(A78,RDPLP!G:G,1,0)),"N","Y")</f>
        <v>N</v>
      </c>
      <c r="M78" s="52" t="str">
        <f>IF(ISERROR(VLOOKUP(A78,'SCINET-PLP'!G:G,1,0)),"N","Y")</f>
        <v>Y</v>
      </c>
      <c r="N78" s="52" t="str">
        <f>IF(ISERROR(VLOOKUP(A78,FLEXPLP!G:G,1,0)),"N","Y")</f>
        <v>N</v>
      </c>
      <c r="O78" s="52" t="str">
        <f>IF(ISERROR(VLOOKUP(A78,'ELN PLP'!G:G,1,0)),"N","Y")</f>
        <v>N</v>
      </c>
      <c r="P78" s="53">
        <f t="shared" si="5"/>
        <v>1</v>
      </c>
      <c r="R78" s="21">
        <f>IF(K78+F78&gt;0,1,0)</f>
        <v>1</v>
      </c>
      <c r="S78" s="24">
        <f>IF(ISERROR(VLOOKUP(A78,U:U,1,0)),0,1)</f>
        <v>0</v>
      </c>
      <c r="Z78" t="s">
        <v>1856</v>
      </c>
    </row>
    <row r="79" spans="1:26" x14ac:dyDescent="0.35">
      <c r="A79" t="s">
        <v>80</v>
      </c>
      <c r="B79" s="5" t="str">
        <f>IF(ISERROR(VLOOKUP(A79,RDPLP!A79:A104,1,0)),"N","Y")</f>
        <v>N</v>
      </c>
      <c r="C79" s="5" t="str">
        <f>IF(ISERROR(VLOOKUP(A79,'SCINET-PLP'!A:A,1,0)),"N","Y")</f>
        <v>N</v>
      </c>
      <c r="D79" s="5" t="str">
        <f>IF(ISERROR(VLOOKUP(A79,FLEXPLP!A:A,1,0)),"N","Y")</f>
        <v>N</v>
      </c>
      <c r="E79" s="5" t="str">
        <f>IF(ISERROR(VLOOKUP(A79,'ELN PLP'!A:A,1,0)),"N","Y")</f>
        <v>N</v>
      </c>
      <c r="F79" s="26">
        <f t="shared" si="3"/>
        <v>0</v>
      </c>
      <c r="G79" s="8" t="str">
        <f>IF(ISERROR(VLOOKUP(A79,RDPLP!D:D,1,0)),"N","Y")</f>
        <v>N</v>
      </c>
      <c r="H79" s="8" t="str">
        <f>IF(ISERROR(VLOOKUP(A79,'SCINET-PLP'!D:D,1,0)),"N","Y")</f>
        <v>Y</v>
      </c>
      <c r="I79" s="8" t="str">
        <f>IF(ISERROR(VLOOKUP(A79,FLEXPLP!D:D,1,0)),"N","Y")</f>
        <v>N</v>
      </c>
      <c r="J79" s="8" t="str">
        <f>IF(ISERROR(VLOOKUP(A79,'ELN PLP'!D:D,1,0)),"N","Y")</f>
        <v>N</v>
      </c>
      <c r="K79" s="29">
        <f t="shared" si="4"/>
        <v>1</v>
      </c>
      <c r="L79" s="52" t="str">
        <f>IF(ISERROR(VLOOKUP(A79,RDPLP!G:G,1,0)),"N","Y")</f>
        <v>N</v>
      </c>
      <c r="M79" s="52" t="str">
        <f>IF(ISERROR(VLOOKUP(A79,'SCINET-PLP'!G:G,1,0)),"N","Y")</f>
        <v>Y</v>
      </c>
      <c r="N79" s="52" t="str">
        <f>IF(ISERROR(VLOOKUP(A79,FLEXPLP!G:G,1,0)),"N","Y")</f>
        <v>N</v>
      </c>
      <c r="O79" s="52" t="str">
        <f>IF(ISERROR(VLOOKUP(A79,'ELN PLP'!G:G,1,0)),"N","Y")</f>
        <v>N</v>
      </c>
      <c r="P79" s="53">
        <f t="shared" si="5"/>
        <v>1</v>
      </c>
      <c r="R79" s="21">
        <f>IF(K79+F79&gt;0,1,0)</f>
        <v>1</v>
      </c>
      <c r="S79" s="24">
        <f>IF(ISERROR(VLOOKUP(A79,U:U,1,0)),0,1)</f>
        <v>0</v>
      </c>
      <c r="Z79" t="s">
        <v>1859</v>
      </c>
    </row>
    <row r="80" spans="1:26" x14ac:dyDescent="0.35">
      <c r="A80" t="s">
        <v>81</v>
      </c>
      <c r="B80" s="5" t="str">
        <f>IF(ISERROR(VLOOKUP(A80,RDPLP!A80:A105,1,0)),"N","Y")</f>
        <v>N</v>
      </c>
      <c r="C80" s="5" t="str">
        <f>IF(ISERROR(VLOOKUP(A80,'SCINET-PLP'!A:A,1,0)),"N","Y")</f>
        <v>N</v>
      </c>
      <c r="D80" s="5" t="str">
        <f>IF(ISERROR(VLOOKUP(A80,FLEXPLP!A:A,1,0)),"N","Y")</f>
        <v>N</v>
      </c>
      <c r="E80" s="5" t="str">
        <f>IF(ISERROR(VLOOKUP(A80,'ELN PLP'!A:A,1,0)),"N","Y")</f>
        <v>N</v>
      </c>
      <c r="F80" s="26">
        <f t="shared" si="3"/>
        <v>0</v>
      </c>
      <c r="G80" s="8" t="str">
        <f>IF(ISERROR(VLOOKUP(A80,RDPLP!D:D,1,0)),"N","Y")</f>
        <v>N</v>
      </c>
      <c r="H80" s="8" t="str">
        <f>IF(ISERROR(VLOOKUP(A80,'SCINET-PLP'!D:D,1,0)),"N","Y")</f>
        <v>Y</v>
      </c>
      <c r="I80" s="8" t="str">
        <f>IF(ISERROR(VLOOKUP(A80,FLEXPLP!D:D,1,0)),"N","Y")</f>
        <v>N</v>
      </c>
      <c r="J80" s="8" t="str">
        <f>IF(ISERROR(VLOOKUP(A80,'ELN PLP'!D:D,1,0)),"N","Y")</f>
        <v>N</v>
      </c>
      <c r="K80" s="29">
        <f t="shared" si="4"/>
        <v>1</v>
      </c>
      <c r="L80" s="52" t="str">
        <f>IF(ISERROR(VLOOKUP(A80,RDPLP!G:G,1,0)),"N","Y")</f>
        <v>N</v>
      </c>
      <c r="M80" s="52" t="str">
        <f>IF(ISERROR(VLOOKUP(A80,'SCINET-PLP'!G:G,1,0)),"N","Y")</f>
        <v>N</v>
      </c>
      <c r="N80" s="52" t="str">
        <f>IF(ISERROR(VLOOKUP(A80,FLEXPLP!G:G,1,0)),"N","Y")</f>
        <v>N</v>
      </c>
      <c r="O80" s="52" t="str">
        <f>IF(ISERROR(VLOOKUP(A80,'ELN PLP'!G:G,1,0)),"N","Y")</f>
        <v>N</v>
      </c>
      <c r="P80" s="53">
        <f t="shared" si="5"/>
        <v>0</v>
      </c>
      <c r="R80" s="21">
        <f>IF(K80+F80&gt;0,1,0)</f>
        <v>1</v>
      </c>
      <c r="S80" s="24">
        <f>IF(ISERROR(VLOOKUP(A80,U:U,1,0)),0,1)</f>
        <v>0</v>
      </c>
      <c r="Z80" t="s">
        <v>1862</v>
      </c>
    </row>
    <row r="81" spans="1:26" x14ac:dyDescent="0.35">
      <c r="A81" t="s">
        <v>82</v>
      </c>
      <c r="B81" s="5" t="str">
        <f>IF(ISERROR(VLOOKUP(A81,RDPLP!A81:A106,1,0)),"N","Y")</f>
        <v>N</v>
      </c>
      <c r="C81" s="5" t="str">
        <f>IF(ISERROR(VLOOKUP(A81,'SCINET-PLP'!A:A,1,0)),"N","Y")</f>
        <v>N</v>
      </c>
      <c r="D81" s="5" t="str">
        <f>IF(ISERROR(VLOOKUP(A81,FLEXPLP!A:A,1,0)),"N","Y")</f>
        <v>Y</v>
      </c>
      <c r="E81" s="5" t="str">
        <f>IF(ISERROR(VLOOKUP(A81,'ELN PLP'!A:A,1,0)),"N","Y")</f>
        <v>N</v>
      </c>
      <c r="F81" s="26">
        <f t="shared" si="3"/>
        <v>1</v>
      </c>
      <c r="G81" s="8" t="str">
        <f>IF(ISERROR(VLOOKUP(A81,RDPLP!D:D,1,0)),"N","Y")</f>
        <v>N</v>
      </c>
      <c r="H81" s="8" t="str">
        <f>IF(ISERROR(VLOOKUP(A81,'SCINET-PLP'!D:D,1,0)),"N","Y")</f>
        <v>N</v>
      </c>
      <c r="I81" s="8" t="str">
        <f>IF(ISERROR(VLOOKUP(A81,FLEXPLP!D:D,1,0)),"N","Y")</f>
        <v>Y</v>
      </c>
      <c r="J81" s="8" t="str">
        <f>IF(ISERROR(VLOOKUP(A81,'ELN PLP'!D:D,1,0)),"N","Y")</f>
        <v>N</v>
      </c>
      <c r="K81" s="29">
        <f t="shared" si="4"/>
        <v>1</v>
      </c>
      <c r="L81" s="52" t="str">
        <f>IF(ISERROR(VLOOKUP(A81,RDPLP!G:G,1,0)),"N","Y")</f>
        <v>N</v>
      </c>
      <c r="M81" s="52" t="str">
        <f>IF(ISERROR(VLOOKUP(A81,'SCINET-PLP'!G:G,1,0)),"N","Y")</f>
        <v>N</v>
      </c>
      <c r="N81" s="52" t="str">
        <f>IF(ISERROR(VLOOKUP(A81,FLEXPLP!G:G,1,0)),"N","Y")</f>
        <v>Y</v>
      </c>
      <c r="O81" s="52" t="str">
        <f>IF(ISERROR(VLOOKUP(A81,'ELN PLP'!G:G,1,0)),"N","Y")</f>
        <v>N</v>
      </c>
      <c r="P81" s="53">
        <f t="shared" si="5"/>
        <v>1</v>
      </c>
      <c r="R81" s="21">
        <f>IF(K81+F81&gt;0,1,0)</f>
        <v>1</v>
      </c>
      <c r="S81" s="24">
        <f>IF(ISERROR(VLOOKUP(A81,U:U,1,0)),0,1)</f>
        <v>0</v>
      </c>
      <c r="Z81" t="s">
        <v>78</v>
      </c>
    </row>
    <row r="82" spans="1:26" x14ac:dyDescent="0.35">
      <c r="A82" t="s">
        <v>83</v>
      </c>
      <c r="B82" s="5" t="str">
        <f>IF(ISERROR(VLOOKUP(A82,RDPLP!A82:A107,1,0)),"N","Y")</f>
        <v>N</v>
      </c>
      <c r="C82" s="5" t="str">
        <f>IF(ISERROR(VLOOKUP(A82,'SCINET-PLP'!A:A,1,0)),"N","Y")</f>
        <v>N</v>
      </c>
      <c r="D82" s="5" t="str">
        <f>IF(ISERROR(VLOOKUP(A82,FLEXPLP!A:A,1,0)),"N","Y")</f>
        <v>Y</v>
      </c>
      <c r="E82" s="5" t="str">
        <f>IF(ISERROR(VLOOKUP(A82,'ELN PLP'!A:A,1,0)),"N","Y")</f>
        <v>N</v>
      </c>
      <c r="F82" s="26">
        <f t="shared" si="3"/>
        <v>1</v>
      </c>
      <c r="G82" s="8" t="str">
        <f>IF(ISERROR(VLOOKUP(A82,RDPLP!D:D,1,0)),"N","Y")</f>
        <v>N</v>
      </c>
      <c r="H82" s="8" t="str">
        <f>IF(ISERROR(VLOOKUP(A82,'SCINET-PLP'!D:D,1,0)),"N","Y")</f>
        <v>N</v>
      </c>
      <c r="I82" s="8" t="str">
        <f>IF(ISERROR(VLOOKUP(A82,FLEXPLP!D:D,1,0)),"N","Y")</f>
        <v>Y</v>
      </c>
      <c r="J82" s="8" t="str">
        <f>IF(ISERROR(VLOOKUP(A82,'ELN PLP'!D:D,1,0)),"N","Y")</f>
        <v>N</v>
      </c>
      <c r="K82" s="29">
        <f t="shared" si="4"/>
        <v>1</v>
      </c>
      <c r="L82" s="52" t="str">
        <f>IF(ISERROR(VLOOKUP(A82,RDPLP!G:G,1,0)),"N","Y")</f>
        <v>N</v>
      </c>
      <c r="M82" s="52" t="str">
        <f>IF(ISERROR(VLOOKUP(A82,'SCINET-PLP'!G:G,1,0)),"N","Y")</f>
        <v>N</v>
      </c>
      <c r="N82" s="52" t="str">
        <f>IF(ISERROR(VLOOKUP(A82,FLEXPLP!G:G,1,0)),"N","Y")</f>
        <v>Y</v>
      </c>
      <c r="O82" s="52" t="str">
        <f>IF(ISERROR(VLOOKUP(A82,'ELN PLP'!G:G,1,0)),"N","Y")</f>
        <v>N</v>
      </c>
      <c r="P82" s="53">
        <f t="shared" si="5"/>
        <v>1</v>
      </c>
      <c r="R82" s="21">
        <f>IF(K82+F82&gt;0,1,0)</f>
        <v>1</v>
      </c>
      <c r="S82" s="24">
        <f>IF(ISERROR(VLOOKUP(A82,U:U,1,0)),0,1)</f>
        <v>0</v>
      </c>
      <c r="Z82" t="s">
        <v>46</v>
      </c>
    </row>
    <row r="83" spans="1:26" x14ac:dyDescent="0.35">
      <c r="A83" t="s">
        <v>84</v>
      </c>
      <c r="B83" s="5" t="str">
        <f>IF(ISERROR(VLOOKUP(A83,RDPLP!A83:A108,1,0)),"N","Y")</f>
        <v>N</v>
      </c>
      <c r="C83" s="5" t="str">
        <f>IF(ISERROR(VLOOKUP(A83,'SCINET-PLP'!A:A,1,0)),"N","Y")</f>
        <v>N</v>
      </c>
      <c r="D83" s="5" t="str">
        <f>IF(ISERROR(VLOOKUP(A83,FLEXPLP!A:A,1,0)),"N","Y")</f>
        <v>N</v>
      </c>
      <c r="E83" s="5" t="str">
        <f>IF(ISERROR(VLOOKUP(A83,'ELN PLP'!A:A,1,0)),"N","Y")</f>
        <v>Y</v>
      </c>
      <c r="F83" s="26">
        <f t="shared" si="3"/>
        <v>1</v>
      </c>
      <c r="G83" s="8" t="str">
        <f>IF(ISERROR(VLOOKUP(A83,RDPLP!D:D,1,0)),"N","Y")</f>
        <v>N</v>
      </c>
      <c r="H83" s="8" t="str">
        <f>IF(ISERROR(VLOOKUP(A83,'SCINET-PLP'!D:D,1,0)),"N","Y")</f>
        <v>N</v>
      </c>
      <c r="I83" s="8" t="str">
        <f>IF(ISERROR(VLOOKUP(A83,FLEXPLP!D:D,1,0)),"N","Y")</f>
        <v>N</v>
      </c>
      <c r="J83" s="8" t="str">
        <f>IF(ISERROR(VLOOKUP(A83,'ELN PLP'!D:D,1,0)),"N","Y")</f>
        <v>Y</v>
      </c>
      <c r="K83" s="29">
        <f t="shared" si="4"/>
        <v>1</v>
      </c>
      <c r="L83" s="52" t="str">
        <f>IF(ISERROR(VLOOKUP(A83,RDPLP!G:G,1,0)),"N","Y")</f>
        <v>N</v>
      </c>
      <c r="M83" s="52" t="str">
        <f>IF(ISERROR(VLOOKUP(A83,'SCINET-PLP'!G:G,1,0)),"N","Y")</f>
        <v>N</v>
      </c>
      <c r="N83" s="52" t="str">
        <f>IF(ISERROR(VLOOKUP(A83,FLEXPLP!G:G,1,0)),"N","Y")</f>
        <v>N</v>
      </c>
      <c r="O83" s="52" t="str">
        <f>IF(ISERROR(VLOOKUP(A83,'ELN PLP'!G:G,1,0)),"N","Y")</f>
        <v>Y</v>
      </c>
      <c r="P83" s="53">
        <f t="shared" si="5"/>
        <v>1</v>
      </c>
      <c r="R83" s="21">
        <f>IF(K83+F83&gt;0,1,0)</f>
        <v>1</v>
      </c>
      <c r="S83" s="24">
        <f>IF(ISERROR(VLOOKUP(A83,U:U,1,0)),0,1)</f>
        <v>0</v>
      </c>
      <c r="Z83" t="s">
        <v>1870</v>
      </c>
    </row>
    <row r="84" spans="1:26" x14ac:dyDescent="0.35">
      <c r="A84" t="s">
        <v>87</v>
      </c>
      <c r="B84" s="5" t="str">
        <f>IF(ISERROR(VLOOKUP(A84,RDPLP!A84:A109,1,0)),"N","Y")</f>
        <v>N</v>
      </c>
      <c r="C84" s="5" t="str">
        <f>IF(ISERROR(VLOOKUP(A84,'SCINET-PLP'!A:A,1,0)),"N","Y")</f>
        <v>N</v>
      </c>
      <c r="D84" s="5" t="str">
        <f>IF(ISERROR(VLOOKUP(A84,FLEXPLP!A:A,1,0)),"N","Y")</f>
        <v>N</v>
      </c>
      <c r="E84" s="5" t="str">
        <f>IF(ISERROR(VLOOKUP(A84,'ELN PLP'!A:A,1,0)),"N","Y")</f>
        <v>Y</v>
      </c>
      <c r="F84" s="26">
        <f t="shared" si="3"/>
        <v>1</v>
      </c>
      <c r="G84" s="8" t="str">
        <f>IF(ISERROR(VLOOKUP(A84,RDPLP!D:D,1,0)),"N","Y")</f>
        <v>N</v>
      </c>
      <c r="H84" s="8" t="str">
        <f>IF(ISERROR(VLOOKUP(A84,'SCINET-PLP'!D:D,1,0)),"N","Y")</f>
        <v>N</v>
      </c>
      <c r="I84" s="8" t="str">
        <f>IF(ISERROR(VLOOKUP(A84,FLEXPLP!D:D,1,0)),"N","Y")</f>
        <v>N</v>
      </c>
      <c r="J84" s="8" t="str">
        <f>IF(ISERROR(VLOOKUP(A84,'ELN PLP'!D:D,1,0)),"N","Y")</f>
        <v>N</v>
      </c>
      <c r="K84" s="29">
        <f t="shared" si="4"/>
        <v>0</v>
      </c>
      <c r="L84" s="52" t="str">
        <f>IF(ISERROR(VLOOKUP(A84,RDPLP!G:G,1,0)),"N","Y")</f>
        <v>Y</v>
      </c>
      <c r="M84" s="52" t="str">
        <f>IF(ISERROR(VLOOKUP(A84,'SCINET-PLP'!G:G,1,0)),"N","Y")</f>
        <v>N</v>
      </c>
      <c r="N84" s="52" t="str">
        <f>IF(ISERROR(VLOOKUP(A84,FLEXPLP!G:G,1,0)),"N","Y")</f>
        <v>N</v>
      </c>
      <c r="O84" s="52" t="str">
        <f>IF(ISERROR(VLOOKUP(A84,'ELN PLP'!G:G,1,0)),"N","Y")</f>
        <v>N</v>
      </c>
      <c r="P84" s="53">
        <f t="shared" si="5"/>
        <v>1</v>
      </c>
      <c r="R84" s="21">
        <f>IF(K84+F84&gt;0,1,0)</f>
        <v>1</v>
      </c>
      <c r="S84" s="24">
        <f>IF(ISERROR(VLOOKUP(A84,U:U,1,0)),0,1)</f>
        <v>0</v>
      </c>
      <c r="Z84" t="s">
        <v>1872</v>
      </c>
    </row>
    <row r="85" spans="1:26" x14ac:dyDescent="0.35">
      <c r="A85" t="s">
        <v>89</v>
      </c>
      <c r="B85" s="5" t="str">
        <f>IF(ISERROR(VLOOKUP(A85,RDPLP!A85:A110,1,0)),"N","Y")</f>
        <v>N</v>
      </c>
      <c r="C85" s="5" t="str">
        <f>IF(ISERROR(VLOOKUP(A85,'SCINET-PLP'!A:A,1,0)),"N","Y")</f>
        <v>N</v>
      </c>
      <c r="D85" s="5" t="str">
        <f>IF(ISERROR(VLOOKUP(A85,FLEXPLP!A:A,1,0)),"N","Y")</f>
        <v>N</v>
      </c>
      <c r="E85" s="5" t="str">
        <f>IF(ISERROR(VLOOKUP(A85,'ELN PLP'!A:A,1,0)),"N","Y")</f>
        <v>Y</v>
      </c>
      <c r="F85" s="26">
        <f t="shared" si="3"/>
        <v>1</v>
      </c>
      <c r="G85" s="8" t="str">
        <f>IF(ISERROR(VLOOKUP(A85,RDPLP!D:D,1,0)),"N","Y")</f>
        <v>N</v>
      </c>
      <c r="H85" s="8" t="str">
        <f>IF(ISERROR(VLOOKUP(A85,'SCINET-PLP'!D:D,1,0)),"N","Y")</f>
        <v>N</v>
      </c>
      <c r="I85" s="8" t="str">
        <f>IF(ISERROR(VLOOKUP(A85,FLEXPLP!D:D,1,0)),"N","Y")</f>
        <v>N</v>
      </c>
      <c r="J85" s="8" t="str">
        <f>IF(ISERROR(VLOOKUP(A85,'ELN PLP'!D:D,1,0)),"N","Y")</f>
        <v>N</v>
      </c>
      <c r="K85" s="29">
        <f t="shared" si="4"/>
        <v>0</v>
      </c>
      <c r="L85" s="52" t="str">
        <f>IF(ISERROR(VLOOKUP(A85,RDPLP!G:G,1,0)),"N","Y")</f>
        <v>N</v>
      </c>
      <c r="M85" s="52" t="str">
        <f>IF(ISERROR(VLOOKUP(A85,'SCINET-PLP'!G:G,1,0)),"N","Y")</f>
        <v>N</v>
      </c>
      <c r="N85" s="52" t="str">
        <f>IF(ISERROR(VLOOKUP(A85,FLEXPLP!G:G,1,0)),"N","Y")</f>
        <v>N</v>
      </c>
      <c r="O85" s="52" t="str">
        <f>IF(ISERROR(VLOOKUP(A85,'ELN PLP'!G:G,1,0)),"N","Y")</f>
        <v>Y</v>
      </c>
      <c r="P85" s="53">
        <f t="shared" si="5"/>
        <v>1</v>
      </c>
      <c r="R85" s="21">
        <f>IF(K85+F85&gt;0,1,0)</f>
        <v>1</v>
      </c>
      <c r="S85" s="24">
        <f>IF(ISERROR(VLOOKUP(A85,U:U,1,0)),0,1)</f>
        <v>0</v>
      </c>
      <c r="Z85" t="s">
        <v>65</v>
      </c>
    </row>
    <row r="86" spans="1:26" x14ac:dyDescent="0.35">
      <c r="A86" t="s">
        <v>91</v>
      </c>
      <c r="B86" s="5" t="str">
        <f>IF(ISERROR(VLOOKUP(A86,RDPLP!A86:A111,1,0)),"N","Y")</f>
        <v>N</v>
      </c>
      <c r="C86" s="5" t="str">
        <f>IF(ISERROR(VLOOKUP(A86,'SCINET-PLP'!A:A,1,0)),"N","Y")</f>
        <v>N</v>
      </c>
      <c r="D86" s="5" t="str">
        <f>IF(ISERROR(VLOOKUP(A86,FLEXPLP!A:A,1,0)),"N","Y")</f>
        <v>N</v>
      </c>
      <c r="E86" s="5" t="str">
        <f>IF(ISERROR(VLOOKUP(A86,'ELN PLP'!A:A,1,0)),"N","Y")</f>
        <v>Y</v>
      </c>
      <c r="F86" s="26">
        <f t="shared" si="3"/>
        <v>1</v>
      </c>
      <c r="G86" s="8" t="str">
        <f>IF(ISERROR(VLOOKUP(A86,RDPLP!D:D,1,0)),"N","Y")</f>
        <v>N</v>
      </c>
      <c r="H86" s="8" t="str">
        <f>IF(ISERROR(VLOOKUP(A86,'SCINET-PLP'!D:D,1,0)),"N","Y")</f>
        <v>N</v>
      </c>
      <c r="I86" s="8" t="str">
        <f>IF(ISERROR(VLOOKUP(A86,FLEXPLP!D:D,1,0)),"N","Y")</f>
        <v>N</v>
      </c>
      <c r="J86" s="8" t="str">
        <f>IF(ISERROR(VLOOKUP(A86,'ELN PLP'!D:D,1,0)),"N","Y")</f>
        <v>N</v>
      </c>
      <c r="K86" s="29">
        <f t="shared" si="4"/>
        <v>0</v>
      </c>
      <c r="L86" s="52" t="str">
        <f>IF(ISERROR(VLOOKUP(A86,RDPLP!G:G,1,0)),"N","Y")</f>
        <v>N</v>
      </c>
      <c r="M86" s="52" t="str">
        <f>IF(ISERROR(VLOOKUP(A86,'SCINET-PLP'!G:G,1,0)),"N","Y")</f>
        <v>N</v>
      </c>
      <c r="N86" s="52" t="str">
        <f>IF(ISERROR(VLOOKUP(A86,FLEXPLP!G:G,1,0)),"N","Y")</f>
        <v>N</v>
      </c>
      <c r="O86" s="52" t="str">
        <f>IF(ISERROR(VLOOKUP(A86,'ELN PLP'!G:G,1,0)),"N","Y")</f>
        <v>N</v>
      </c>
      <c r="P86" s="53">
        <f t="shared" si="5"/>
        <v>0</v>
      </c>
      <c r="R86" s="21">
        <f>IF(K86+F86&gt;0,1,0)</f>
        <v>1</v>
      </c>
      <c r="S86" s="24">
        <f>IF(ISERROR(VLOOKUP(A86,U:U,1,0)),0,1)</f>
        <v>0</v>
      </c>
      <c r="Z86" t="s">
        <v>1877</v>
      </c>
    </row>
    <row r="87" spans="1:26" x14ac:dyDescent="0.35">
      <c r="A87" t="s">
        <v>93</v>
      </c>
      <c r="B87" s="5" t="str">
        <f>IF(ISERROR(VLOOKUP(A87,RDPLP!A87:A112,1,0)),"N","Y")</f>
        <v>N</v>
      </c>
      <c r="C87" s="5" t="str">
        <f>IF(ISERROR(VLOOKUP(A87,'SCINET-PLP'!A:A,1,0)),"N","Y")</f>
        <v>N</v>
      </c>
      <c r="D87" s="5" t="str">
        <f>IF(ISERROR(VLOOKUP(A87,FLEXPLP!A:A,1,0)),"N","Y")</f>
        <v>N</v>
      </c>
      <c r="E87" s="5" t="str">
        <f>IF(ISERROR(VLOOKUP(A87,'ELN PLP'!A:A,1,0)),"N","Y")</f>
        <v>Y</v>
      </c>
      <c r="F87" s="26">
        <f t="shared" si="3"/>
        <v>1</v>
      </c>
      <c r="G87" s="8" t="str">
        <f>IF(ISERROR(VLOOKUP(A87,RDPLP!D:D,1,0)),"N","Y")</f>
        <v>N</v>
      </c>
      <c r="H87" s="8" t="str">
        <f>IF(ISERROR(VLOOKUP(A87,'SCINET-PLP'!D:D,1,0)),"N","Y")</f>
        <v>N</v>
      </c>
      <c r="I87" s="8" t="str">
        <f>IF(ISERROR(VLOOKUP(A87,FLEXPLP!D:D,1,0)),"N","Y")</f>
        <v>N</v>
      </c>
      <c r="J87" s="8" t="str">
        <f>IF(ISERROR(VLOOKUP(A87,'ELN PLP'!D:D,1,0)),"N","Y")</f>
        <v>Y</v>
      </c>
      <c r="K87" s="29">
        <f t="shared" si="4"/>
        <v>1</v>
      </c>
      <c r="L87" s="52" t="str">
        <f>IF(ISERROR(VLOOKUP(A87,RDPLP!G:G,1,0)),"N","Y")</f>
        <v>N</v>
      </c>
      <c r="M87" s="52" t="str">
        <f>IF(ISERROR(VLOOKUP(A87,'SCINET-PLP'!G:G,1,0)),"N","Y")</f>
        <v>N</v>
      </c>
      <c r="N87" s="52" t="str">
        <f>IF(ISERROR(VLOOKUP(A87,FLEXPLP!G:G,1,0)),"N","Y")</f>
        <v>N</v>
      </c>
      <c r="O87" s="52" t="str">
        <f>IF(ISERROR(VLOOKUP(A87,'ELN PLP'!G:G,1,0)),"N","Y")</f>
        <v>Y</v>
      </c>
      <c r="P87" s="53">
        <f t="shared" si="5"/>
        <v>1</v>
      </c>
      <c r="R87" s="21">
        <f>IF(K87+F87&gt;0,1,0)</f>
        <v>1</v>
      </c>
      <c r="S87" s="24">
        <f>IF(ISERROR(VLOOKUP(A87,U:U,1,0)),0,1)</f>
        <v>0</v>
      </c>
      <c r="Z87" t="s">
        <v>1879</v>
      </c>
    </row>
    <row r="88" spans="1:26" x14ac:dyDescent="0.35">
      <c r="A88" t="s">
        <v>94</v>
      </c>
      <c r="B88" s="5" t="str">
        <f>IF(ISERROR(VLOOKUP(A88,RDPLP!A88:A113,1,0)),"N","Y")</f>
        <v>N</v>
      </c>
      <c r="C88" s="5" t="str">
        <f>IF(ISERROR(VLOOKUP(A88,'SCINET-PLP'!A:A,1,0)),"N","Y")</f>
        <v>N</v>
      </c>
      <c r="D88" s="5" t="str">
        <f>IF(ISERROR(VLOOKUP(A88,FLEXPLP!A:A,1,0)),"N","Y")</f>
        <v>N</v>
      </c>
      <c r="E88" s="5" t="str">
        <f>IF(ISERROR(VLOOKUP(A88,'ELN PLP'!A:A,1,0)),"N","Y")</f>
        <v>Y</v>
      </c>
      <c r="F88" s="26">
        <f t="shared" si="3"/>
        <v>1</v>
      </c>
      <c r="G88" s="8" t="str">
        <f>IF(ISERROR(VLOOKUP(A88,RDPLP!D:D,1,0)),"N","Y")</f>
        <v>N</v>
      </c>
      <c r="H88" s="8" t="str">
        <f>IF(ISERROR(VLOOKUP(A88,'SCINET-PLP'!D:D,1,0)),"N","Y")</f>
        <v>N</v>
      </c>
      <c r="I88" s="8" t="str">
        <f>IF(ISERROR(VLOOKUP(A88,FLEXPLP!D:D,1,0)),"N","Y")</f>
        <v>N</v>
      </c>
      <c r="J88" s="8" t="str">
        <f>IF(ISERROR(VLOOKUP(A88,'ELN PLP'!D:D,1,0)),"N","Y")</f>
        <v>Y</v>
      </c>
      <c r="K88" s="29">
        <f t="shared" si="4"/>
        <v>1</v>
      </c>
      <c r="L88" s="52" t="str">
        <f>IF(ISERROR(VLOOKUP(A88,RDPLP!G:G,1,0)),"N","Y")</f>
        <v>N</v>
      </c>
      <c r="M88" s="52" t="str">
        <f>IF(ISERROR(VLOOKUP(A88,'SCINET-PLP'!G:G,1,0)),"N","Y")</f>
        <v>N</v>
      </c>
      <c r="N88" s="52" t="str">
        <f>IF(ISERROR(VLOOKUP(A88,FLEXPLP!G:G,1,0)),"N","Y")</f>
        <v>N</v>
      </c>
      <c r="O88" s="52" t="str">
        <f>IF(ISERROR(VLOOKUP(A88,'ELN PLP'!G:G,1,0)),"N","Y")</f>
        <v>N</v>
      </c>
      <c r="P88" s="53">
        <f t="shared" si="5"/>
        <v>0</v>
      </c>
      <c r="R88" s="21">
        <f>IF(K88+F88&gt;0,1,0)</f>
        <v>1</v>
      </c>
      <c r="S88" s="24">
        <f>IF(ISERROR(VLOOKUP(A88,U:U,1,0)),0,1)</f>
        <v>0</v>
      </c>
      <c r="Z88" t="s">
        <v>1883</v>
      </c>
    </row>
    <row r="89" spans="1:26" x14ac:dyDescent="0.35">
      <c r="A89" t="s">
        <v>96</v>
      </c>
      <c r="B89" s="5" t="str">
        <f>IF(ISERROR(VLOOKUP(A89,RDPLP!A89:A114,1,0)),"N","Y")</f>
        <v>N</v>
      </c>
      <c r="C89" s="5" t="str">
        <f>IF(ISERROR(VLOOKUP(A89,'SCINET-PLP'!A:A,1,0)),"N","Y")</f>
        <v>N</v>
      </c>
      <c r="D89" s="5" t="str">
        <f>IF(ISERROR(VLOOKUP(A89,FLEXPLP!A:A,1,0)),"N","Y")</f>
        <v>N</v>
      </c>
      <c r="E89" s="5" t="str">
        <f>IF(ISERROR(VLOOKUP(A89,'ELN PLP'!A:A,1,0)),"N","Y")</f>
        <v>Y</v>
      </c>
      <c r="F89" s="26">
        <f t="shared" si="3"/>
        <v>1</v>
      </c>
      <c r="G89" s="8" t="str">
        <f>IF(ISERROR(VLOOKUP(A89,RDPLP!D:D,1,0)),"N","Y")</f>
        <v>N</v>
      </c>
      <c r="H89" s="8" t="str">
        <f>IF(ISERROR(VLOOKUP(A89,'SCINET-PLP'!D:D,1,0)),"N","Y")</f>
        <v>N</v>
      </c>
      <c r="I89" s="8" t="str">
        <f>IF(ISERROR(VLOOKUP(A89,FLEXPLP!D:D,1,0)),"N","Y")</f>
        <v>N</v>
      </c>
      <c r="J89" s="8" t="str">
        <f>IF(ISERROR(VLOOKUP(A89,'ELN PLP'!D:D,1,0)),"N","Y")</f>
        <v>N</v>
      </c>
      <c r="K89" s="29">
        <f t="shared" si="4"/>
        <v>0</v>
      </c>
      <c r="L89" s="52" t="str">
        <f>IF(ISERROR(VLOOKUP(A89,RDPLP!G:G,1,0)),"N","Y")</f>
        <v>N</v>
      </c>
      <c r="M89" s="52" t="str">
        <f>IF(ISERROR(VLOOKUP(A89,'SCINET-PLP'!G:G,1,0)),"N","Y")</f>
        <v>N</v>
      </c>
      <c r="N89" s="52" t="str">
        <f>IF(ISERROR(VLOOKUP(A89,FLEXPLP!G:G,1,0)),"N","Y")</f>
        <v>N</v>
      </c>
      <c r="O89" s="52" t="str">
        <f>IF(ISERROR(VLOOKUP(A89,'ELN PLP'!G:G,1,0)),"N","Y")</f>
        <v>N</v>
      </c>
      <c r="P89" s="53">
        <f t="shared" si="5"/>
        <v>0</v>
      </c>
      <c r="R89" s="21">
        <f>IF(K89+F89&gt;0,1,0)</f>
        <v>1</v>
      </c>
      <c r="S89" s="24">
        <f>IF(ISERROR(VLOOKUP(A89,U:U,1,0)),0,1)</f>
        <v>0</v>
      </c>
      <c r="Z89" t="s">
        <v>117</v>
      </c>
    </row>
    <row r="90" spans="1:26" x14ac:dyDescent="0.35">
      <c r="A90" t="s">
        <v>98</v>
      </c>
      <c r="B90" s="5" t="str">
        <f>IF(ISERROR(VLOOKUP(A90,RDPLP!A90:A115,1,0)),"N","Y")</f>
        <v>N</v>
      </c>
      <c r="C90" s="5" t="str">
        <f>IF(ISERROR(VLOOKUP(A90,'SCINET-PLP'!A:A,1,0)),"N","Y")</f>
        <v>N</v>
      </c>
      <c r="D90" s="5" t="str">
        <f>IF(ISERROR(VLOOKUP(A90,FLEXPLP!A:A,1,0)),"N","Y")</f>
        <v>N</v>
      </c>
      <c r="E90" s="5" t="str">
        <f>IF(ISERROR(VLOOKUP(A90,'ELN PLP'!A:A,1,0)),"N","Y")</f>
        <v>Y</v>
      </c>
      <c r="F90" s="26">
        <f t="shared" si="3"/>
        <v>1</v>
      </c>
      <c r="G90" s="8" t="str">
        <f>IF(ISERROR(VLOOKUP(A90,RDPLP!D:D,1,0)),"N","Y")</f>
        <v>N</v>
      </c>
      <c r="H90" s="8" t="str">
        <f>IF(ISERROR(VLOOKUP(A90,'SCINET-PLP'!D:D,1,0)),"N","Y")</f>
        <v>N</v>
      </c>
      <c r="I90" s="8" t="str">
        <f>IF(ISERROR(VLOOKUP(A90,FLEXPLP!D:D,1,0)),"N","Y")</f>
        <v>N</v>
      </c>
      <c r="J90" s="8" t="str">
        <f>IF(ISERROR(VLOOKUP(A90,'ELN PLP'!D:D,1,0)),"N","Y")</f>
        <v>N</v>
      </c>
      <c r="K90" s="29">
        <f t="shared" si="4"/>
        <v>0</v>
      </c>
      <c r="L90" s="52" t="str">
        <f>IF(ISERROR(VLOOKUP(A90,RDPLP!G:G,1,0)),"N","Y")</f>
        <v>N</v>
      </c>
      <c r="M90" s="52" t="str">
        <f>IF(ISERROR(VLOOKUP(A90,'SCINET-PLP'!G:G,1,0)),"N","Y")</f>
        <v>N</v>
      </c>
      <c r="N90" s="52" t="str">
        <f>IF(ISERROR(VLOOKUP(A90,FLEXPLP!G:G,1,0)),"N","Y")</f>
        <v>N</v>
      </c>
      <c r="O90" s="52" t="str">
        <f>IF(ISERROR(VLOOKUP(A90,'ELN PLP'!G:G,1,0)),"N","Y")</f>
        <v>N</v>
      </c>
      <c r="P90" s="53">
        <f t="shared" si="5"/>
        <v>0</v>
      </c>
      <c r="R90" s="21">
        <f>IF(K90+F90&gt;0,1,0)</f>
        <v>1</v>
      </c>
      <c r="S90" s="24">
        <f>IF(ISERROR(VLOOKUP(A90,U:U,1,0)),0,1)</f>
        <v>0</v>
      </c>
      <c r="Z90" t="s">
        <v>63</v>
      </c>
    </row>
    <row r="91" spans="1:26" x14ac:dyDescent="0.35">
      <c r="A91" t="s">
        <v>100</v>
      </c>
      <c r="B91" s="5" t="str">
        <f>IF(ISERROR(VLOOKUP(A91,RDPLP!A91:A116,1,0)),"N","Y")</f>
        <v>N</v>
      </c>
      <c r="C91" s="5" t="str">
        <f>IF(ISERROR(VLOOKUP(A91,'SCINET-PLP'!A:A,1,0)),"N","Y")</f>
        <v>N</v>
      </c>
      <c r="D91" s="5" t="str">
        <f>IF(ISERROR(VLOOKUP(A91,FLEXPLP!A:A,1,0)),"N","Y")</f>
        <v>N</v>
      </c>
      <c r="E91" s="5" t="str">
        <f>IF(ISERROR(VLOOKUP(A91,'ELN PLP'!A:A,1,0)),"N","Y")</f>
        <v>Y</v>
      </c>
      <c r="F91" s="26">
        <f t="shared" si="3"/>
        <v>1</v>
      </c>
      <c r="G91" s="8" t="str">
        <f>IF(ISERROR(VLOOKUP(A91,RDPLP!D:D,1,0)),"N","Y")</f>
        <v>N</v>
      </c>
      <c r="H91" s="8" t="str">
        <f>IF(ISERROR(VLOOKUP(A91,'SCINET-PLP'!D:D,1,0)),"N","Y")</f>
        <v>N</v>
      </c>
      <c r="I91" s="8" t="str">
        <f>IF(ISERROR(VLOOKUP(A91,FLEXPLP!D:D,1,0)),"N","Y")</f>
        <v>N</v>
      </c>
      <c r="J91" s="8" t="str">
        <f>IF(ISERROR(VLOOKUP(A91,'ELN PLP'!D:D,1,0)),"N","Y")</f>
        <v>N</v>
      </c>
      <c r="K91" s="29">
        <f t="shared" si="4"/>
        <v>0</v>
      </c>
      <c r="L91" s="52" t="str">
        <f>IF(ISERROR(VLOOKUP(A91,RDPLP!G:G,1,0)),"N","Y")</f>
        <v>N</v>
      </c>
      <c r="M91" s="52" t="str">
        <f>IF(ISERROR(VLOOKUP(A91,'SCINET-PLP'!G:G,1,0)),"N","Y")</f>
        <v>N</v>
      </c>
      <c r="N91" s="52" t="str">
        <f>IF(ISERROR(VLOOKUP(A91,FLEXPLP!G:G,1,0)),"N","Y")</f>
        <v>N</v>
      </c>
      <c r="O91" s="52" t="str">
        <f>IF(ISERROR(VLOOKUP(A91,'ELN PLP'!G:G,1,0)),"N","Y")</f>
        <v>N</v>
      </c>
      <c r="P91" s="53">
        <f t="shared" si="5"/>
        <v>0</v>
      </c>
      <c r="R91" s="21">
        <f>IF(K91+F91&gt;0,1,0)</f>
        <v>1</v>
      </c>
      <c r="S91" s="24">
        <f>IF(ISERROR(VLOOKUP(A91,U:U,1,0)),0,1)</f>
        <v>0</v>
      </c>
      <c r="Z91" t="s">
        <v>1890</v>
      </c>
    </row>
    <row r="92" spans="1:26" x14ac:dyDescent="0.35">
      <c r="A92" t="s">
        <v>102</v>
      </c>
      <c r="B92" s="5" t="str">
        <f>IF(ISERROR(VLOOKUP(A92,RDPLP!A92:A117,1,0)),"N","Y")</f>
        <v>N</v>
      </c>
      <c r="C92" s="5" t="str">
        <f>IF(ISERROR(VLOOKUP(A92,'SCINET-PLP'!A:A,1,0)),"N","Y")</f>
        <v>N</v>
      </c>
      <c r="D92" s="5" t="str">
        <f>IF(ISERROR(VLOOKUP(A92,FLEXPLP!A:A,1,0)),"N","Y")</f>
        <v>N</v>
      </c>
      <c r="E92" s="5" t="str">
        <f>IF(ISERROR(VLOOKUP(A92,'ELN PLP'!A:A,1,0)),"N","Y")</f>
        <v>Y</v>
      </c>
      <c r="F92" s="26">
        <f t="shared" si="3"/>
        <v>1</v>
      </c>
      <c r="G92" s="8" t="str">
        <f>IF(ISERROR(VLOOKUP(A92,RDPLP!D:D,1,0)),"N","Y")</f>
        <v>N</v>
      </c>
      <c r="H92" s="8" t="str">
        <f>IF(ISERROR(VLOOKUP(A92,'SCINET-PLP'!D:D,1,0)),"N","Y")</f>
        <v>N</v>
      </c>
      <c r="I92" s="8" t="str">
        <f>IF(ISERROR(VLOOKUP(A92,FLEXPLP!D:D,1,0)),"N","Y")</f>
        <v>N</v>
      </c>
      <c r="J92" s="8" t="str">
        <f>IF(ISERROR(VLOOKUP(A92,'ELN PLP'!D:D,1,0)),"N","Y")</f>
        <v>N</v>
      </c>
      <c r="K92" s="29">
        <f t="shared" si="4"/>
        <v>0</v>
      </c>
      <c r="L92" s="52" t="str">
        <f>IF(ISERROR(VLOOKUP(A92,RDPLP!G:G,1,0)),"N","Y")</f>
        <v>N</v>
      </c>
      <c r="M92" s="52" t="str">
        <f>IF(ISERROR(VLOOKUP(A92,'SCINET-PLP'!G:G,1,0)),"N","Y")</f>
        <v>N</v>
      </c>
      <c r="N92" s="52" t="str">
        <f>IF(ISERROR(VLOOKUP(A92,FLEXPLP!G:G,1,0)),"N","Y")</f>
        <v>N</v>
      </c>
      <c r="O92" s="52" t="str">
        <f>IF(ISERROR(VLOOKUP(A92,'ELN PLP'!G:G,1,0)),"N","Y")</f>
        <v>N</v>
      </c>
      <c r="P92" s="53">
        <f t="shared" si="5"/>
        <v>0</v>
      </c>
      <c r="R92" s="21">
        <f>IF(K92+F92&gt;0,1,0)</f>
        <v>1</v>
      </c>
      <c r="S92" s="24">
        <f>IF(ISERROR(VLOOKUP(A92,U:U,1,0)),0,1)</f>
        <v>0</v>
      </c>
      <c r="Z92" t="s">
        <v>1892</v>
      </c>
    </row>
    <row r="93" spans="1:26" x14ac:dyDescent="0.35">
      <c r="A93" t="s">
        <v>104</v>
      </c>
      <c r="B93" s="5" t="str">
        <f>IF(ISERROR(VLOOKUP(A93,RDPLP!A93:A118,1,0)),"N","Y")</f>
        <v>N</v>
      </c>
      <c r="C93" s="5" t="str">
        <f>IF(ISERROR(VLOOKUP(A93,'SCINET-PLP'!A:A,1,0)),"N","Y")</f>
        <v>N</v>
      </c>
      <c r="D93" s="5" t="str">
        <f>IF(ISERROR(VLOOKUP(A93,FLEXPLP!A:A,1,0)),"N","Y")</f>
        <v>N</v>
      </c>
      <c r="E93" s="5" t="str">
        <f>IF(ISERROR(VLOOKUP(A93,'ELN PLP'!A:A,1,0)),"N","Y")</f>
        <v>Y</v>
      </c>
      <c r="F93" s="26">
        <f t="shared" si="3"/>
        <v>1</v>
      </c>
      <c r="G93" s="8" t="str">
        <f>IF(ISERROR(VLOOKUP(A93,RDPLP!D:D,1,0)),"N","Y")</f>
        <v>N</v>
      </c>
      <c r="H93" s="8" t="str">
        <f>IF(ISERROR(VLOOKUP(A93,'SCINET-PLP'!D:D,1,0)),"N","Y")</f>
        <v>N</v>
      </c>
      <c r="I93" s="8" t="str">
        <f>IF(ISERROR(VLOOKUP(A93,FLEXPLP!D:D,1,0)),"N","Y")</f>
        <v>N</v>
      </c>
      <c r="J93" s="8" t="str">
        <f>IF(ISERROR(VLOOKUP(A93,'ELN PLP'!D:D,1,0)),"N","Y")</f>
        <v>N</v>
      </c>
      <c r="K93" s="29">
        <f t="shared" si="4"/>
        <v>0</v>
      </c>
      <c r="L93" s="52" t="str">
        <f>IF(ISERROR(VLOOKUP(A93,RDPLP!G:G,1,0)),"N","Y")</f>
        <v>N</v>
      </c>
      <c r="M93" s="52" t="str">
        <f>IF(ISERROR(VLOOKUP(A93,'SCINET-PLP'!G:G,1,0)),"N","Y")</f>
        <v>N</v>
      </c>
      <c r="N93" s="52" t="str">
        <f>IF(ISERROR(VLOOKUP(A93,FLEXPLP!G:G,1,0)),"N","Y")</f>
        <v>N</v>
      </c>
      <c r="O93" s="52" t="str">
        <f>IF(ISERROR(VLOOKUP(A93,'ELN PLP'!G:G,1,0)),"N","Y")</f>
        <v>N</v>
      </c>
      <c r="P93" s="53">
        <f t="shared" si="5"/>
        <v>0</v>
      </c>
      <c r="R93" s="21">
        <f>IF(K93+F93&gt;0,1,0)</f>
        <v>1</v>
      </c>
      <c r="S93" s="24">
        <f>IF(ISERROR(VLOOKUP(A93,U:U,1,0)),0,1)</f>
        <v>0</v>
      </c>
      <c r="Z93" t="s">
        <v>1895</v>
      </c>
    </row>
    <row r="94" spans="1:26" x14ac:dyDescent="0.35">
      <c r="A94" t="s">
        <v>106</v>
      </c>
      <c r="B94" s="5" t="str">
        <f>IF(ISERROR(VLOOKUP(A94,RDPLP!A94:A119,1,0)),"N","Y")</f>
        <v>N</v>
      </c>
      <c r="C94" s="5" t="str">
        <f>IF(ISERROR(VLOOKUP(A94,'SCINET-PLP'!A:A,1,0)),"N","Y")</f>
        <v>N</v>
      </c>
      <c r="D94" s="5" t="str">
        <f>IF(ISERROR(VLOOKUP(A94,FLEXPLP!A:A,1,0)),"N","Y")</f>
        <v>N</v>
      </c>
      <c r="E94" s="5" t="str">
        <f>IF(ISERROR(VLOOKUP(A94,'ELN PLP'!A:A,1,0)),"N","Y")</f>
        <v>Y</v>
      </c>
      <c r="F94" s="26">
        <f t="shared" si="3"/>
        <v>1</v>
      </c>
      <c r="G94" s="8" t="str">
        <f>IF(ISERROR(VLOOKUP(A94,RDPLP!D:D,1,0)),"N","Y")</f>
        <v>N</v>
      </c>
      <c r="H94" s="8" t="str">
        <f>IF(ISERROR(VLOOKUP(A94,'SCINET-PLP'!D:D,1,0)),"N","Y")</f>
        <v>N</v>
      </c>
      <c r="I94" s="8" t="str">
        <f>IF(ISERROR(VLOOKUP(A94,FLEXPLP!D:D,1,0)),"N","Y")</f>
        <v>N</v>
      </c>
      <c r="J94" s="8" t="str">
        <f>IF(ISERROR(VLOOKUP(A94,'ELN PLP'!D:D,1,0)),"N","Y")</f>
        <v>Y</v>
      </c>
      <c r="K94" s="29">
        <f t="shared" si="4"/>
        <v>1</v>
      </c>
      <c r="L94" s="52" t="str">
        <f>IF(ISERROR(VLOOKUP(A94,RDPLP!G:G,1,0)),"N","Y")</f>
        <v>N</v>
      </c>
      <c r="M94" s="52" t="str">
        <f>IF(ISERROR(VLOOKUP(A94,'SCINET-PLP'!G:G,1,0)),"N","Y")</f>
        <v>N</v>
      </c>
      <c r="N94" s="52" t="str">
        <f>IF(ISERROR(VLOOKUP(A94,FLEXPLP!G:G,1,0)),"N","Y")</f>
        <v>N</v>
      </c>
      <c r="O94" s="52" t="str">
        <f>IF(ISERROR(VLOOKUP(A94,'ELN PLP'!G:G,1,0)),"N","Y")</f>
        <v>N</v>
      </c>
      <c r="P94" s="53">
        <f t="shared" si="5"/>
        <v>0</v>
      </c>
      <c r="R94" s="21">
        <f>IF(K94+F94&gt;0,1,0)</f>
        <v>1</v>
      </c>
      <c r="S94" s="24">
        <f>IF(ISERROR(VLOOKUP(A94,U:U,1,0)),0,1)</f>
        <v>0</v>
      </c>
      <c r="Z94" t="s">
        <v>51</v>
      </c>
    </row>
    <row r="95" spans="1:26" x14ac:dyDescent="0.35">
      <c r="A95" t="s">
        <v>107</v>
      </c>
      <c r="B95" s="5" t="str">
        <f>IF(ISERROR(VLOOKUP(A95,RDPLP!A95:A120,1,0)),"N","Y")</f>
        <v>N</v>
      </c>
      <c r="C95" s="5" t="str">
        <f>IF(ISERROR(VLOOKUP(A95,'SCINET-PLP'!A:A,1,0)),"N","Y")</f>
        <v>N</v>
      </c>
      <c r="D95" s="5" t="str">
        <f>IF(ISERROR(VLOOKUP(A95,FLEXPLP!A:A,1,0)),"N","Y")</f>
        <v>N</v>
      </c>
      <c r="E95" s="5" t="str">
        <f>IF(ISERROR(VLOOKUP(A95,'ELN PLP'!A:A,1,0)),"N","Y")</f>
        <v>Y</v>
      </c>
      <c r="F95" s="26">
        <f t="shared" si="3"/>
        <v>1</v>
      </c>
      <c r="G95" s="8" t="str">
        <f>IF(ISERROR(VLOOKUP(A95,RDPLP!D:D,1,0)),"N","Y")</f>
        <v>N</v>
      </c>
      <c r="H95" s="8" t="str">
        <f>IF(ISERROR(VLOOKUP(A95,'SCINET-PLP'!D:D,1,0)),"N","Y")</f>
        <v>N</v>
      </c>
      <c r="I95" s="8" t="str">
        <f>IF(ISERROR(VLOOKUP(A95,FLEXPLP!D:D,1,0)),"N","Y")</f>
        <v>N</v>
      </c>
      <c r="J95" s="8" t="str">
        <f>IF(ISERROR(VLOOKUP(A95,'ELN PLP'!D:D,1,0)),"N","Y")</f>
        <v>N</v>
      </c>
      <c r="K95" s="29">
        <f t="shared" si="4"/>
        <v>0</v>
      </c>
      <c r="L95" s="52" t="str">
        <f>IF(ISERROR(VLOOKUP(A95,RDPLP!G:G,1,0)),"N","Y")</f>
        <v>N</v>
      </c>
      <c r="M95" s="52" t="str">
        <f>IF(ISERROR(VLOOKUP(A95,'SCINET-PLP'!G:G,1,0)),"N","Y")</f>
        <v>N</v>
      </c>
      <c r="N95" s="52" t="str">
        <f>IF(ISERROR(VLOOKUP(A95,FLEXPLP!G:G,1,0)),"N","Y")</f>
        <v>N</v>
      </c>
      <c r="O95" s="52" t="str">
        <f>IF(ISERROR(VLOOKUP(A95,'ELN PLP'!G:G,1,0)),"N","Y")</f>
        <v>N</v>
      </c>
      <c r="P95" s="53">
        <f t="shared" si="5"/>
        <v>0</v>
      </c>
      <c r="R95" s="21">
        <f>IF(K95+F95&gt;0,1,0)</f>
        <v>1</v>
      </c>
      <c r="S95" s="24">
        <f>IF(ISERROR(VLOOKUP(A95,U:U,1,0)),0,1)</f>
        <v>0</v>
      </c>
      <c r="Z95" t="s">
        <v>64</v>
      </c>
    </row>
    <row r="96" spans="1:26" x14ac:dyDescent="0.35">
      <c r="A96" t="s">
        <v>108</v>
      </c>
      <c r="B96" s="5" t="str">
        <f>IF(ISERROR(VLOOKUP(A96,RDPLP!A96:A121,1,0)),"N","Y")</f>
        <v>N</v>
      </c>
      <c r="C96" s="5" t="str">
        <f>IF(ISERROR(VLOOKUP(A96,'SCINET-PLP'!A:A,1,0)),"N","Y")</f>
        <v>N</v>
      </c>
      <c r="D96" s="5" t="str">
        <f>IF(ISERROR(VLOOKUP(A96,FLEXPLP!A:A,1,0)),"N","Y")</f>
        <v>N</v>
      </c>
      <c r="E96" s="5" t="str">
        <f>IF(ISERROR(VLOOKUP(A96,'ELN PLP'!A:A,1,0)),"N","Y")</f>
        <v>Y</v>
      </c>
      <c r="F96" s="26">
        <f t="shared" si="3"/>
        <v>1</v>
      </c>
      <c r="G96" s="8" t="str">
        <f>IF(ISERROR(VLOOKUP(A96,RDPLP!D:D,1,0)),"N","Y")</f>
        <v>N</v>
      </c>
      <c r="H96" s="8" t="str">
        <f>IF(ISERROR(VLOOKUP(A96,'SCINET-PLP'!D:D,1,0)),"N","Y")</f>
        <v>N</v>
      </c>
      <c r="I96" s="8" t="str">
        <f>IF(ISERROR(VLOOKUP(A96,FLEXPLP!D:D,1,0)),"N","Y")</f>
        <v>N</v>
      </c>
      <c r="J96" s="8" t="str">
        <f>IF(ISERROR(VLOOKUP(A96,'ELN PLP'!D:D,1,0)),"N","Y")</f>
        <v>Y</v>
      </c>
      <c r="K96" s="29">
        <f t="shared" si="4"/>
        <v>1</v>
      </c>
      <c r="L96" s="52" t="str">
        <f>IF(ISERROR(VLOOKUP(A96,RDPLP!G:G,1,0)),"N","Y")</f>
        <v>N</v>
      </c>
      <c r="M96" s="52" t="str">
        <f>IF(ISERROR(VLOOKUP(A96,'SCINET-PLP'!G:G,1,0)),"N","Y")</f>
        <v>N</v>
      </c>
      <c r="N96" s="52" t="str">
        <f>IF(ISERROR(VLOOKUP(A96,FLEXPLP!G:G,1,0)),"N","Y")</f>
        <v>N</v>
      </c>
      <c r="O96" s="52" t="str">
        <f>IF(ISERROR(VLOOKUP(A96,'ELN PLP'!G:G,1,0)),"N","Y")</f>
        <v>Y</v>
      </c>
      <c r="P96" s="53">
        <f t="shared" si="5"/>
        <v>1</v>
      </c>
      <c r="R96" s="21">
        <f>IF(K96+F96&gt;0,1,0)</f>
        <v>1</v>
      </c>
      <c r="S96" s="24">
        <f>IF(ISERROR(VLOOKUP(A96,U:U,1,0)),0,1)</f>
        <v>0</v>
      </c>
      <c r="Z96" t="s">
        <v>12</v>
      </c>
    </row>
    <row r="97" spans="1:26" x14ac:dyDescent="0.35">
      <c r="A97" t="s">
        <v>109</v>
      </c>
      <c r="B97" s="5" t="str">
        <f>IF(ISERROR(VLOOKUP(A97,RDPLP!A97:A122,1,0)),"N","Y")</f>
        <v>N</v>
      </c>
      <c r="C97" s="5" t="str">
        <f>IF(ISERROR(VLOOKUP(A97,'SCINET-PLP'!A:A,1,0)),"N","Y")</f>
        <v>N</v>
      </c>
      <c r="D97" s="5" t="str">
        <f>IF(ISERROR(VLOOKUP(A97,FLEXPLP!A:A,1,0)),"N","Y")</f>
        <v>N</v>
      </c>
      <c r="E97" s="5" t="str">
        <f>IF(ISERROR(VLOOKUP(A97,'ELN PLP'!A:A,1,0)),"N","Y")</f>
        <v>Y</v>
      </c>
      <c r="F97" s="26">
        <f t="shared" si="3"/>
        <v>1</v>
      </c>
      <c r="G97" s="8" t="str">
        <f>IF(ISERROR(VLOOKUP(A97,RDPLP!D:D,1,0)),"N","Y")</f>
        <v>N</v>
      </c>
      <c r="H97" s="8" t="str">
        <f>IF(ISERROR(VLOOKUP(A97,'SCINET-PLP'!D:D,1,0)),"N","Y")</f>
        <v>N</v>
      </c>
      <c r="I97" s="8" t="str">
        <f>IF(ISERROR(VLOOKUP(A97,FLEXPLP!D:D,1,0)),"N","Y")</f>
        <v>N</v>
      </c>
      <c r="J97" s="8" t="str">
        <f>IF(ISERROR(VLOOKUP(A97,'ELN PLP'!D:D,1,0)),"N","Y")</f>
        <v>N</v>
      </c>
      <c r="K97" s="29">
        <f t="shared" si="4"/>
        <v>0</v>
      </c>
      <c r="L97" s="52" t="str">
        <f>IF(ISERROR(VLOOKUP(A97,RDPLP!G:G,1,0)),"N","Y")</f>
        <v>N</v>
      </c>
      <c r="M97" s="52" t="str">
        <f>IF(ISERROR(VLOOKUP(A97,'SCINET-PLP'!G:G,1,0)),"N","Y")</f>
        <v>N</v>
      </c>
      <c r="N97" s="52" t="str">
        <f>IF(ISERROR(VLOOKUP(A97,FLEXPLP!G:G,1,0)),"N","Y")</f>
        <v>N</v>
      </c>
      <c r="O97" s="52" t="str">
        <f>IF(ISERROR(VLOOKUP(A97,'ELN PLP'!G:G,1,0)),"N","Y")</f>
        <v>N</v>
      </c>
      <c r="P97" s="53">
        <f t="shared" si="5"/>
        <v>0</v>
      </c>
      <c r="R97" s="21">
        <f>IF(K97+F97&gt;0,1,0)</f>
        <v>1</v>
      </c>
      <c r="S97" s="24">
        <f>IF(ISERROR(VLOOKUP(A97,U:U,1,0)),0,1)</f>
        <v>0</v>
      </c>
      <c r="Z97" t="s">
        <v>1904</v>
      </c>
    </row>
    <row r="98" spans="1:26" x14ac:dyDescent="0.35">
      <c r="A98" t="s">
        <v>92</v>
      </c>
      <c r="B98" s="5" t="str">
        <f>IF(ISERROR(VLOOKUP(A98,RDPLP!A98:A123,1,0)),"N","Y")</f>
        <v>N</v>
      </c>
      <c r="C98" s="5" t="str">
        <f>IF(ISERROR(VLOOKUP(A98,'SCINET-PLP'!A:A,1,0)),"N","Y")</f>
        <v>N</v>
      </c>
      <c r="D98" s="5" t="str">
        <f>IF(ISERROR(VLOOKUP(A98,FLEXPLP!A:A,1,0)),"N","Y")</f>
        <v>N</v>
      </c>
      <c r="E98" s="5" t="str">
        <f>IF(ISERROR(VLOOKUP(A98,'ELN PLP'!A:A,1,0)),"N","Y")</f>
        <v>Y</v>
      </c>
      <c r="F98" s="26">
        <f t="shared" si="3"/>
        <v>1</v>
      </c>
      <c r="G98" s="8" t="str">
        <f>IF(ISERROR(VLOOKUP(A98,RDPLP!D:D,1,0)),"N","Y")</f>
        <v>N</v>
      </c>
      <c r="H98" s="8" t="str">
        <f>IF(ISERROR(VLOOKUP(A98,'SCINET-PLP'!D:D,1,0)),"N","Y")</f>
        <v>N</v>
      </c>
      <c r="I98" s="8" t="str">
        <f>IF(ISERROR(VLOOKUP(A98,FLEXPLP!D:D,1,0)),"N","Y")</f>
        <v>N</v>
      </c>
      <c r="J98" s="8" t="str">
        <f>IF(ISERROR(VLOOKUP(A98,'ELN PLP'!D:D,1,0)),"N","Y")</f>
        <v>Y</v>
      </c>
      <c r="K98" s="29">
        <f t="shared" si="4"/>
        <v>1</v>
      </c>
      <c r="L98" s="52" t="str">
        <f>IF(ISERROR(VLOOKUP(A98,RDPLP!G:G,1,0)),"N","Y")</f>
        <v>N</v>
      </c>
      <c r="M98" s="52" t="str">
        <f>IF(ISERROR(VLOOKUP(A98,'SCINET-PLP'!G:G,1,0)),"N","Y")</f>
        <v>N</v>
      </c>
      <c r="N98" s="52" t="str">
        <f>IF(ISERROR(VLOOKUP(A98,FLEXPLP!G:G,1,0)),"N","Y")</f>
        <v>N</v>
      </c>
      <c r="O98" s="52" t="str">
        <f>IF(ISERROR(VLOOKUP(A98,'ELN PLP'!G:G,1,0)),"N","Y")</f>
        <v>N</v>
      </c>
      <c r="P98" s="53">
        <f t="shared" si="5"/>
        <v>0</v>
      </c>
      <c r="R98" s="21">
        <f>IF(K98+F98&gt;0,1,0)</f>
        <v>1</v>
      </c>
      <c r="S98" s="24">
        <f>IF(ISERROR(VLOOKUP(A98,U:U,1,0)),0,1)</f>
        <v>0</v>
      </c>
      <c r="Z98" t="s">
        <v>1908</v>
      </c>
    </row>
    <row r="99" spans="1:26" x14ac:dyDescent="0.35">
      <c r="A99" t="s">
        <v>112</v>
      </c>
      <c r="B99" s="5" t="str">
        <f>IF(ISERROR(VLOOKUP(A99,RDPLP!A99:A124,1,0)),"N","Y")</f>
        <v>N</v>
      </c>
      <c r="C99" s="5" t="str">
        <f>IF(ISERROR(VLOOKUP(A99,'SCINET-PLP'!A:A,1,0)),"N","Y")</f>
        <v>N</v>
      </c>
      <c r="D99" s="5" t="str">
        <f>IF(ISERROR(VLOOKUP(A99,FLEXPLP!A:A,1,0)),"N","Y")</f>
        <v>N</v>
      </c>
      <c r="E99" s="5" t="str">
        <f>IF(ISERROR(VLOOKUP(A99,'ELN PLP'!A:A,1,0)),"N","Y")</f>
        <v>Y</v>
      </c>
      <c r="F99" s="26">
        <f t="shared" si="3"/>
        <v>1</v>
      </c>
      <c r="G99" s="8" t="str">
        <f>IF(ISERROR(VLOOKUP(A99,RDPLP!D:D,1,0)),"N","Y")</f>
        <v>N</v>
      </c>
      <c r="H99" s="8" t="str">
        <f>IF(ISERROR(VLOOKUP(A99,'SCINET-PLP'!D:D,1,0)),"N","Y")</f>
        <v>N</v>
      </c>
      <c r="I99" s="8" t="str">
        <f>IF(ISERROR(VLOOKUP(A99,FLEXPLP!D:D,1,0)),"N","Y")</f>
        <v>N</v>
      </c>
      <c r="J99" s="8" t="str">
        <f>IF(ISERROR(VLOOKUP(A99,'ELN PLP'!D:D,1,0)),"N","Y")</f>
        <v>N</v>
      </c>
      <c r="K99" s="29">
        <f t="shared" si="4"/>
        <v>0</v>
      </c>
      <c r="L99" s="52" t="str">
        <f>IF(ISERROR(VLOOKUP(A99,RDPLP!G:G,1,0)),"N","Y")</f>
        <v>N</v>
      </c>
      <c r="M99" s="52" t="str">
        <f>IF(ISERROR(VLOOKUP(A99,'SCINET-PLP'!G:G,1,0)),"N","Y")</f>
        <v>N</v>
      </c>
      <c r="N99" s="52" t="str">
        <f>IF(ISERROR(VLOOKUP(A99,FLEXPLP!G:G,1,0)),"N","Y")</f>
        <v>N</v>
      </c>
      <c r="O99" s="52" t="str">
        <f>IF(ISERROR(VLOOKUP(A99,'ELN PLP'!G:G,1,0)),"N","Y")</f>
        <v>N</v>
      </c>
      <c r="P99" s="53">
        <f t="shared" si="5"/>
        <v>0</v>
      </c>
      <c r="R99" s="21">
        <f>IF(K99+F99&gt;0,1,0)</f>
        <v>1</v>
      </c>
      <c r="S99" s="24">
        <f>IF(ISERROR(VLOOKUP(A99,U:U,1,0)),0,1)</f>
        <v>0</v>
      </c>
      <c r="Z99" t="s">
        <v>1911</v>
      </c>
    </row>
    <row r="100" spans="1:26" x14ac:dyDescent="0.35">
      <c r="A100" t="s">
        <v>114</v>
      </c>
      <c r="B100" s="5" t="str">
        <f>IF(ISERROR(VLOOKUP(A100,RDPLP!A100:A125,1,0)),"N","Y")</f>
        <v>N</v>
      </c>
      <c r="C100" s="5" t="str">
        <f>IF(ISERROR(VLOOKUP(A100,'SCINET-PLP'!A:A,1,0)),"N","Y")</f>
        <v>N</v>
      </c>
      <c r="D100" s="5" t="str">
        <f>IF(ISERROR(VLOOKUP(A100,FLEXPLP!A:A,1,0)),"N","Y")</f>
        <v>N</v>
      </c>
      <c r="E100" s="5" t="str">
        <f>IF(ISERROR(VLOOKUP(A100,'ELN PLP'!A:A,1,0)),"N","Y")</f>
        <v>Y</v>
      </c>
      <c r="F100" s="26">
        <f t="shared" si="3"/>
        <v>1</v>
      </c>
      <c r="G100" s="8" t="str">
        <f>IF(ISERROR(VLOOKUP(A100,RDPLP!D:D,1,0)),"N","Y")</f>
        <v>N</v>
      </c>
      <c r="H100" s="8" t="str">
        <f>IF(ISERROR(VLOOKUP(A100,'SCINET-PLP'!D:D,1,0)),"N","Y")</f>
        <v>N</v>
      </c>
      <c r="I100" s="8" t="str">
        <f>IF(ISERROR(VLOOKUP(A100,FLEXPLP!D:D,1,0)),"N","Y")</f>
        <v>N</v>
      </c>
      <c r="J100" s="8" t="str">
        <f>IF(ISERROR(VLOOKUP(A100,'ELN PLP'!D:D,1,0)),"N","Y")</f>
        <v>N</v>
      </c>
      <c r="K100" s="29">
        <f t="shared" si="4"/>
        <v>0</v>
      </c>
      <c r="L100" s="52" t="str">
        <f>IF(ISERROR(VLOOKUP(A100,RDPLP!G:G,1,0)),"N","Y")</f>
        <v>N</v>
      </c>
      <c r="M100" s="52" t="str">
        <f>IF(ISERROR(VLOOKUP(A100,'SCINET-PLP'!G:G,1,0)),"N","Y")</f>
        <v>N</v>
      </c>
      <c r="N100" s="52" t="str">
        <f>IF(ISERROR(VLOOKUP(A100,FLEXPLP!G:G,1,0)),"N","Y")</f>
        <v>N</v>
      </c>
      <c r="O100" s="52" t="str">
        <f>IF(ISERROR(VLOOKUP(A100,'ELN PLP'!G:G,1,0)),"N","Y")</f>
        <v>N</v>
      </c>
      <c r="P100" s="53">
        <f t="shared" si="5"/>
        <v>0</v>
      </c>
      <c r="R100" s="21">
        <f>IF(K100+F100&gt;0,1,0)</f>
        <v>1</v>
      </c>
      <c r="S100" s="24">
        <f>IF(ISERROR(VLOOKUP(A100,U:U,1,0)),0,1)</f>
        <v>0</v>
      </c>
      <c r="Z100" t="s">
        <v>1914</v>
      </c>
    </row>
    <row r="101" spans="1:26" x14ac:dyDescent="0.35">
      <c r="A101" t="s">
        <v>115</v>
      </c>
      <c r="B101" s="5" t="str">
        <f>IF(ISERROR(VLOOKUP(A101,RDPLP!A101:A126,1,0)),"N","Y")</f>
        <v>N</v>
      </c>
      <c r="C101" s="5" t="str">
        <f>IF(ISERROR(VLOOKUP(A101,'SCINET-PLP'!A:A,1,0)),"N","Y")</f>
        <v>N</v>
      </c>
      <c r="D101" s="5" t="str">
        <f>IF(ISERROR(VLOOKUP(A101,FLEXPLP!A:A,1,0)),"N","Y")</f>
        <v>N</v>
      </c>
      <c r="E101" s="5" t="str">
        <f>IF(ISERROR(VLOOKUP(A101,'ELN PLP'!A:A,1,0)),"N","Y")</f>
        <v>Y</v>
      </c>
      <c r="F101" s="26">
        <f t="shared" si="3"/>
        <v>1</v>
      </c>
      <c r="G101" s="8" t="str">
        <f>IF(ISERROR(VLOOKUP(A101,RDPLP!D:D,1,0)),"N","Y")</f>
        <v>N</v>
      </c>
      <c r="H101" s="8" t="str">
        <f>IF(ISERROR(VLOOKUP(A101,'SCINET-PLP'!D:D,1,0)),"N","Y")</f>
        <v>N</v>
      </c>
      <c r="I101" s="8" t="str">
        <f>IF(ISERROR(VLOOKUP(A101,FLEXPLP!D:D,1,0)),"N","Y")</f>
        <v>N</v>
      </c>
      <c r="J101" s="8" t="str">
        <f>IF(ISERROR(VLOOKUP(A101,'ELN PLP'!D:D,1,0)),"N","Y")</f>
        <v>N</v>
      </c>
      <c r="K101" s="29">
        <f t="shared" si="4"/>
        <v>0</v>
      </c>
      <c r="L101" s="52" t="str">
        <f>IF(ISERROR(VLOOKUP(A101,RDPLP!G:G,1,0)),"N","Y")</f>
        <v>N</v>
      </c>
      <c r="M101" s="52" t="str">
        <f>IF(ISERROR(VLOOKUP(A101,'SCINET-PLP'!G:G,1,0)),"N","Y")</f>
        <v>N</v>
      </c>
      <c r="N101" s="52" t="str">
        <f>IF(ISERROR(VLOOKUP(A101,FLEXPLP!G:G,1,0)),"N","Y")</f>
        <v>N</v>
      </c>
      <c r="O101" s="52" t="str">
        <f>IF(ISERROR(VLOOKUP(A101,'ELN PLP'!G:G,1,0)),"N","Y")</f>
        <v>N</v>
      </c>
      <c r="P101" s="53">
        <f t="shared" si="5"/>
        <v>0</v>
      </c>
      <c r="R101" s="21">
        <f>IF(K101+F101&gt;0,1,0)</f>
        <v>1</v>
      </c>
      <c r="S101" s="24">
        <f>IF(ISERROR(VLOOKUP(A101,U:U,1,0)),0,1)</f>
        <v>0</v>
      </c>
      <c r="Z101" t="s">
        <v>1917</v>
      </c>
    </row>
    <row r="102" spans="1:26" x14ac:dyDescent="0.35">
      <c r="A102" t="s">
        <v>117</v>
      </c>
      <c r="B102" s="5" t="str">
        <f>IF(ISERROR(VLOOKUP(A102,RDPLP!A102:A127,1,0)),"N","Y")</f>
        <v>N</v>
      </c>
      <c r="C102" s="5" t="str">
        <f>IF(ISERROR(VLOOKUP(A102,'SCINET-PLP'!A:A,1,0)),"N","Y")</f>
        <v>N</v>
      </c>
      <c r="D102" s="5" t="str">
        <f>IF(ISERROR(VLOOKUP(A102,FLEXPLP!A:A,1,0)),"N","Y")</f>
        <v>N</v>
      </c>
      <c r="E102" s="5" t="str">
        <f>IF(ISERROR(VLOOKUP(A102,'ELN PLP'!A:A,1,0)),"N","Y")</f>
        <v>Y</v>
      </c>
      <c r="F102" s="26">
        <f t="shared" si="3"/>
        <v>1</v>
      </c>
      <c r="G102" s="8" t="str">
        <f>IF(ISERROR(VLOOKUP(A102,RDPLP!D:D,1,0)),"N","Y")</f>
        <v>N</v>
      </c>
      <c r="H102" s="8" t="str">
        <f>IF(ISERROR(VLOOKUP(A102,'SCINET-PLP'!D:D,1,0)),"N","Y")</f>
        <v>N</v>
      </c>
      <c r="I102" s="8" t="str">
        <f>IF(ISERROR(VLOOKUP(A102,FLEXPLP!D:D,1,0)),"N","Y")</f>
        <v>N</v>
      </c>
      <c r="J102" s="8" t="str">
        <f>IF(ISERROR(VLOOKUP(A102,'ELN PLP'!D:D,1,0)),"N","Y")</f>
        <v>N</v>
      </c>
      <c r="K102" s="29">
        <f t="shared" si="4"/>
        <v>0</v>
      </c>
      <c r="L102" s="52" t="str">
        <f>IF(ISERROR(VLOOKUP(A102,RDPLP!G:G,1,0)),"N","Y")</f>
        <v>N</v>
      </c>
      <c r="M102" s="52" t="str">
        <f>IF(ISERROR(VLOOKUP(A102,'SCINET-PLP'!G:G,1,0)),"N","Y")</f>
        <v>N</v>
      </c>
      <c r="N102" s="52" t="str">
        <f>IF(ISERROR(VLOOKUP(A102,FLEXPLP!G:G,1,0)),"N","Y")</f>
        <v>N</v>
      </c>
      <c r="O102" s="52" t="str">
        <f>IF(ISERROR(VLOOKUP(A102,'ELN PLP'!G:G,1,0)),"N","Y")</f>
        <v>N</v>
      </c>
      <c r="P102" s="53">
        <f t="shared" si="5"/>
        <v>0</v>
      </c>
      <c r="R102" s="21">
        <f>IF(K102+F102&gt;0,1,0)</f>
        <v>1</v>
      </c>
      <c r="S102" s="24">
        <f>IF(ISERROR(VLOOKUP(A102,U:U,1,0)),0,1)</f>
        <v>0</v>
      </c>
      <c r="Z102" t="s">
        <v>1920</v>
      </c>
    </row>
    <row r="103" spans="1:26" x14ac:dyDescent="0.35">
      <c r="A103" t="s">
        <v>119</v>
      </c>
      <c r="B103" s="5" t="str">
        <f>IF(ISERROR(VLOOKUP(A103,RDPLP!A103:A128,1,0)),"N","Y")</f>
        <v>N</v>
      </c>
      <c r="C103" s="5" t="str">
        <f>IF(ISERROR(VLOOKUP(A103,'SCINET-PLP'!A:A,1,0)),"N","Y")</f>
        <v>N</v>
      </c>
      <c r="D103" s="5" t="str">
        <f>IF(ISERROR(VLOOKUP(A103,FLEXPLP!A:A,1,0)),"N","Y")</f>
        <v>N</v>
      </c>
      <c r="E103" s="5" t="str">
        <f>IF(ISERROR(VLOOKUP(A103,'ELN PLP'!A:A,1,0)),"N","Y")</f>
        <v>Y</v>
      </c>
      <c r="F103" s="26">
        <f t="shared" si="3"/>
        <v>1</v>
      </c>
      <c r="G103" s="8" t="str">
        <f>IF(ISERROR(VLOOKUP(A103,RDPLP!D:D,1,0)),"N","Y")</f>
        <v>N</v>
      </c>
      <c r="H103" s="8" t="str">
        <f>IF(ISERROR(VLOOKUP(A103,'SCINET-PLP'!D:D,1,0)),"N","Y")</f>
        <v>N</v>
      </c>
      <c r="I103" s="8" t="str">
        <f>IF(ISERROR(VLOOKUP(A103,FLEXPLP!D:D,1,0)),"N","Y")</f>
        <v>N</v>
      </c>
      <c r="J103" s="8" t="str">
        <f>IF(ISERROR(VLOOKUP(A103,'ELN PLP'!D:D,1,0)),"N","Y")</f>
        <v>N</v>
      </c>
      <c r="K103" s="29">
        <f t="shared" si="4"/>
        <v>0</v>
      </c>
      <c r="L103" s="52" t="str">
        <f>IF(ISERROR(VLOOKUP(A103,RDPLP!G:G,1,0)),"N","Y")</f>
        <v>N</v>
      </c>
      <c r="M103" s="52" t="str">
        <f>IF(ISERROR(VLOOKUP(A103,'SCINET-PLP'!G:G,1,0)),"N","Y")</f>
        <v>N</v>
      </c>
      <c r="N103" s="52" t="str">
        <f>IF(ISERROR(VLOOKUP(A103,FLEXPLP!G:G,1,0)),"N","Y")</f>
        <v>N</v>
      </c>
      <c r="O103" s="52" t="str">
        <f>IF(ISERROR(VLOOKUP(A103,'ELN PLP'!G:G,1,0)),"N","Y")</f>
        <v>N</v>
      </c>
      <c r="P103" s="53">
        <f t="shared" si="5"/>
        <v>0</v>
      </c>
      <c r="R103" s="21">
        <f>IF(K103+F103&gt;0,1,0)</f>
        <v>1</v>
      </c>
      <c r="S103" s="24">
        <f>IF(ISERROR(VLOOKUP(A103,U:U,1,0)),0,1)</f>
        <v>0</v>
      </c>
      <c r="Z103" t="s">
        <v>1924</v>
      </c>
    </row>
    <row r="104" spans="1:26" x14ac:dyDescent="0.35">
      <c r="A104" t="s">
        <v>121</v>
      </c>
      <c r="B104" s="5" t="str">
        <f>IF(ISERROR(VLOOKUP(A104,RDPLP!A104:A129,1,0)),"N","Y")</f>
        <v>N</v>
      </c>
      <c r="C104" s="5" t="str">
        <f>IF(ISERROR(VLOOKUP(A104,'SCINET-PLP'!A:A,1,0)),"N","Y")</f>
        <v>N</v>
      </c>
      <c r="D104" s="5" t="str">
        <f>IF(ISERROR(VLOOKUP(A104,FLEXPLP!A:A,1,0)),"N","Y")</f>
        <v>N</v>
      </c>
      <c r="E104" s="5" t="str">
        <f>IF(ISERROR(VLOOKUP(A104,'ELN PLP'!A:A,1,0)),"N","Y")</f>
        <v>Y</v>
      </c>
      <c r="F104" s="26">
        <f t="shared" si="3"/>
        <v>1</v>
      </c>
      <c r="G104" s="8" t="str">
        <f>IF(ISERROR(VLOOKUP(A104,RDPLP!D:D,1,0)),"N","Y")</f>
        <v>N</v>
      </c>
      <c r="H104" s="8" t="str">
        <f>IF(ISERROR(VLOOKUP(A104,'SCINET-PLP'!D:D,1,0)),"N","Y")</f>
        <v>N</v>
      </c>
      <c r="I104" s="8" t="str">
        <f>IF(ISERROR(VLOOKUP(A104,FLEXPLP!D:D,1,0)),"N","Y")</f>
        <v>N</v>
      </c>
      <c r="J104" s="8" t="str">
        <f>IF(ISERROR(VLOOKUP(A104,'ELN PLP'!D:D,1,0)),"N","Y")</f>
        <v>N</v>
      </c>
      <c r="K104" s="29">
        <f t="shared" si="4"/>
        <v>0</v>
      </c>
      <c r="L104" s="52" t="str">
        <f>IF(ISERROR(VLOOKUP(A104,RDPLP!G:G,1,0)),"N","Y")</f>
        <v>N</v>
      </c>
      <c r="M104" s="52" t="str">
        <f>IF(ISERROR(VLOOKUP(A104,'SCINET-PLP'!G:G,1,0)),"N","Y")</f>
        <v>N</v>
      </c>
      <c r="N104" s="52" t="str">
        <f>IF(ISERROR(VLOOKUP(A104,FLEXPLP!G:G,1,0)),"N","Y")</f>
        <v>N</v>
      </c>
      <c r="O104" s="52" t="str">
        <f>IF(ISERROR(VLOOKUP(A104,'ELN PLP'!G:G,1,0)),"N","Y")</f>
        <v>N</v>
      </c>
      <c r="P104" s="53">
        <f t="shared" si="5"/>
        <v>0</v>
      </c>
      <c r="R104" s="21">
        <f>IF(K104+F104&gt;0,1,0)</f>
        <v>1</v>
      </c>
      <c r="S104" s="24">
        <f>IF(ISERROR(VLOOKUP(A104,U:U,1,0)),0,1)</f>
        <v>0</v>
      </c>
      <c r="Z104" t="s">
        <v>76</v>
      </c>
    </row>
    <row r="105" spans="1:26" x14ac:dyDescent="0.35">
      <c r="A105" t="s">
        <v>123</v>
      </c>
      <c r="B105" s="5" t="str">
        <f>IF(ISERROR(VLOOKUP(A105,RDPLP!A105:A130,1,0)),"N","Y")</f>
        <v>N</v>
      </c>
      <c r="C105" s="5" t="str">
        <f>IF(ISERROR(VLOOKUP(A105,'SCINET-PLP'!A:A,1,0)),"N","Y")</f>
        <v>N</v>
      </c>
      <c r="D105" s="5" t="str">
        <f>IF(ISERROR(VLOOKUP(A105,FLEXPLP!A:A,1,0)),"N","Y")</f>
        <v>N</v>
      </c>
      <c r="E105" s="5" t="str">
        <f>IF(ISERROR(VLOOKUP(A105,'ELN PLP'!A:A,1,0)),"N","Y")</f>
        <v>Y</v>
      </c>
      <c r="F105" s="26">
        <f t="shared" si="3"/>
        <v>1</v>
      </c>
      <c r="G105" s="8" t="str">
        <f>IF(ISERROR(VLOOKUP(A105,RDPLP!D:D,1,0)),"N","Y")</f>
        <v>N</v>
      </c>
      <c r="H105" s="8" t="str">
        <f>IF(ISERROR(VLOOKUP(A105,'SCINET-PLP'!D:D,1,0)),"N","Y")</f>
        <v>N</v>
      </c>
      <c r="I105" s="8" t="str">
        <f>IF(ISERROR(VLOOKUP(A105,FLEXPLP!D:D,1,0)),"N","Y")</f>
        <v>N</v>
      </c>
      <c r="J105" s="8" t="str">
        <f>IF(ISERROR(VLOOKUP(A105,'ELN PLP'!D:D,1,0)),"N","Y")</f>
        <v>N</v>
      </c>
      <c r="K105" s="29">
        <f t="shared" si="4"/>
        <v>0</v>
      </c>
      <c r="L105" s="52" t="str">
        <f>IF(ISERROR(VLOOKUP(A105,RDPLP!G:G,1,0)),"N","Y")</f>
        <v>N</v>
      </c>
      <c r="M105" s="52" t="str">
        <f>IF(ISERROR(VLOOKUP(A105,'SCINET-PLP'!G:G,1,0)),"N","Y")</f>
        <v>N</v>
      </c>
      <c r="N105" s="52" t="str">
        <f>IF(ISERROR(VLOOKUP(A105,FLEXPLP!G:G,1,0)),"N","Y")</f>
        <v>N</v>
      </c>
      <c r="O105" s="52" t="str">
        <f>IF(ISERROR(VLOOKUP(A105,'ELN PLP'!G:G,1,0)),"N","Y")</f>
        <v>N</v>
      </c>
      <c r="P105" s="53">
        <f t="shared" si="5"/>
        <v>0</v>
      </c>
      <c r="R105" s="21">
        <f>IF(K105+F105&gt;0,1,0)</f>
        <v>1</v>
      </c>
      <c r="S105" s="24">
        <f>IF(ISERROR(VLOOKUP(A105,U:U,1,0)),0,1)</f>
        <v>0</v>
      </c>
      <c r="Z105" t="s">
        <v>1930</v>
      </c>
    </row>
    <row r="106" spans="1:26" x14ac:dyDescent="0.35">
      <c r="A106" t="s">
        <v>125</v>
      </c>
      <c r="B106" s="5" t="str">
        <f>IF(ISERROR(VLOOKUP(A106,RDPLP!A106:A131,1,0)),"N","Y")</f>
        <v>N</v>
      </c>
      <c r="C106" s="5" t="str">
        <f>IF(ISERROR(VLOOKUP(A106,'SCINET-PLP'!A:A,1,0)),"N","Y")</f>
        <v>N</v>
      </c>
      <c r="D106" s="5" t="str">
        <f>IF(ISERROR(VLOOKUP(A106,FLEXPLP!A:A,1,0)),"N","Y")</f>
        <v>N</v>
      </c>
      <c r="E106" s="5" t="str">
        <f>IF(ISERROR(VLOOKUP(A106,'ELN PLP'!A:A,1,0)),"N","Y")</f>
        <v>Y</v>
      </c>
      <c r="F106" s="26">
        <f t="shared" si="3"/>
        <v>1</v>
      </c>
      <c r="G106" s="8" t="str">
        <f>IF(ISERROR(VLOOKUP(A106,RDPLP!D:D,1,0)),"N","Y")</f>
        <v>N</v>
      </c>
      <c r="H106" s="8" t="str">
        <f>IF(ISERROR(VLOOKUP(A106,'SCINET-PLP'!D:D,1,0)),"N","Y")</f>
        <v>N</v>
      </c>
      <c r="I106" s="8" t="str">
        <f>IF(ISERROR(VLOOKUP(A106,FLEXPLP!D:D,1,0)),"N","Y")</f>
        <v>N</v>
      </c>
      <c r="J106" s="8" t="str">
        <f>IF(ISERROR(VLOOKUP(A106,'ELN PLP'!D:D,1,0)),"N","Y")</f>
        <v>N</v>
      </c>
      <c r="K106" s="29">
        <f t="shared" si="4"/>
        <v>0</v>
      </c>
      <c r="L106" s="52" t="str">
        <f>IF(ISERROR(VLOOKUP(A106,RDPLP!G:G,1,0)),"N","Y")</f>
        <v>N</v>
      </c>
      <c r="M106" s="52" t="str">
        <f>IF(ISERROR(VLOOKUP(A106,'SCINET-PLP'!G:G,1,0)),"N","Y")</f>
        <v>N</v>
      </c>
      <c r="N106" s="52" t="str">
        <f>IF(ISERROR(VLOOKUP(A106,FLEXPLP!G:G,1,0)),"N","Y")</f>
        <v>N</v>
      </c>
      <c r="O106" s="52" t="str">
        <f>IF(ISERROR(VLOOKUP(A106,'ELN PLP'!G:G,1,0)),"N","Y")</f>
        <v>N</v>
      </c>
      <c r="P106" s="53">
        <f t="shared" si="5"/>
        <v>0</v>
      </c>
      <c r="R106" s="21">
        <f>IF(K106+F106&gt;0,1,0)</f>
        <v>1</v>
      </c>
      <c r="S106" s="24">
        <f>IF(ISERROR(VLOOKUP(A106,U:U,1,0)),0,1)</f>
        <v>0</v>
      </c>
      <c r="Z106" t="s">
        <v>75</v>
      </c>
    </row>
    <row r="107" spans="1:26" x14ac:dyDescent="0.35">
      <c r="A107" t="s">
        <v>127</v>
      </c>
      <c r="B107" s="5" t="str">
        <f>IF(ISERROR(VLOOKUP(A107,RDPLP!A107:A132,1,0)),"N","Y")</f>
        <v>N</v>
      </c>
      <c r="C107" s="5" t="str">
        <f>IF(ISERROR(VLOOKUP(A107,'SCINET-PLP'!A:A,1,0)),"N","Y")</f>
        <v>N</v>
      </c>
      <c r="D107" s="5" t="str">
        <f>IF(ISERROR(VLOOKUP(A107,FLEXPLP!A:A,1,0)),"N","Y")</f>
        <v>N</v>
      </c>
      <c r="E107" s="5" t="str">
        <f>IF(ISERROR(VLOOKUP(A107,'ELN PLP'!A:A,1,0)),"N","Y")</f>
        <v>Y</v>
      </c>
      <c r="F107" s="26">
        <f t="shared" si="3"/>
        <v>1</v>
      </c>
      <c r="G107" s="8" t="str">
        <f>IF(ISERROR(VLOOKUP(A107,RDPLP!D:D,1,0)),"N","Y")</f>
        <v>N</v>
      </c>
      <c r="H107" s="8" t="str">
        <f>IF(ISERROR(VLOOKUP(A107,'SCINET-PLP'!D:D,1,0)),"N","Y")</f>
        <v>N</v>
      </c>
      <c r="I107" s="8" t="str">
        <f>IF(ISERROR(VLOOKUP(A107,FLEXPLP!D:D,1,0)),"N","Y")</f>
        <v>N</v>
      </c>
      <c r="J107" s="8" t="str">
        <f>IF(ISERROR(VLOOKUP(A107,'ELN PLP'!D:D,1,0)),"N","Y")</f>
        <v>N</v>
      </c>
      <c r="K107" s="29">
        <f t="shared" si="4"/>
        <v>0</v>
      </c>
      <c r="L107" s="52" t="str">
        <f>IF(ISERROR(VLOOKUP(A107,RDPLP!G:G,1,0)),"N","Y")</f>
        <v>N</v>
      </c>
      <c r="M107" s="52" t="str">
        <f>IF(ISERROR(VLOOKUP(A107,'SCINET-PLP'!G:G,1,0)),"N","Y")</f>
        <v>N</v>
      </c>
      <c r="N107" s="52" t="str">
        <f>IF(ISERROR(VLOOKUP(A107,FLEXPLP!G:G,1,0)),"N","Y")</f>
        <v>N</v>
      </c>
      <c r="O107" s="52" t="str">
        <f>IF(ISERROR(VLOOKUP(A107,'ELN PLP'!G:G,1,0)),"N","Y")</f>
        <v>N</v>
      </c>
      <c r="P107" s="53">
        <f t="shared" si="5"/>
        <v>0</v>
      </c>
      <c r="R107" s="21">
        <f>IF(K107+F107&gt;0,1,0)</f>
        <v>1</v>
      </c>
      <c r="S107" s="24">
        <f>IF(ISERROR(VLOOKUP(A107,U:U,1,0)),0,1)</f>
        <v>0</v>
      </c>
      <c r="Z107" t="s">
        <v>179</v>
      </c>
    </row>
    <row r="108" spans="1:26" x14ac:dyDescent="0.35">
      <c r="A108" t="s">
        <v>129</v>
      </c>
      <c r="B108" s="5" t="str">
        <f>IF(ISERROR(VLOOKUP(A108,RDPLP!A108:A133,1,0)),"N","Y")</f>
        <v>N</v>
      </c>
      <c r="C108" s="5" t="str">
        <f>IF(ISERROR(VLOOKUP(A108,'SCINET-PLP'!A:A,1,0)),"N","Y")</f>
        <v>N</v>
      </c>
      <c r="D108" s="5" t="str">
        <f>IF(ISERROR(VLOOKUP(A108,FLEXPLP!A:A,1,0)),"N","Y")</f>
        <v>N</v>
      </c>
      <c r="E108" s="5" t="str">
        <f>IF(ISERROR(VLOOKUP(A108,'ELN PLP'!A:A,1,0)),"N","Y")</f>
        <v>Y</v>
      </c>
      <c r="F108" s="26">
        <f t="shared" si="3"/>
        <v>1</v>
      </c>
      <c r="G108" s="8" t="str">
        <f>IF(ISERROR(VLOOKUP(A108,RDPLP!D:D,1,0)),"N","Y")</f>
        <v>N</v>
      </c>
      <c r="H108" s="8" t="str">
        <f>IF(ISERROR(VLOOKUP(A108,'SCINET-PLP'!D:D,1,0)),"N","Y")</f>
        <v>N</v>
      </c>
      <c r="I108" s="8" t="str">
        <f>IF(ISERROR(VLOOKUP(A108,FLEXPLP!D:D,1,0)),"N","Y")</f>
        <v>N</v>
      </c>
      <c r="J108" s="8" t="str">
        <f>IF(ISERROR(VLOOKUP(A108,'ELN PLP'!D:D,1,0)),"N","Y")</f>
        <v>N</v>
      </c>
      <c r="K108" s="29">
        <f t="shared" si="4"/>
        <v>0</v>
      </c>
      <c r="L108" s="52" t="str">
        <f>IF(ISERROR(VLOOKUP(A108,RDPLP!G:G,1,0)),"N","Y")</f>
        <v>N</v>
      </c>
      <c r="M108" s="52" t="str">
        <f>IF(ISERROR(VLOOKUP(A108,'SCINET-PLP'!G:G,1,0)),"N","Y")</f>
        <v>N</v>
      </c>
      <c r="N108" s="52" t="str">
        <f>IF(ISERROR(VLOOKUP(A108,FLEXPLP!G:G,1,0)),"N","Y")</f>
        <v>N</v>
      </c>
      <c r="O108" s="52" t="str">
        <f>IF(ISERROR(VLOOKUP(A108,'ELN PLP'!G:G,1,0)),"N","Y")</f>
        <v>N</v>
      </c>
      <c r="P108" s="53">
        <f t="shared" si="5"/>
        <v>0</v>
      </c>
      <c r="R108" s="21">
        <f>IF(K108+F108&gt;0,1,0)</f>
        <v>1</v>
      </c>
      <c r="S108" s="24">
        <f>IF(ISERROR(VLOOKUP(A108,U:U,1,0)),0,1)</f>
        <v>0</v>
      </c>
      <c r="Z108" t="s">
        <v>1936</v>
      </c>
    </row>
    <row r="109" spans="1:26" x14ac:dyDescent="0.35">
      <c r="A109" t="s">
        <v>131</v>
      </c>
      <c r="B109" s="5" t="str">
        <f>IF(ISERROR(VLOOKUP(A109,RDPLP!A109:A134,1,0)),"N","Y")</f>
        <v>N</v>
      </c>
      <c r="C109" s="5" t="str">
        <f>IF(ISERROR(VLOOKUP(A109,'SCINET-PLP'!A:A,1,0)),"N","Y")</f>
        <v>N</v>
      </c>
      <c r="D109" s="5" t="str">
        <f>IF(ISERROR(VLOOKUP(A109,FLEXPLP!A:A,1,0)),"N","Y")</f>
        <v>N</v>
      </c>
      <c r="E109" s="5" t="str">
        <f>IF(ISERROR(VLOOKUP(A109,'ELN PLP'!A:A,1,0)),"N","Y")</f>
        <v>Y</v>
      </c>
      <c r="F109" s="26">
        <f t="shared" si="3"/>
        <v>1</v>
      </c>
      <c r="G109" s="8" t="str">
        <f>IF(ISERROR(VLOOKUP(A109,RDPLP!D:D,1,0)),"N","Y")</f>
        <v>N</v>
      </c>
      <c r="H109" s="8" t="str">
        <f>IF(ISERROR(VLOOKUP(A109,'SCINET-PLP'!D:D,1,0)),"N","Y")</f>
        <v>N</v>
      </c>
      <c r="I109" s="8" t="str">
        <f>IF(ISERROR(VLOOKUP(A109,FLEXPLP!D:D,1,0)),"N","Y")</f>
        <v>N</v>
      </c>
      <c r="J109" s="8" t="str">
        <f>IF(ISERROR(VLOOKUP(A109,'ELN PLP'!D:D,1,0)),"N","Y")</f>
        <v>Y</v>
      </c>
      <c r="K109" s="29">
        <f t="shared" si="4"/>
        <v>1</v>
      </c>
      <c r="L109" s="52" t="str">
        <f>IF(ISERROR(VLOOKUP(A109,RDPLP!G:G,1,0)),"N","Y")</f>
        <v>N</v>
      </c>
      <c r="M109" s="52" t="str">
        <f>IF(ISERROR(VLOOKUP(A109,'SCINET-PLP'!G:G,1,0)),"N","Y")</f>
        <v>N</v>
      </c>
      <c r="N109" s="52" t="str">
        <f>IF(ISERROR(VLOOKUP(A109,FLEXPLP!G:G,1,0)),"N","Y")</f>
        <v>N</v>
      </c>
      <c r="O109" s="52" t="str">
        <f>IF(ISERROR(VLOOKUP(A109,'ELN PLP'!G:G,1,0)),"N","Y")</f>
        <v>Y</v>
      </c>
      <c r="P109" s="53">
        <f t="shared" si="5"/>
        <v>1</v>
      </c>
      <c r="R109" s="21">
        <f>IF(K109+F109&gt;0,1,0)</f>
        <v>1</v>
      </c>
      <c r="S109" s="24">
        <f>IF(ISERROR(VLOOKUP(A109,U:U,1,0)),0,1)</f>
        <v>0</v>
      </c>
      <c r="Z109" t="s">
        <v>1939</v>
      </c>
    </row>
    <row r="110" spans="1:26" x14ac:dyDescent="0.35">
      <c r="A110" t="s">
        <v>133</v>
      </c>
      <c r="B110" s="5" t="str">
        <f>IF(ISERROR(VLOOKUP(A110,RDPLP!A110:A135,1,0)),"N","Y")</f>
        <v>N</v>
      </c>
      <c r="C110" s="5" t="str">
        <f>IF(ISERROR(VLOOKUP(A110,'SCINET-PLP'!A:A,1,0)),"N","Y")</f>
        <v>N</v>
      </c>
      <c r="D110" s="5" t="str">
        <f>IF(ISERROR(VLOOKUP(A110,FLEXPLP!A:A,1,0)),"N","Y")</f>
        <v>N</v>
      </c>
      <c r="E110" s="5" t="str">
        <f>IF(ISERROR(VLOOKUP(A110,'ELN PLP'!A:A,1,0)),"N","Y")</f>
        <v>Y</v>
      </c>
      <c r="F110" s="26">
        <f t="shared" si="3"/>
        <v>1</v>
      </c>
      <c r="G110" s="8" t="str">
        <f>IF(ISERROR(VLOOKUP(A110,RDPLP!D:D,1,0)),"N","Y")</f>
        <v>N</v>
      </c>
      <c r="H110" s="8" t="str">
        <f>IF(ISERROR(VLOOKUP(A110,'SCINET-PLP'!D:D,1,0)),"N","Y")</f>
        <v>N</v>
      </c>
      <c r="I110" s="8" t="str">
        <f>IF(ISERROR(VLOOKUP(A110,FLEXPLP!D:D,1,0)),"N","Y")</f>
        <v>N</v>
      </c>
      <c r="J110" s="8" t="str">
        <f>IF(ISERROR(VLOOKUP(A110,'ELN PLP'!D:D,1,0)),"N","Y")</f>
        <v>N</v>
      </c>
      <c r="K110" s="29">
        <f t="shared" si="4"/>
        <v>0</v>
      </c>
      <c r="L110" s="52" t="str">
        <f>IF(ISERROR(VLOOKUP(A110,RDPLP!G:G,1,0)),"N","Y")</f>
        <v>N</v>
      </c>
      <c r="M110" s="52" t="str">
        <f>IF(ISERROR(VLOOKUP(A110,'SCINET-PLP'!G:G,1,0)),"N","Y")</f>
        <v>N</v>
      </c>
      <c r="N110" s="52" t="str">
        <f>IF(ISERROR(VLOOKUP(A110,FLEXPLP!G:G,1,0)),"N","Y")</f>
        <v>N</v>
      </c>
      <c r="O110" s="52" t="str">
        <f>IF(ISERROR(VLOOKUP(A110,'ELN PLP'!G:G,1,0)),"N","Y")</f>
        <v>N</v>
      </c>
      <c r="P110" s="53">
        <f t="shared" si="5"/>
        <v>0</v>
      </c>
      <c r="R110" s="21">
        <f>IF(K110+F110&gt;0,1,0)</f>
        <v>1</v>
      </c>
      <c r="S110" s="24">
        <f>IF(ISERROR(VLOOKUP(A110,U:U,1,0)),0,1)</f>
        <v>0</v>
      </c>
      <c r="Z110" t="s">
        <v>1942</v>
      </c>
    </row>
    <row r="111" spans="1:26" x14ac:dyDescent="0.35">
      <c r="A111" t="s">
        <v>135</v>
      </c>
      <c r="B111" s="5" t="str">
        <f>IF(ISERROR(VLOOKUP(A111,RDPLP!A111:A136,1,0)),"N","Y")</f>
        <v>N</v>
      </c>
      <c r="C111" s="5" t="str">
        <f>IF(ISERROR(VLOOKUP(A111,'SCINET-PLP'!A:A,1,0)),"N","Y")</f>
        <v>N</v>
      </c>
      <c r="D111" s="5" t="str">
        <f>IF(ISERROR(VLOOKUP(A111,FLEXPLP!A:A,1,0)),"N","Y")</f>
        <v>N</v>
      </c>
      <c r="E111" s="5" t="str">
        <f>IF(ISERROR(VLOOKUP(A111,'ELN PLP'!A:A,1,0)),"N","Y")</f>
        <v>Y</v>
      </c>
      <c r="F111" s="26">
        <f t="shared" si="3"/>
        <v>1</v>
      </c>
      <c r="G111" s="8" t="str">
        <f>IF(ISERROR(VLOOKUP(A111,RDPLP!D:D,1,0)),"N","Y")</f>
        <v>N</v>
      </c>
      <c r="H111" s="8" t="str">
        <f>IF(ISERROR(VLOOKUP(A111,'SCINET-PLP'!D:D,1,0)),"N","Y")</f>
        <v>N</v>
      </c>
      <c r="I111" s="8" t="str">
        <f>IF(ISERROR(VLOOKUP(A111,FLEXPLP!D:D,1,0)),"N","Y")</f>
        <v>N</v>
      </c>
      <c r="J111" s="8" t="str">
        <f>IF(ISERROR(VLOOKUP(A111,'ELN PLP'!D:D,1,0)),"N","Y")</f>
        <v>N</v>
      </c>
      <c r="K111" s="29">
        <f t="shared" si="4"/>
        <v>0</v>
      </c>
      <c r="L111" s="52" t="str">
        <f>IF(ISERROR(VLOOKUP(A111,RDPLP!G:G,1,0)),"N","Y")</f>
        <v>N</v>
      </c>
      <c r="M111" s="52" t="str">
        <f>IF(ISERROR(VLOOKUP(A111,'SCINET-PLP'!G:G,1,0)),"N","Y")</f>
        <v>N</v>
      </c>
      <c r="N111" s="52" t="str">
        <f>IF(ISERROR(VLOOKUP(A111,FLEXPLP!G:G,1,0)),"N","Y")</f>
        <v>N</v>
      </c>
      <c r="O111" s="52" t="str">
        <f>IF(ISERROR(VLOOKUP(A111,'ELN PLP'!G:G,1,0)),"N","Y")</f>
        <v>N</v>
      </c>
      <c r="P111" s="53">
        <f t="shared" si="5"/>
        <v>0</v>
      </c>
      <c r="R111" s="21">
        <f>IF(K111+F111&gt;0,1,0)</f>
        <v>1</v>
      </c>
      <c r="S111" s="24">
        <f>IF(ISERROR(VLOOKUP(A111,U:U,1,0)),0,1)</f>
        <v>0</v>
      </c>
      <c r="Z111" t="s">
        <v>1946</v>
      </c>
    </row>
    <row r="112" spans="1:26" x14ac:dyDescent="0.35">
      <c r="A112" t="s">
        <v>137</v>
      </c>
      <c r="B112" s="5" t="str">
        <f>IF(ISERROR(VLOOKUP(A112,RDPLP!A112:A137,1,0)),"N","Y")</f>
        <v>N</v>
      </c>
      <c r="C112" s="5" t="str">
        <f>IF(ISERROR(VLOOKUP(A112,'SCINET-PLP'!A:A,1,0)),"N","Y")</f>
        <v>N</v>
      </c>
      <c r="D112" s="5" t="str">
        <f>IF(ISERROR(VLOOKUP(A112,FLEXPLP!A:A,1,0)),"N","Y")</f>
        <v>N</v>
      </c>
      <c r="E112" s="5" t="str">
        <f>IF(ISERROR(VLOOKUP(A112,'ELN PLP'!A:A,1,0)),"N","Y")</f>
        <v>Y</v>
      </c>
      <c r="F112" s="26">
        <f t="shared" si="3"/>
        <v>1</v>
      </c>
      <c r="G112" s="8" t="str">
        <f>IF(ISERROR(VLOOKUP(A112,RDPLP!D:D,1,0)),"N","Y")</f>
        <v>N</v>
      </c>
      <c r="H112" s="8" t="str">
        <f>IF(ISERROR(VLOOKUP(A112,'SCINET-PLP'!D:D,1,0)),"N","Y")</f>
        <v>N</v>
      </c>
      <c r="I112" s="8" t="str">
        <f>IF(ISERROR(VLOOKUP(A112,FLEXPLP!D:D,1,0)),"N","Y")</f>
        <v>N</v>
      </c>
      <c r="J112" s="8" t="str">
        <f>IF(ISERROR(VLOOKUP(A112,'ELN PLP'!D:D,1,0)),"N","Y")</f>
        <v>Y</v>
      </c>
      <c r="K112" s="29">
        <f t="shared" si="4"/>
        <v>1</v>
      </c>
      <c r="L112" s="52" t="str">
        <f>IF(ISERROR(VLOOKUP(A112,RDPLP!G:G,1,0)),"N","Y")</f>
        <v>N</v>
      </c>
      <c r="M112" s="52" t="str">
        <f>IF(ISERROR(VLOOKUP(A112,'SCINET-PLP'!G:G,1,0)),"N","Y")</f>
        <v>N</v>
      </c>
      <c r="N112" s="52" t="str">
        <f>IF(ISERROR(VLOOKUP(A112,FLEXPLP!G:G,1,0)),"N","Y")</f>
        <v>N</v>
      </c>
      <c r="O112" s="52" t="str">
        <f>IF(ISERROR(VLOOKUP(A112,'ELN PLP'!G:G,1,0)),"N","Y")</f>
        <v>Y</v>
      </c>
      <c r="P112" s="53">
        <f t="shared" si="5"/>
        <v>1</v>
      </c>
      <c r="R112" s="21">
        <f>IF(K112+F112&gt;0,1,0)</f>
        <v>1</v>
      </c>
      <c r="S112" s="24">
        <f>IF(ISERROR(VLOOKUP(A112,U:U,1,0)),0,1)</f>
        <v>0</v>
      </c>
      <c r="Z112" t="s">
        <v>79</v>
      </c>
    </row>
    <row r="113" spans="1:26" x14ac:dyDescent="0.35">
      <c r="A113" t="s">
        <v>139</v>
      </c>
      <c r="B113" s="5" t="str">
        <f>IF(ISERROR(VLOOKUP(A113,RDPLP!A113:A138,1,0)),"N","Y")</f>
        <v>N</v>
      </c>
      <c r="C113" s="5" t="str">
        <f>IF(ISERROR(VLOOKUP(A113,'SCINET-PLP'!A:A,1,0)),"N","Y")</f>
        <v>N</v>
      </c>
      <c r="D113" s="5" t="str">
        <f>IF(ISERROR(VLOOKUP(A113,FLEXPLP!A:A,1,0)),"N","Y")</f>
        <v>N</v>
      </c>
      <c r="E113" s="5" t="str">
        <f>IF(ISERROR(VLOOKUP(A113,'ELN PLP'!A:A,1,0)),"N","Y")</f>
        <v>Y</v>
      </c>
      <c r="F113" s="26">
        <f t="shared" si="3"/>
        <v>1</v>
      </c>
      <c r="G113" s="8" t="str">
        <f>IF(ISERROR(VLOOKUP(A113,RDPLP!D:D,1,0)),"N","Y")</f>
        <v>N</v>
      </c>
      <c r="H113" s="8" t="str">
        <f>IF(ISERROR(VLOOKUP(A113,'SCINET-PLP'!D:D,1,0)),"N","Y")</f>
        <v>N</v>
      </c>
      <c r="I113" s="8" t="str">
        <f>IF(ISERROR(VLOOKUP(A113,FLEXPLP!D:D,1,0)),"N","Y")</f>
        <v>N</v>
      </c>
      <c r="J113" s="8" t="str">
        <f>IF(ISERROR(VLOOKUP(A113,'ELN PLP'!D:D,1,0)),"N","Y")</f>
        <v>N</v>
      </c>
      <c r="K113" s="29">
        <f t="shared" si="4"/>
        <v>0</v>
      </c>
      <c r="L113" s="52" t="str">
        <f>IF(ISERROR(VLOOKUP(A113,RDPLP!G:G,1,0)),"N","Y")</f>
        <v>N</v>
      </c>
      <c r="M113" s="52" t="str">
        <f>IF(ISERROR(VLOOKUP(A113,'SCINET-PLP'!G:G,1,0)),"N","Y")</f>
        <v>N</v>
      </c>
      <c r="N113" s="52" t="str">
        <f>IF(ISERROR(VLOOKUP(A113,FLEXPLP!G:G,1,0)),"N","Y")</f>
        <v>N</v>
      </c>
      <c r="O113" s="52" t="str">
        <f>IF(ISERROR(VLOOKUP(A113,'ELN PLP'!G:G,1,0)),"N","Y")</f>
        <v>Y</v>
      </c>
      <c r="P113" s="53">
        <f t="shared" si="5"/>
        <v>1</v>
      </c>
      <c r="R113" s="21">
        <f>IF(K113+F113&gt;0,1,0)</f>
        <v>1</v>
      </c>
      <c r="S113" s="24">
        <f>IF(ISERROR(VLOOKUP(A113,U:U,1,0)),0,1)</f>
        <v>0</v>
      </c>
      <c r="Z113" t="s">
        <v>1951</v>
      </c>
    </row>
    <row r="114" spans="1:26" x14ac:dyDescent="0.35">
      <c r="A114" t="s">
        <v>141</v>
      </c>
      <c r="B114" s="5" t="str">
        <f>IF(ISERROR(VLOOKUP(A114,RDPLP!A114:A139,1,0)),"N","Y")</f>
        <v>N</v>
      </c>
      <c r="C114" s="5" t="str">
        <f>IF(ISERROR(VLOOKUP(A114,'SCINET-PLP'!A:A,1,0)),"N","Y")</f>
        <v>N</v>
      </c>
      <c r="D114" s="5" t="str">
        <f>IF(ISERROR(VLOOKUP(A114,FLEXPLP!A:A,1,0)),"N","Y")</f>
        <v>N</v>
      </c>
      <c r="E114" s="5" t="str">
        <f>IF(ISERROR(VLOOKUP(A114,'ELN PLP'!A:A,1,0)),"N","Y")</f>
        <v>Y</v>
      </c>
      <c r="F114" s="26">
        <f t="shared" si="3"/>
        <v>1</v>
      </c>
      <c r="G114" s="8" t="str">
        <f>IF(ISERROR(VLOOKUP(A114,RDPLP!D:D,1,0)),"N","Y")</f>
        <v>N</v>
      </c>
      <c r="H114" s="8" t="str">
        <f>IF(ISERROR(VLOOKUP(A114,'SCINET-PLP'!D:D,1,0)),"N","Y")</f>
        <v>N</v>
      </c>
      <c r="I114" s="8" t="str">
        <f>IF(ISERROR(VLOOKUP(A114,FLEXPLP!D:D,1,0)),"N","Y")</f>
        <v>N</v>
      </c>
      <c r="J114" s="8" t="str">
        <f>IF(ISERROR(VLOOKUP(A114,'ELN PLP'!D:D,1,0)),"N","Y")</f>
        <v>N</v>
      </c>
      <c r="K114" s="29">
        <f t="shared" si="4"/>
        <v>0</v>
      </c>
      <c r="L114" s="52" t="str">
        <f>IF(ISERROR(VLOOKUP(A114,RDPLP!G:G,1,0)),"N","Y")</f>
        <v>N</v>
      </c>
      <c r="M114" s="52" t="str">
        <f>IF(ISERROR(VLOOKUP(A114,'SCINET-PLP'!G:G,1,0)),"N","Y")</f>
        <v>N</v>
      </c>
      <c r="N114" s="52" t="str">
        <f>IF(ISERROR(VLOOKUP(A114,FLEXPLP!G:G,1,0)),"N","Y")</f>
        <v>N</v>
      </c>
      <c r="O114" s="52" t="str">
        <f>IF(ISERROR(VLOOKUP(A114,'ELN PLP'!G:G,1,0)),"N","Y")</f>
        <v>N</v>
      </c>
      <c r="P114" s="53">
        <f t="shared" si="5"/>
        <v>0</v>
      </c>
      <c r="R114" s="21">
        <f>IF(K114+F114&gt;0,1,0)</f>
        <v>1</v>
      </c>
      <c r="S114" s="24">
        <f>IF(ISERROR(VLOOKUP(A114,U:U,1,0)),0,1)</f>
        <v>0</v>
      </c>
      <c r="Z114" t="s">
        <v>1955</v>
      </c>
    </row>
    <row r="115" spans="1:26" x14ac:dyDescent="0.35">
      <c r="A115" t="s">
        <v>142</v>
      </c>
      <c r="B115" s="5" t="str">
        <f>IF(ISERROR(VLOOKUP(A115,RDPLP!A115:A140,1,0)),"N","Y")</f>
        <v>N</v>
      </c>
      <c r="C115" s="5" t="str">
        <f>IF(ISERROR(VLOOKUP(A115,'SCINET-PLP'!A:A,1,0)),"N","Y")</f>
        <v>N</v>
      </c>
      <c r="D115" s="5" t="str">
        <f>IF(ISERROR(VLOOKUP(A115,FLEXPLP!A:A,1,0)),"N","Y")</f>
        <v>N</v>
      </c>
      <c r="E115" s="5" t="str">
        <f>IF(ISERROR(VLOOKUP(A115,'ELN PLP'!A:A,1,0)),"N","Y")</f>
        <v>Y</v>
      </c>
      <c r="F115" s="26">
        <f t="shared" si="3"/>
        <v>1</v>
      </c>
      <c r="G115" s="8" t="str">
        <f>IF(ISERROR(VLOOKUP(A115,RDPLP!D:D,1,0)),"N","Y")</f>
        <v>N</v>
      </c>
      <c r="H115" s="8" t="str">
        <f>IF(ISERROR(VLOOKUP(A115,'SCINET-PLP'!D:D,1,0)),"N","Y")</f>
        <v>N</v>
      </c>
      <c r="I115" s="8" t="str">
        <f>IF(ISERROR(VLOOKUP(A115,FLEXPLP!D:D,1,0)),"N","Y")</f>
        <v>N</v>
      </c>
      <c r="J115" s="8" t="str">
        <f>IF(ISERROR(VLOOKUP(A115,'ELN PLP'!D:D,1,0)),"N","Y")</f>
        <v>N</v>
      </c>
      <c r="K115" s="29">
        <f t="shared" si="4"/>
        <v>0</v>
      </c>
      <c r="L115" s="52" t="str">
        <f>IF(ISERROR(VLOOKUP(A115,RDPLP!G:G,1,0)),"N","Y")</f>
        <v>N</v>
      </c>
      <c r="M115" s="52" t="str">
        <f>IF(ISERROR(VLOOKUP(A115,'SCINET-PLP'!G:G,1,0)),"N","Y")</f>
        <v>N</v>
      </c>
      <c r="N115" s="52" t="str">
        <f>IF(ISERROR(VLOOKUP(A115,FLEXPLP!G:G,1,0)),"N","Y")</f>
        <v>N</v>
      </c>
      <c r="O115" s="52" t="str">
        <f>IF(ISERROR(VLOOKUP(A115,'ELN PLP'!G:G,1,0)),"N","Y")</f>
        <v>N</v>
      </c>
      <c r="P115" s="53">
        <f t="shared" si="5"/>
        <v>0</v>
      </c>
      <c r="R115" s="21">
        <f>IF(K115+F115&gt;0,1,0)</f>
        <v>1</v>
      </c>
      <c r="S115" s="24">
        <f>IF(ISERROR(VLOOKUP(A115,U:U,1,0)),0,1)</f>
        <v>0</v>
      </c>
      <c r="Z115" t="s">
        <v>81</v>
      </c>
    </row>
    <row r="116" spans="1:26" x14ac:dyDescent="0.35">
      <c r="A116" t="s">
        <v>144</v>
      </c>
      <c r="B116" s="5" t="str">
        <f>IF(ISERROR(VLOOKUP(A116,RDPLP!A116:A141,1,0)),"N","Y")</f>
        <v>N</v>
      </c>
      <c r="C116" s="5" t="str">
        <f>IF(ISERROR(VLOOKUP(A116,'SCINET-PLP'!A:A,1,0)),"N","Y")</f>
        <v>N</v>
      </c>
      <c r="D116" s="5" t="str">
        <f>IF(ISERROR(VLOOKUP(A116,FLEXPLP!A:A,1,0)),"N","Y")</f>
        <v>N</v>
      </c>
      <c r="E116" s="5" t="str">
        <f>IF(ISERROR(VLOOKUP(A116,'ELN PLP'!A:A,1,0)),"N","Y")</f>
        <v>Y</v>
      </c>
      <c r="F116" s="26">
        <f t="shared" si="3"/>
        <v>1</v>
      </c>
      <c r="G116" s="8" t="str">
        <f>IF(ISERROR(VLOOKUP(A116,RDPLP!D:D,1,0)),"N","Y")</f>
        <v>N</v>
      </c>
      <c r="H116" s="8" t="str">
        <f>IF(ISERROR(VLOOKUP(A116,'SCINET-PLP'!D:D,1,0)),"N","Y")</f>
        <v>N</v>
      </c>
      <c r="I116" s="8" t="str">
        <f>IF(ISERROR(VLOOKUP(A116,FLEXPLP!D:D,1,0)),"N","Y")</f>
        <v>N</v>
      </c>
      <c r="J116" s="8" t="str">
        <f>IF(ISERROR(VLOOKUP(A116,'ELN PLP'!D:D,1,0)),"N","Y")</f>
        <v>Y</v>
      </c>
      <c r="K116" s="29">
        <f t="shared" si="4"/>
        <v>1</v>
      </c>
      <c r="L116" s="52" t="str">
        <f>IF(ISERROR(VLOOKUP(A116,RDPLP!G:G,1,0)),"N","Y")</f>
        <v>N</v>
      </c>
      <c r="M116" s="52" t="str">
        <f>IF(ISERROR(VLOOKUP(A116,'SCINET-PLP'!G:G,1,0)),"N","Y")</f>
        <v>N</v>
      </c>
      <c r="N116" s="52" t="str">
        <f>IF(ISERROR(VLOOKUP(A116,FLEXPLP!G:G,1,0)),"N","Y")</f>
        <v>N</v>
      </c>
      <c r="O116" s="52" t="str">
        <f>IF(ISERROR(VLOOKUP(A116,'ELN PLP'!G:G,1,0)),"N","Y")</f>
        <v>Y</v>
      </c>
      <c r="P116" s="53">
        <f t="shared" si="5"/>
        <v>1</v>
      </c>
      <c r="R116" s="21">
        <f>IF(K116+F116&gt;0,1,0)</f>
        <v>1</v>
      </c>
      <c r="S116" s="24">
        <f>IF(ISERROR(VLOOKUP(A116,U:U,1,0)),0,1)</f>
        <v>0</v>
      </c>
      <c r="Z116" t="s">
        <v>19</v>
      </c>
    </row>
    <row r="117" spans="1:26" x14ac:dyDescent="0.35">
      <c r="A117" t="s">
        <v>146</v>
      </c>
      <c r="B117" s="5" t="str">
        <f>IF(ISERROR(VLOOKUP(A117,RDPLP!A117:A142,1,0)),"N","Y")</f>
        <v>N</v>
      </c>
      <c r="C117" s="5" t="str">
        <f>IF(ISERROR(VLOOKUP(A117,'SCINET-PLP'!A:A,1,0)),"N","Y")</f>
        <v>N</v>
      </c>
      <c r="D117" s="5" t="str">
        <f>IF(ISERROR(VLOOKUP(A117,FLEXPLP!A:A,1,0)),"N","Y")</f>
        <v>N</v>
      </c>
      <c r="E117" s="5" t="str">
        <f>IF(ISERROR(VLOOKUP(A117,'ELN PLP'!A:A,1,0)),"N","Y")</f>
        <v>Y</v>
      </c>
      <c r="F117" s="26">
        <f t="shared" si="3"/>
        <v>1</v>
      </c>
      <c r="G117" s="8" t="str">
        <f>IF(ISERROR(VLOOKUP(A117,RDPLP!D:D,1,0)),"N","Y")</f>
        <v>N</v>
      </c>
      <c r="H117" s="8" t="str">
        <f>IF(ISERROR(VLOOKUP(A117,'SCINET-PLP'!D:D,1,0)),"N","Y")</f>
        <v>N</v>
      </c>
      <c r="I117" s="8" t="str">
        <f>IF(ISERROR(VLOOKUP(A117,FLEXPLP!D:D,1,0)),"N","Y")</f>
        <v>N</v>
      </c>
      <c r="J117" s="8" t="str">
        <f>IF(ISERROR(VLOOKUP(A117,'ELN PLP'!D:D,1,0)),"N","Y")</f>
        <v>N</v>
      </c>
      <c r="K117" s="29">
        <f t="shared" si="4"/>
        <v>0</v>
      </c>
      <c r="L117" s="52" t="str">
        <f>IF(ISERROR(VLOOKUP(A117,RDPLP!G:G,1,0)),"N","Y")</f>
        <v>N</v>
      </c>
      <c r="M117" s="52" t="str">
        <f>IF(ISERROR(VLOOKUP(A117,'SCINET-PLP'!G:G,1,0)),"N","Y")</f>
        <v>N</v>
      </c>
      <c r="N117" s="52" t="str">
        <f>IF(ISERROR(VLOOKUP(A117,FLEXPLP!G:G,1,0)),"N","Y")</f>
        <v>N</v>
      </c>
      <c r="O117" s="52" t="str">
        <f>IF(ISERROR(VLOOKUP(A117,'ELN PLP'!G:G,1,0)),"N","Y")</f>
        <v>N</v>
      </c>
      <c r="P117" s="53">
        <f t="shared" si="5"/>
        <v>0</v>
      </c>
      <c r="R117" s="21">
        <f>IF(K117+F117&gt;0,1,0)</f>
        <v>1</v>
      </c>
      <c r="S117" s="24">
        <f>IF(ISERROR(VLOOKUP(A117,U:U,1,0)),0,1)</f>
        <v>0</v>
      </c>
      <c r="Z117" t="s">
        <v>40</v>
      </c>
    </row>
    <row r="118" spans="1:26" x14ac:dyDescent="0.35">
      <c r="A118" t="s">
        <v>111</v>
      </c>
      <c r="B118" s="5" t="str">
        <f>IF(ISERROR(VLOOKUP(A118,RDPLP!A118:A143,1,0)),"N","Y")</f>
        <v>N</v>
      </c>
      <c r="C118" s="5" t="str">
        <f>IF(ISERROR(VLOOKUP(A118,'SCINET-PLP'!A:A,1,0)),"N","Y")</f>
        <v>N</v>
      </c>
      <c r="D118" s="5" t="str">
        <f>IF(ISERROR(VLOOKUP(A118,FLEXPLP!A:A,1,0)),"N","Y")</f>
        <v>N</v>
      </c>
      <c r="E118" s="5" t="str">
        <f>IF(ISERROR(VLOOKUP(A118,'ELN PLP'!A:A,1,0)),"N","Y")</f>
        <v>Y</v>
      </c>
      <c r="F118" s="26">
        <f t="shared" si="3"/>
        <v>1</v>
      </c>
      <c r="G118" s="8" t="str">
        <f>IF(ISERROR(VLOOKUP(A118,RDPLP!D:D,1,0)),"N","Y")</f>
        <v>N</v>
      </c>
      <c r="H118" s="8" t="str">
        <f>IF(ISERROR(VLOOKUP(A118,'SCINET-PLP'!D:D,1,0)),"N","Y")</f>
        <v>N</v>
      </c>
      <c r="I118" s="8" t="str">
        <f>IF(ISERROR(VLOOKUP(A118,FLEXPLP!D:D,1,0)),"N","Y")</f>
        <v>N</v>
      </c>
      <c r="J118" s="8" t="str">
        <f>IF(ISERROR(VLOOKUP(A118,'ELN PLP'!D:D,1,0)),"N","Y")</f>
        <v>Y</v>
      </c>
      <c r="K118" s="29">
        <f t="shared" si="4"/>
        <v>1</v>
      </c>
      <c r="L118" s="52" t="str">
        <f>IF(ISERROR(VLOOKUP(A118,RDPLP!G:G,1,0)),"N","Y")</f>
        <v>N</v>
      </c>
      <c r="M118" s="52" t="str">
        <f>IF(ISERROR(VLOOKUP(A118,'SCINET-PLP'!G:G,1,0)),"N","Y")</f>
        <v>N</v>
      </c>
      <c r="N118" s="52" t="str">
        <f>IF(ISERROR(VLOOKUP(A118,FLEXPLP!G:G,1,0)),"N","Y")</f>
        <v>N</v>
      </c>
      <c r="O118" s="52" t="str">
        <f>IF(ISERROR(VLOOKUP(A118,'ELN PLP'!G:G,1,0)),"N","Y")</f>
        <v>Y</v>
      </c>
      <c r="P118" s="53">
        <f t="shared" si="5"/>
        <v>1</v>
      </c>
      <c r="R118" s="21">
        <f>IF(K118+F118&gt;0,1,0)</f>
        <v>1</v>
      </c>
      <c r="S118" s="24">
        <f>IF(ISERROR(VLOOKUP(A118,U:U,1,0)),0,1)</f>
        <v>0</v>
      </c>
      <c r="Z118" t="s">
        <v>1965</v>
      </c>
    </row>
    <row r="119" spans="1:26" x14ac:dyDescent="0.35">
      <c r="A119" t="s">
        <v>148</v>
      </c>
      <c r="B119" s="5" t="str">
        <f>IF(ISERROR(VLOOKUP(A119,RDPLP!A119:A144,1,0)),"N","Y")</f>
        <v>N</v>
      </c>
      <c r="C119" s="5" t="str">
        <f>IF(ISERROR(VLOOKUP(A119,'SCINET-PLP'!A:A,1,0)),"N","Y")</f>
        <v>N</v>
      </c>
      <c r="D119" s="5" t="str">
        <f>IF(ISERROR(VLOOKUP(A119,FLEXPLP!A:A,1,0)),"N","Y")</f>
        <v>N</v>
      </c>
      <c r="E119" s="5" t="str">
        <f>IF(ISERROR(VLOOKUP(A119,'ELN PLP'!A:A,1,0)),"N","Y")</f>
        <v>Y</v>
      </c>
      <c r="F119" s="26">
        <f t="shared" si="3"/>
        <v>1</v>
      </c>
      <c r="G119" s="8" t="str">
        <f>IF(ISERROR(VLOOKUP(A119,RDPLP!D:D,1,0)),"N","Y")</f>
        <v>N</v>
      </c>
      <c r="H119" s="8" t="str">
        <f>IF(ISERROR(VLOOKUP(A119,'SCINET-PLP'!D:D,1,0)),"N","Y")</f>
        <v>N</v>
      </c>
      <c r="I119" s="8" t="str">
        <f>IF(ISERROR(VLOOKUP(A119,FLEXPLP!D:D,1,0)),"N","Y")</f>
        <v>N</v>
      </c>
      <c r="J119" s="8" t="str">
        <f>IF(ISERROR(VLOOKUP(A119,'ELN PLP'!D:D,1,0)),"N","Y")</f>
        <v>Y</v>
      </c>
      <c r="K119" s="29">
        <f t="shared" si="4"/>
        <v>1</v>
      </c>
      <c r="L119" s="52" t="str">
        <f>IF(ISERROR(VLOOKUP(A119,RDPLP!G:G,1,0)),"N","Y")</f>
        <v>N</v>
      </c>
      <c r="M119" s="52" t="str">
        <f>IF(ISERROR(VLOOKUP(A119,'SCINET-PLP'!G:G,1,0)),"N","Y")</f>
        <v>N</v>
      </c>
      <c r="N119" s="52" t="str">
        <f>IF(ISERROR(VLOOKUP(A119,FLEXPLP!G:G,1,0)),"N","Y")</f>
        <v>N</v>
      </c>
      <c r="O119" s="52" t="str">
        <f>IF(ISERROR(VLOOKUP(A119,'ELN PLP'!G:G,1,0)),"N","Y")</f>
        <v>N</v>
      </c>
      <c r="P119" s="53">
        <f t="shared" si="5"/>
        <v>0</v>
      </c>
      <c r="R119" s="21">
        <f>IF(K119+F119&gt;0,1,0)</f>
        <v>1</v>
      </c>
      <c r="S119" s="24">
        <f>IF(ISERROR(VLOOKUP(A119,U:U,1,0)),0,1)</f>
        <v>0</v>
      </c>
      <c r="Z119" t="s">
        <v>1968</v>
      </c>
    </row>
    <row r="120" spans="1:26" x14ac:dyDescent="0.35">
      <c r="A120" s="3" t="s">
        <v>150</v>
      </c>
      <c r="B120" s="5" t="str">
        <f>IF(ISERROR(VLOOKUP(A120,RDPLP!A120:A145,1,0)),"N","Y")</f>
        <v>N</v>
      </c>
      <c r="C120" s="5" t="str">
        <f>IF(ISERROR(VLOOKUP(A120,'SCINET-PLP'!A:A,1,0)),"N","Y")</f>
        <v>N</v>
      </c>
      <c r="D120" s="5" t="str">
        <f>IF(ISERROR(VLOOKUP(A120,FLEXPLP!A:A,1,0)),"N","Y")</f>
        <v>N</v>
      </c>
      <c r="E120" s="5" t="str">
        <f>IF(ISERROR(VLOOKUP(A120,'ELN PLP'!A:A,1,0)),"N","Y")</f>
        <v>Y</v>
      </c>
      <c r="F120" s="26">
        <f t="shared" si="3"/>
        <v>1</v>
      </c>
      <c r="G120" s="8" t="str">
        <f>IF(ISERROR(VLOOKUP(A120,RDPLP!D:D,1,0)),"N","Y")</f>
        <v>N</v>
      </c>
      <c r="H120" s="8" t="str">
        <f>IF(ISERROR(VLOOKUP(A120,'SCINET-PLP'!D:D,1,0)),"N","Y")</f>
        <v>N</v>
      </c>
      <c r="I120" s="8" t="str">
        <f>IF(ISERROR(VLOOKUP(A120,FLEXPLP!D:D,1,0)),"N","Y")</f>
        <v>N</v>
      </c>
      <c r="J120" s="8" t="str">
        <f>IF(ISERROR(VLOOKUP(A120,'ELN PLP'!D:D,1,0)),"N","Y")</f>
        <v>N</v>
      </c>
      <c r="K120" s="29">
        <f t="shared" si="4"/>
        <v>0</v>
      </c>
      <c r="L120" s="52" t="str">
        <f>IF(ISERROR(VLOOKUP(A120,RDPLP!G:G,1,0)),"N","Y")</f>
        <v>N</v>
      </c>
      <c r="M120" s="52" t="str">
        <f>IF(ISERROR(VLOOKUP(A120,'SCINET-PLP'!G:G,1,0)),"N","Y")</f>
        <v>N</v>
      </c>
      <c r="N120" s="52" t="str">
        <f>IF(ISERROR(VLOOKUP(A120,FLEXPLP!G:G,1,0)),"N","Y")</f>
        <v>N</v>
      </c>
      <c r="O120" s="52" t="str">
        <f>IF(ISERROR(VLOOKUP(A120,'ELN PLP'!G:G,1,0)),"N","Y")</f>
        <v>Y</v>
      </c>
      <c r="P120" s="53">
        <f t="shared" si="5"/>
        <v>1</v>
      </c>
      <c r="R120" s="21">
        <f>IF(K120+F120&gt;0,1,0)</f>
        <v>1</v>
      </c>
      <c r="S120" s="24">
        <f>IF(ISERROR(VLOOKUP(A120,U:U,1,0)),0,1)</f>
        <v>0</v>
      </c>
      <c r="Z120" t="s">
        <v>1971</v>
      </c>
    </row>
    <row r="121" spans="1:26" x14ac:dyDescent="0.35">
      <c r="A121" s="3" t="s">
        <v>152</v>
      </c>
      <c r="B121" s="5" t="str">
        <f>IF(ISERROR(VLOOKUP(A121,RDPLP!A121:A146,1,0)),"N","Y")</f>
        <v>N</v>
      </c>
      <c r="C121" s="5" t="str">
        <f>IF(ISERROR(VLOOKUP(A121,'SCINET-PLP'!A:A,1,0)),"N","Y")</f>
        <v>N</v>
      </c>
      <c r="D121" s="5" t="str">
        <f>IF(ISERROR(VLOOKUP(A121,FLEXPLP!A:A,1,0)),"N","Y")</f>
        <v>N</v>
      </c>
      <c r="E121" s="5" t="str">
        <f>IF(ISERROR(VLOOKUP(A121,'ELN PLP'!A:A,1,0)),"N","Y")</f>
        <v>Y</v>
      </c>
      <c r="F121" s="26">
        <f t="shared" si="3"/>
        <v>1</v>
      </c>
      <c r="G121" s="8" t="str">
        <f>IF(ISERROR(VLOOKUP(A121,RDPLP!D:D,1,0)),"N","Y")</f>
        <v>N</v>
      </c>
      <c r="H121" s="8" t="str">
        <f>IF(ISERROR(VLOOKUP(A121,'SCINET-PLP'!D:D,1,0)),"N","Y")</f>
        <v>N</v>
      </c>
      <c r="I121" s="8" t="str">
        <f>IF(ISERROR(VLOOKUP(A121,FLEXPLP!D:D,1,0)),"N","Y")</f>
        <v>N</v>
      </c>
      <c r="J121" s="8" t="str">
        <f>IF(ISERROR(VLOOKUP(A121,'ELN PLP'!D:D,1,0)),"N","Y")</f>
        <v>N</v>
      </c>
      <c r="K121" s="29">
        <f t="shared" si="4"/>
        <v>0</v>
      </c>
      <c r="L121" s="52" t="str">
        <f>IF(ISERROR(VLOOKUP(A121,RDPLP!G:G,1,0)),"N","Y")</f>
        <v>N</v>
      </c>
      <c r="M121" s="52" t="str">
        <f>IF(ISERROR(VLOOKUP(A121,'SCINET-PLP'!G:G,1,0)),"N","Y")</f>
        <v>N</v>
      </c>
      <c r="N121" s="52" t="str">
        <f>IF(ISERROR(VLOOKUP(A121,FLEXPLP!G:G,1,0)),"N","Y")</f>
        <v>N</v>
      </c>
      <c r="O121" s="52" t="str">
        <f>IF(ISERROR(VLOOKUP(A121,'ELN PLP'!G:G,1,0)),"N","Y")</f>
        <v>N</v>
      </c>
      <c r="P121" s="53">
        <f t="shared" si="5"/>
        <v>0</v>
      </c>
      <c r="R121" s="21">
        <f>IF(K121+F121&gt;0,1,0)</f>
        <v>1</v>
      </c>
      <c r="S121" s="24">
        <f>IF(ISERROR(VLOOKUP(A121,U:U,1,0)),0,1)</f>
        <v>0</v>
      </c>
      <c r="Z121" t="s">
        <v>39</v>
      </c>
    </row>
    <row r="122" spans="1:26" x14ac:dyDescent="0.35">
      <c r="A122" s="3" t="s">
        <v>153</v>
      </c>
      <c r="B122" s="5" t="str">
        <f>IF(ISERROR(VLOOKUP(A122,RDPLP!A122:A147,1,0)),"N","Y")</f>
        <v>N</v>
      </c>
      <c r="C122" s="5" t="str">
        <f>IF(ISERROR(VLOOKUP(A122,'SCINET-PLP'!A:A,1,0)),"N","Y")</f>
        <v>N</v>
      </c>
      <c r="D122" s="5" t="str">
        <f>IF(ISERROR(VLOOKUP(A122,FLEXPLP!A:A,1,0)),"N","Y")</f>
        <v>N</v>
      </c>
      <c r="E122" s="5" t="str">
        <f>IF(ISERROR(VLOOKUP(A122,'ELN PLP'!A:A,1,0)),"N","Y")</f>
        <v>Y</v>
      </c>
      <c r="F122" s="26">
        <f t="shared" si="3"/>
        <v>1</v>
      </c>
      <c r="G122" s="8" t="str">
        <f>IF(ISERROR(VLOOKUP(A122,RDPLP!D:D,1,0)),"N","Y")</f>
        <v>N</v>
      </c>
      <c r="H122" s="8" t="str">
        <f>IF(ISERROR(VLOOKUP(A122,'SCINET-PLP'!D:D,1,0)),"N","Y")</f>
        <v>N</v>
      </c>
      <c r="I122" s="8" t="str">
        <f>IF(ISERROR(VLOOKUP(A122,FLEXPLP!D:D,1,0)),"N","Y")</f>
        <v>N</v>
      </c>
      <c r="J122" s="8" t="str">
        <f>IF(ISERROR(VLOOKUP(A122,'ELN PLP'!D:D,1,0)),"N","Y")</f>
        <v>N</v>
      </c>
      <c r="K122" s="29">
        <f t="shared" si="4"/>
        <v>0</v>
      </c>
      <c r="L122" s="52" t="str">
        <f>IF(ISERROR(VLOOKUP(A122,RDPLP!G:G,1,0)),"N","Y")</f>
        <v>N</v>
      </c>
      <c r="M122" s="52" t="str">
        <f>IF(ISERROR(VLOOKUP(A122,'SCINET-PLP'!G:G,1,0)),"N","Y")</f>
        <v>N</v>
      </c>
      <c r="N122" s="52" t="str">
        <f>IF(ISERROR(VLOOKUP(A122,FLEXPLP!G:G,1,0)),"N","Y")</f>
        <v>N</v>
      </c>
      <c r="O122" s="52" t="str">
        <f>IF(ISERROR(VLOOKUP(A122,'ELN PLP'!G:G,1,0)),"N","Y")</f>
        <v>Y</v>
      </c>
      <c r="P122" s="53">
        <f t="shared" si="5"/>
        <v>1</v>
      </c>
      <c r="R122" s="21">
        <f>IF(K122+F122&gt;0,1,0)</f>
        <v>1</v>
      </c>
      <c r="S122" s="24">
        <f>IF(ISERROR(VLOOKUP(A122,U:U,1,0)),0,1)</f>
        <v>0</v>
      </c>
      <c r="Z122" t="s">
        <v>59</v>
      </c>
    </row>
    <row r="123" spans="1:26" x14ac:dyDescent="0.35">
      <c r="A123" s="3" t="s">
        <v>95</v>
      </c>
      <c r="B123" s="5" t="str">
        <f>IF(ISERROR(VLOOKUP(A123,RDPLP!A123:A148,1,0)),"N","Y")</f>
        <v>N</v>
      </c>
      <c r="C123" s="5" t="str">
        <f>IF(ISERROR(VLOOKUP(A123,'SCINET-PLP'!A:A,1,0)),"N","Y")</f>
        <v>N</v>
      </c>
      <c r="D123" s="5" t="str">
        <f>IF(ISERROR(VLOOKUP(A123,FLEXPLP!A:A,1,0)),"N","Y")</f>
        <v>N</v>
      </c>
      <c r="E123" s="5" t="str">
        <f>IF(ISERROR(VLOOKUP(A123,'ELN PLP'!A:A,1,0)),"N","Y")</f>
        <v>Y</v>
      </c>
      <c r="F123" s="26">
        <f t="shared" si="3"/>
        <v>1</v>
      </c>
      <c r="G123" s="8" t="str">
        <f>IF(ISERROR(VLOOKUP(A123,RDPLP!D:D,1,0)),"N","Y")</f>
        <v>N</v>
      </c>
      <c r="H123" s="8" t="str">
        <f>IF(ISERROR(VLOOKUP(A123,'SCINET-PLP'!D:D,1,0)),"N","Y")</f>
        <v>N</v>
      </c>
      <c r="I123" s="8" t="str">
        <f>IF(ISERROR(VLOOKUP(A123,FLEXPLP!D:D,1,0)),"N","Y")</f>
        <v>N</v>
      </c>
      <c r="J123" s="8" t="str">
        <f>IF(ISERROR(VLOOKUP(A123,'ELN PLP'!D:D,1,0)),"N","Y")</f>
        <v>Y</v>
      </c>
      <c r="K123" s="29">
        <f t="shared" si="4"/>
        <v>1</v>
      </c>
      <c r="L123" s="52" t="str">
        <f>IF(ISERROR(VLOOKUP(A123,RDPLP!G:G,1,0)),"N","Y")</f>
        <v>N</v>
      </c>
      <c r="M123" s="52" t="str">
        <f>IF(ISERROR(VLOOKUP(A123,'SCINET-PLP'!G:G,1,0)),"N","Y")</f>
        <v>N</v>
      </c>
      <c r="N123" s="52" t="str">
        <f>IF(ISERROR(VLOOKUP(A123,FLEXPLP!G:G,1,0)),"N","Y")</f>
        <v>N</v>
      </c>
      <c r="O123" s="52" t="str">
        <f>IF(ISERROR(VLOOKUP(A123,'ELN PLP'!G:G,1,0)),"N","Y")</f>
        <v>N</v>
      </c>
      <c r="P123" s="53">
        <f t="shared" si="5"/>
        <v>0</v>
      </c>
      <c r="R123" s="21">
        <f>IF(K123+F123&gt;0,1,0)</f>
        <v>1</v>
      </c>
      <c r="S123" s="24">
        <f>IF(ISERROR(VLOOKUP(A123,U:U,1,0)),0,1)</f>
        <v>0</v>
      </c>
      <c r="Z123" t="s">
        <v>1979</v>
      </c>
    </row>
    <row r="124" spans="1:26" x14ac:dyDescent="0.35">
      <c r="A124" s="3" t="s">
        <v>154</v>
      </c>
      <c r="B124" s="5" t="str">
        <f>IF(ISERROR(VLOOKUP(A124,RDPLP!A124:A149,1,0)),"N","Y")</f>
        <v>N</v>
      </c>
      <c r="C124" s="5" t="str">
        <f>IF(ISERROR(VLOOKUP(A124,'SCINET-PLP'!A:A,1,0)),"N","Y")</f>
        <v>N</v>
      </c>
      <c r="D124" s="5" t="str">
        <f>IF(ISERROR(VLOOKUP(A124,FLEXPLP!A:A,1,0)),"N","Y")</f>
        <v>N</v>
      </c>
      <c r="E124" s="5" t="str">
        <f>IF(ISERROR(VLOOKUP(A124,'ELN PLP'!A:A,1,0)),"N","Y")</f>
        <v>Y</v>
      </c>
      <c r="F124" s="26">
        <f t="shared" si="3"/>
        <v>1</v>
      </c>
      <c r="G124" s="8" t="str">
        <f>IF(ISERROR(VLOOKUP(A124,RDPLP!D:D,1,0)),"N","Y")</f>
        <v>N</v>
      </c>
      <c r="H124" s="8" t="str">
        <f>IF(ISERROR(VLOOKUP(A124,'SCINET-PLP'!D:D,1,0)),"N","Y")</f>
        <v>N</v>
      </c>
      <c r="I124" s="8" t="str">
        <f>IF(ISERROR(VLOOKUP(A124,FLEXPLP!D:D,1,0)),"N","Y")</f>
        <v>N</v>
      </c>
      <c r="J124" s="8" t="str">
        <f>IF(ISERROR(VLOOKUP(A124,'ELN PLP'!D:D,1,0)),"N","Y")</f>
        <v>N</v>
      </c>
      <c r="K124" s="29">
        <f t="shared" si="4"/>
        <v>0</v>
      </c>
      <c r="L124" s="52" t="str">
        <f>IF(ISERROR(VLOOKUP(A124,RDPLP!G:G,1,0)),"N","Y")</f>
        <v>N</v>
      </c>
      <c r="M124" s="52" t="str">
        <f>IF(ISERROR(VLOOKUP(A124,'SCINET-PLP'!G:G,1,0)),"N","Y")</f>
        <v>N</v>
      </c>
      <c r="N124" s="52" t="str">
        <f>IF(ISERROR(VLOOKUP(A124,FLEXPLP!G:G,1,0)),"N","Y")</f>
        <v>N</v>
      </c>
      <c r="O124" s="52" t="str">
        <f>IF(ISERROR(VLOOKUP(A124,'ELN PLP'!G:G,1,0)),"N","Y")</f>
        <v>N</v>
      </c>
      <c r="P124" s="53">
        <f t="shared" si="5"/>
        <v>0</v>
      </c>
      <c r="R124" s="21">
        <f>IF(K124+F124&gt;0,1,0)</f>
        <v>1</v>
      </c>
      <c r="S124" s="24">
        <f>IF(ISERROR(VLOOKUP(A124,U:U,1,0)),0,1)</f>
        <v>0</v>
      </c>
      <c r="Z124" t="s">
        <v>1982</v>
      </c>
    </row>
    <row r="125" spans="1:26" x14ac:dyDescent="0.35">
      <c r="A125" s="3" t="s">
        <v>103</v>
      </c>
      <c r="B125" s="5" t="str">
        <f>IF(ISERROR(VLOOKUP(A125,RDPLP!A125:A150,1,0)),"N","Y")</f>
        <v>N</v>
      </c>
      <c r="C125" s="5" t="str">
        <f>IF(ISERROR(VLOOKUP(A125,'SCINET-PLP'!A:A,1,0)),"N","Y")</f>
        <v>N</v>
      </c>
      <c r="D125" s="5" t="str">
        <f>IF(ISERROR(VLOOKUP(A125,FLEXPLP!A:A,1,0)),"N","Y")</f>
        <v>N</v>
      </c>
      <c r="E125" s="5" t="str">
        <f>IF(ISERROR(VLOOKUP(A125,'ELN PLP'!A:A,1,0)),"N","Y")</f>
        <v>Y</v>
      </c>
      <c r="F125" s="26">
        <f t="shared" si="3"/>
        <v>1</v>
      </c>
      <c r="G125" s="8" t="str">
        <f>IF(ISERROR(VLOOKUP(A125,RDPLP!D:D,1,0)),"N","Y")</f>
        <v>N</v>
      </c>
      <c r="H125" s="8" t="str">
        <f>IF(ISERROR(VLOOKUP(A125,'SCINET-PLP'!D:D,1,0)),"N","Y")</f>
        <v>N</v>
      </c>
      <c r="I125" s="8" t="str">
        <f>IF(ISERROR(VLOOKUP(A125,FLEXPLP!D:D,1,0)),"N","Y")</f>
        <v>N</v>
      </c>
      <c r="J125" s="8" t="str">
        <f>IF(ISERROR(VLOOKUP(A125,'ELN PLP'!D:D,1,0)),"N","Y")</f>
        <v>Y</v>
      </c>
      <c r="K125" s="29">
        <f t="shared" si="4"/>
        <v>1</v>
      </c>
      <c r="L125" s="52" t="str">
        <f>IF(ISERROR(VLOOKUP(A125,RDPLP!G:G,1,0)),"N","Y")</f>
        <v>N</v>
      </c>
      <c r="M125" s="52" t="str">
        <f>IF(ISERROR(VLOOKUP(A125,'SCINET-PLP'!G:G,1,0)),"N","Y")</f>
        <v>N</v>
      </c>
      <c r="N125" s="52" t="str">
        <f>IF(ISERROR(VLOOKUP(A125,FLEXPLP!G:G,1,0)),"N","Y")</f>
        <v>N</v>
      </c>
      <c r="O125" s="52" t="str">
        <f>IF(ISERROR(VLOOKUP(A125,'ELN PLP'!G:G,1,0)),"N","Y")</f>
        <v>Y</v>
      </c>
      <c r="P125" s="53">
        <f t="shared" si="5"/>
        <v>1</v>
      </c>
      <c r="R125" s="21">
        <f>IF(K125+F125&gt;0,1,0)</f>
        <v>1</v>
      </c>
      <c r="S125" s="24">
        <f>IF(ISERROR(VLOOKUP(A125,U:U,1,0)),0,1)</f>
        <v>0</v>
      </c>
      <c r="Z125" t="s">
        <v>71</v>
      </c>
    </row>
    <row r="126" spans="1:26" x14ac:dyDescent="0.35">
      <c r="A126" s="3" t="s">
        <v>158</v>
      </c>
      <c r="B126" s="5" t="str">
        <f>IF(ISERROR(VLOOKUP(A126,RDPLP!A126:A151,1,0)),"N","Y")</f>
        <v>N</v>
      </c>
      <c r="C126" s="5" t="str">
        <f>IF(ISERROR(VLOOKUP(A126,'SCINET-PLP'!A:A,1,0)),"N","Y")</f>
        <v>N</v>
      </c>
      <c r="D126" s="5" t="str">
        <f>IF(ISERROR(VLOOKUP(A126,FLEXPLP!A:A,1,0)),"N","Y")</f>
        <v>N</v>
      </c>
      <c r="E126" s="5" t="str">
        <f>IF(ISERROR(VLOOKUP(A126,'ELN PLP'!A:A,1,0)),"N","Y")</f>
        <v>Y</v>
      </c>
      <c r="F126" s="26">
        <f t="shared" si="3"/>
        <v>1</v>
      </c>
      <c r="G126" s="8" t="str">
        <f>IF(ISERROR(VLOOKUP(A126,RDPLP!D:D,1,0)),"N","Y")</f>
        <v>N</v>
      </c>
      <c r="H126" s="8" t="str">
        <f>IF(ISERROR(VLOOKUP(A126,'SCINET-PLP'!D:D,1,0)),"N","Y")</f>
        <v>N</v>
      </c>
      <c r="I126" s="8" t="str">
        <f>IF(ISERROR(VLOOKUP(A126,FLEXPLP!D:D,1,0)),"N","Y")</f>
        <v>N</v>
      </c>
      <c r="J126" s="8" t="str">
        <f>IF(ISERROR(VLOOKUP(A126,'ELN PLP'!D:D,1,0)),"N","Y")</f>
        <v>N</v>
      </c>
      <c r="K126" s="29">
        <f t="shared" si="4"/>
        <v>0</v>
      </c>
      <c r="L126" s="52" t="str">
        <f>IF(ISERROR(VLOOKUP(A126,RDPLP!G:G,1,0)),"N","Y")</f>
        <v>N</v>
      </c>
      <c r="M126" s="52" t="str">
        <f>IF(ISERROR(VLOOKUP(A126,'SCINET-PLP'!G:G,1,0)),"N","Y")</f>
        <v>N</v>
      </c>
      <c r="N126" s="52" t="str">
        <f>IF(ISERROR(VLOOKUP(A126,FLEXPLP!G:G,1,0)),"N","Y")</f>
        <v>N</v>
      </c>
      <c r="O126" s="52" t="str">
        <f>IF(ISERROR(VLOOKUP(A126,'ELN PLP'!G:G,1,0)),"N","Y")</f>
        <v>N</v>
      </c>
      <c r="P126" s="53">
        <f t="shared" si="5"/>
        <v>0</v>
      </c>
      <c r="R126" s="21">
        <f>IF(K126+F126&gt;0,1,0)</f>
        <v>1</v>
      </c>
      <c r="S126" s="24">
        <f>IF(ISERROR(VLOOKUP(A126,U:U,1,0)),0,1)</f>
        <v>0</v>
      </c>
      <c r="Z126" t="s">
        <v>1987</v>
      </c>
    </row>
    <row r="127" spans="1:26" x14ac:dyDescent="0.35">
      <c r="A127" s="3" t="s">
        <v>160</v>
      </c>
      <c r="B127" s="5" t="str">
        <f>IF(ISERROR(VLOOKUP(A127,RDPLP!A127:A152,1,0)),"N","Y")</f>
        <v>N</v>
      </c>
      <c r="C127" s="5" t="str">
        <f>IF(ISERROR(VLOOKUP(A127,'SCINET-PLP'!A:A,1,0)),"N","Y")</f>
        <v>N</v>
      </c>
      <c r="D127" s="5" t="str">
        <f>IF(ISERROR(VLOOKUP(A127,FLEXPLP!A:A,1,0)),"N","Y")</f>
        <v>N</v>
      </c>
      <c r="E127" s="5" t="str">
        <f>IF(ISERROR(VLOOKUP(A127,'ELN PLP'!A:A,1,0)),"N","Y")</f>
        <v>Y</v>
      </c>
      <c r="F127" s="26">
        <f t="shared" si="3"/>
        <v>1</v>
      </c>
      <c r="G127" s="8" t="str">
        <f>IF(ISERROR(VLOOKUP(A127,RDPLP!D:D,1,0)),"N","Y")</f>
        <v>N</v>
      </c>
      <c r="H127" s="8" t="str">
        <f>IF(ISERROR(VLOOKUP(A127,'SCINET-PLP'!D:D,1,0)),"N","Y")</f>
        <v>N</v>
      </c>
      <c r="I127" s="8" t="str">
        <f>IF(ISERROR(VLOOKUP(A127,FLEXPLP!D:D,1,0)),"N","Y")</f>
        <v>N</v>
      </c>
      <c r="J127" s="8" t="str">
        <f>IF(ISERROR(VLOOKUP(A127,'ELN PLP'!D:D,1,0)),"N","Y")</f>
        <v>N</v>
      </c>
      <c r="K127" s="29">
        <f t="shared" si="4"/>
        <v>0</v>
      </c>
      <c r="L127" s="52" t="str">
        <f>IF(ISERROR(VLOOKUP(A127,RDPLP!G:G,1,0)),"N","Y")</f>
        <v>N</v>
      </c>
      <c r="M127" s="52" t="str">
        <f>IF(ISERROR(VLOOKUP(A127,'SCINET-PLP'!G:G,1,0)),"N","Y")</f>
        <v>N</v>
      </c>
      <c r="N127" s="52" t="str">
        <f>IF(ISERROR(VLOOKUP(A127,FLEXPLP!G:G,1,0)),"N","Y")</f>
        <v>N</v>
      </c>
      <c r="O127" s="52" t="str">
        <f>IF(ISERROR(VLOOKUP(A127,'ELN PLP'!G:G,1,0)),"N","Y")</f>
        <v>N</v>
      </c>
      <c r="P127" s="53">
        <f t="shared" si="5"/>
        <v>0</v>
      </c>
      <c r="R127" s="21">
        <f>IF(K127+F127&gt;0,1,0)</f>
        <v>1</v>
      </c>
      <c r="S127" s="24">
        <f>IF(ISERROR(VLOOKUP(A127,U:U,1,0)),0,1)</f>
        <v>0</v>
      </c>
      <c r="Z127" t="s">
        <v>74</v>
      </c>
    </row>
    <row r="128" spans="1:26" x14ac:dyDescent="0.35">
      <c r="A128" s="3" t="s">
        <v>88</v>
      </c>
      <c r="B128" s="5" t="str">
        <f>IF(ISERROR(VLOOKUP(A128,RDPLP!A128:A153,1,0)),"N","Y")</f>
        <v>N</v>
      </c>
      <c r="C128" s="5" t="str">
        <f>IF(ISERROR(VLOOKUP(A128,'SCINET-PLP'!A:A,1,0)),"N","Y")</f>
        <v>N</v>
      </c>
      <c r="D128" s="5" t="str">
        <f>IF(ISERROR(VLOOKUP(A128,FLEXPLP!A:A,1,0)),"N","Y")</f>
        <v>N</v>
      </c>
      <c r="E128" s="5" t="str">
        <f>IF(ISERROR(VLOOKUP(A128,'ELN PLP'!A:A,1,0)),"N","Y")</f>
        <v>Y</v>
      </c>
      <c r="F128" s="26">
        <f t="shared" si="3"/>
        <v>1</v>
      </c>
      <c r="G128" s="8" t="str">
        <f>IF(ISERROR(VLOOKUP(A128,RDPLP!D:D,1,0)),"N","Y")</f>
        <v>N</v>
      </c>
      <c r="H128" s="8" t="str">
        <f>IF(ISERROR(VLOOKUP(A128,'SCINET-PLP'!D:D,1,0)),"N","Y")</f>
        <v>N</v>
      </c>
      <c r="I128" s="8" t="str">
        <f>IF(ISERROR(VLOOKUP(A128,FLEXPLP!D:D,1,0)),"N","Y")</f>
        <v>N</v>
      </c>
      <c r="J128" s="8" t="str">
        <f>IF(ISERROR(VLOOKUP(A128,'ELN PLP'!D:D,1,0)),"N","Y")</f>
        <v>Y</v>
      </c>
      <c r="K128" s="29">
        <f t="shared" si="4"/>
        <v>1</v>
      </c>
      <c r="L128" s="52" t="str">
        <f>IF(ISERROR(VLOOKUP(A128,RDPLP!G:G,1,0)),"N","Y")</f>
        <v>N</v>
      </c>
      <c r="M128" s="52" t="str">
        <f>IF(ISERROR(VLOOKUP(A128,'SCINET-PLP'!G:G,1,0)),"N","Y")</f>
        <v>N</v>
      </c>
      <c r="N128" s="52" t="str">
        <f>IF(ISERROR(VLOOKUP(A128,FLEXPLP!G:G,1,0)),"N","Y")</f>
        <v>N</v>
      </c>
      <c r="O128" s="52" t="str">
        <f>IF(ISERROR(VLOOKUP(A128,'ELN PLP'!G:G,1,0)),"N","Y")</f>
        <v>Y</v>
      </c>
      <c r="P128" s="53">
        <f t="shared" si="5"/>
        <v>1</v>
      </c>
      <c r="R128" s="21">
        <f>IF(K128+F128&gt;0,1,0)</f>
        <v>1</v>
      </c>
      <c r="S128" s="24">
        <f>IF(ISERROR(VLOOKUP(A128,U:U,1,0)),0,1)</f>
        <v>0</v>
      </c>
      <c r="Z128" t="s">
        <v>1990</v>
      </c>
    </row>
    <row r="129" spans="1:26" x14ac:dyDescent="0.35">
      <c r="A129" s="3" t="s">
        <v>163</v>
      </c>
      <c r="B129" s="5" t="str">
        <f>IF(ISERROR(VLOOKUP(A129,RDPLP!A129:A154,1,0)),"N","Y")</f>
        <v>N</v>
      </c>
      <c r="C129" s="5" t="str">
        <f>IF(ISERROR(VLOOKUP(A129,'SCINET-PLP'!A:A,1,0)),"N","Y")</f>
        <v>N</v>
      </c>
      <c r="D129" s="5" t="str">
        <f>IF(ISERROR(VLOOKUP(A129,FLEXPLP!A:A,1,0)),"N","Y")</f>
        <v>N</v>
      </c>
      <c r="E129" s="5" t="str">
        <f>IF(ISERROR(VLOOKUP(A129,'ELN PLP'!A:A,1,0)),"N","Y")</f>
        <v>Y</v>
      </c>
      <c r="F129" s="26">
        <f t="shared" si="3"/>
        <v>1</v>
      </c>
      <c r="G129" s="8" t="str">
        <f>IF(ISERROR(VLOOKUP(A129,RDPLP!D:D,1,0)),"N","Y")</f>
        <v>N</v>
      </c>
      <c r="H129" s="8" t="str">
        <f>IF(ISERROR(VLOOKUP(A129,'SCINET-PLP'!D:D,1,0)),"N","Y")</f>
        <v>N</v>
      </c>
      <c r="I129" s="8" t="str">
        <f>IF(ISERROR(VLOOKUP(A129,FLEXPLP!D:D,1,0)),"N","Y")</f>
        <v>N</v>
      </c>
      <c r="J129" s="8" t="str">
        <f>IF(ISERROR(VLOOKUP(A129,'ELN PLP'!D:D,1,0)),"N","Y")</f>
        <v>Y</v>
      </c>
      <c r="K129" s="29">
        <f t="shared" si="4"/>
        <v>1</v>
      </c>
      <c r="L129" s="52" t="str">
        <f>IF(ISERROR(VLOOKUP(A129,RDPLP!G:G,1,0)),"N","Y")</f>
        <v>N</v>
      </c>
      <c r="M129" s="52" t="str">
        <f>IF(ISERROR(VLOOKUP(A129,'SCINET-PLP'!G:G,1,0)),"N","Y")</f>
        <v>N</v>
      </c>
      <c r="N129" s="52" t="str">
        <f>IF(ISERROR(VLOOKUP(A129,FLEXPLP!G:G,1,0)),"N","Y")</f>
        <v>N</v>
      </c>
      <c r="O129" s="52" t="str">
        <f>IF(ISERROR(VLOOKUP(A129,'ELN PLP'!G:G,1,0)),"N","Y")</f>
        <v>Y</v>
      </c>
      <c r="P129" s="53">
        <f t="shared" si="5"/>
        <v>1</v>
      </c>
      <c r="R129" s="21">
        <f>IF(K129+F129&gt;0,1,0)</f>
        <v>1</v>
      </c>
      <c r="S129" s="24">
        <f>IF(ISERROR(VLOOKUP(A129,U:U,1,0)),0,1)</f>
        <v>0</v>
      </c>
      <c r="Z129" t="s">
        <v>80</v>
      </c>
    </row>
    <row r="130" spans="1:26" x14ac:dyDescent="0.35">
      <c r="A130" s="3" t="s">
        <v>161</v>
      </c>
      <c r="B130" s="5" t="str">
        <f>IF(ISERROR(VLOOKUP(A130,RDPLP!A130:A155,1,0)),"N","Y")</f>
        <v>N</v>
      </c>
      <c r="C130" s="5" t="str">
        <f>IF(ISERROR(VLOOKUP(A130,'SCINET-PLP'!A:A,1,0)),"N","Y")</f>
        <v>N</v>
      </c>
      <c r="D130" s="5" t="str">
        <f>IF(ISERROR(VLOOKUP(A130,FLEXPLP!A:A,1,0)),"N","Y")</f>
        <v>N</v>
      </c>
      <c r="E130" s="5" t="str">
        <f>IF(ISERROR(VLOOKUP(A130,'ELN PLP'!A:A,1,0)),"N","Y")</f>
        <v>Y</v>
      </c>
      <c r="F130" s="26">
        <f t="shared" si="3"/>
        <v>1</v>
      </c>
      <c r="G130" s="8" t="str">
        <f>IF(ISERROR(VLOOKUP(A130,RDPLP!D:D,1,0)),"N","Y")</f>
        <v>N</v>
      </c>
      <c r="H130" s="8" t="str">
        <f>IF(ISERROR(VLOOKUP(A130,'SCINET-PLP'!D:D,1,0)),"N","Y")</f>
        <v>N</v>
      </c>
      <c r="I130" s="8" t="str">
        <f>IF(ISERROR(VLOOKUP(A130,FLEXPLP!D:D,1,0)),"N","Y")</f>
        <v>N</v>
      </c>
      <c r="J130" s="8" t="str">
        <f>IF(ISERROR(VLOOKUP(A130,'ELN PLP'!D:D,1,0)),"N","Y")</f>
        <v>Y</v>
      </c>
      <c r="K130" s="29">
        <f t="shared" si="4"/>
        <v>1</v>
      </c>
      <c r="L130" s="52" t="str">
        <f>IF(ISERROR(VLOOKUP(A130,RDPLP!G:G,1,0)),"N","Y")</f>
        <v>N</v>
      </c>
      <c r="M130" s="52" t="str">
        <f>IF(ISERROR(VLOOKUP(A130,'SCINET-PLP'!G:G,1,0)),"N","Y")</f>
        <v>N</v>
      </c>
      <c r="N130" s="52" t="str">
        <f>IF(ISERROR(VLOOKUP(A130,FLEXPLP!G:G,1,0)),"N","Y")</f>
        <v>N</v>
      </c>
      <c r="O130" s="52" t="str">
        <f>IF(ISERROR(VLOOKUP(A130,'ELN PLP'!G:G,1,0)),"N","Y")</f>
        <v>Y</v>
      </c>
      <c r="P130" s="53">
        <f t="shared" si="5"/>
        <v>1</v>
      </c>
      <c r="R130" s="21">
        <f>IF(K130+F130&gt;0,1,0)</f>
        <v>1</v>
      </c>
      <c r="S130" s="24">
        <f>IF(ISERROR(VLOOKUP(A130,U:U,1,0)),0,1)</f>
        <v>0</v>
      </c>
      <c r="Z130" t="s">
        <v>70</v>
      </c>
    </row>
    <row r="131" spans="1:26" x14ac:dyDescent="0.35">
      <c r="A131" s="3" t="s">
        <v>165</v>
      </c>
      <c r="B131" s="5" t="str">
        <f>IF(ISERROR(VLOOKUP(A131,RDPLP!A131:A156,1,0)),"N","Y")</f>
        <v>N</v>
      </c>
      <c r="C131" s="5" t="str">
        <f>IF(ISERROR(VLOOKUP(A131,'SCINET-PLP'!A:A,1,0)),"N","Y")</f>
        <v>N</v>
      </c>
      <c r="D131" s="5" t="str">
        <f>IF(ISERROR(VLOOKUP(A131,FLEXPLP!A:A,1,0)),"N","Y")</f>
        <v>N</v>
      </c>
      <c r="E131" s="5" t="str">
        <f>IF(ISERROR(VLOOKUP(A131,'ELN PLP'!A:A,1,0)),"N","Y")</f>
        <v>Y</v>
      </c>
      <c r="F131" s="26">
        <f t="shared" si="3"/>
        <v>1</v>
      </c>
      <c r="G131" s="8" t="str">
        <f>IF(ISERROR(VLOOKUP(A131,RDPLP!D:D,1,0)),"N","Y")</f>
        <v>N</v>
      </c>
      <c r="H131" s="8" t="str">
        <f>IF(ISERROR(VLOOKUP(A131,'SCINET-PLP'!D:D,1,0)),"N","Y")</f>
        <v>N</v>
      </c>
      <c r="I131" s="8" t="str">
        <f>IF(ISERROR(VLOOKUP(A131,FLEXPLP!D:D,1,0)),"N","Y")</f>
        <v>N</v>
      </c>
      <c r="J131" s="8" t="str">
        <f>IF(ISERROR(VLOOKUP(A131,'ELN PLP'!D:D,1,0)),"N","Y")</f>
        <v>N</v>
      </c>
      <c r="K131" s="29">
        <f t="shared" si="4"/>
        <v>0</v>
      </c>
      <c r="L131" s="52" t="str">
        <f>IF(ISERROR(VLOOKUP(A131,RDPLP!G:G,1,0)),"N","Y")</f>
        <v>N</v>
      </c>
      <c r="M131" s="52" t="str">
        <f>IF(ISERROR(VLOOKUP(A131,'SCINET-PLP'!G:G,1,0)),"N","Y")</f>
        <v>N</v>
      </c>
      <c r="N131" s="52" t="str">
        <f>IF(ISERROR(VLOOKUP(A131,FLEXPLP!G:G,1,0)),"N","Y")</f>
        <v>N</v>
      </c>
      <c r="O131" s="52" t="str">
        <f>IF(ISERROR(VLOOKUP(A131,'ELN PLP'!G:G,1,0)),"N","Y")</f>
        <v>N</v>
      </c>
      <c r="P131" s="53">
        <f t="shared" si="5"/>
        <v>0</v>
      </c>
      <c r="R131" s="21">
        <f>IF(K131+F131&gt;0,1,0)</f>
        <v>1</v>
      </c>
      <c r="S131" s="24">
        <f>IF(ISERROR(VLOOKUP(A131,U:U,1,0)),0,1)</f>
        <v>0</v>
      </c>
      <c r="Z131" t="s">
        <v>58</v>
      </c>
    </row>
    <row r="132" spans="1:26" x14ac:dyDescent="0.35">
      <c r="A132" s="3" t="s">
        <v>86</v>
      </c>
      <c r="B132" s="5" t="str">
        <f>IF(ISERROR(VLOOKUP(A132,RDPLP!A132:A157,1,0)),"N","Y")</f>
        <v>N</v>
      </c>
      <c r="C132" s="5" t="str">
        <f>IF(ISERROR(VLOOKUP(A132,'SCINET-PLP'!A:A,1,0)),"N","Y")</f>
        <v>N</v>
      </c>
      <c r="D132" s="5" t="str">
        <f>IF(ISERROR(VLOOKUP(A132,FLEXPLP!A:A,1,0)),"N","Y")</f>
        <v>N</v>
      </c>
      <c r="E132" s="5" t="str">
        <f>IF(ISERROR(VLOOKUP(A132,'ELN PLP'!A:A,1,0)),"N","Y")</f>
        <v>Y</v>
      </c>
      <c r="F132" s="26">
        <f t="shared" ref="F132:F187" si="6">IF(COUNTIF(B132:E132,"Y")&gt;0,1,0)</f>
        <v>1</v>
      </c>
      <c r="G132" s="8" t="str">
        <f>IF(ISERROR(VLOOKUP(A132,RDPLP!D:D,1,0)),"N","Y")</f>
        <v>N</v>
      </c>
      <c r="H132" s="8" t="str">
        <f>IF(ISERROR(VLOOKUP(A132,'SCINET-PLP'!D:D,1,0)),"N","Y")</f>
        <v>N</v>
      </c>
      <c r="I132" s="8" t="str">
        <f>IF(ISERROR(VLOOKUP(A132,FLEXPLP!D:D,1,0)),"N","Y")</f>
        <v>N</v>
      </c>
      <c r="J132" s="8" t="str">
        <f>IF(ISERROR(VLOOKUP(A132,'ELN PLP'!D:D,1,0)),"N","Y")</f>
        <v>Y</v>
      </c>
      <c r="K132" s="29">
        <f t="shared" ref="K132:K187" si="7">IF(COUNTIF(G132:J132,"Y")&gt;0,1,0)</f>
        <v>1</v>
      </c>
      <c r="L132" s="52" t="str">
        <f>IF(ISERROR(VLOOKUP(A132,RDPLP!G:G,1,0)),"N","Y")</f>
        <v>N</v>
      </c>
      <c r="M132" s="52" t="str">
        <f>IF(ISERROR(VLOOKUP(A132,'SCINET-PLP'!G:G,1,0)),"N","Y")</f>
        <v>N</v>
      </c>
      <c r="N132" s="52" t="str">
        <f>IF(ISERROR(VLOOKUP(A132,FLEXPLP!G:G,1,0)),"N","Y")</f>
        <v>N</v>
      </c>
      <c r="O132" s="52" t="str">
        <f>IF(ISERROR(VLOOKUP(A132,'ELN PLP'!G:G,1,0)),"N","Y")</f>
        <v>Y</v>
      </c>
      <c r="P132" s="53">
        <f t="shared" ref="P132:P195" si="8">IF(COUNTIF(L132:O132,"Y")&gt;0,1,0)</f>
        <v>1</v>
      </c>
      <c r="R132" s="21">
        <f>IF(K132+F132&gt;0,1,0)</f>
        <v>1</v>
      </c>
      <c r="S132" s="24">
        <f>IF(ISERROR(VLOOKUP(A132,U:U,1,0)),0,1)</f>
        <v>0</v>
      </c>
      <c r="Z132" t="s">
        <v>60</v>
      </c>
    </row>
    <row r="133" spans="1:26" x14ac:dyDescent="0.35">
      <c r="A133" s="3" t="s">
        <v>167</v>
      </c>
      <c r="B133" s="5" t="str">
        <f>IF(ISERROR(VLOOKUP(A133,RDPLP!A133:A158,1,0)),"N","Y")</f>
        <v>N</v>
      </c>
      <c r="C133" s="5" t="str">
        <f>IF(ISERROR(VLOOKUP(A133,'SCINET-PLP'!A:A,1,0)),"N","Y")</f>
        <v>N</v>
      </c>
      <c r="D133" s="5" t="str">
        <f>IF(ISERROR(VLOOKUP(A133,FLEXPLP!A:A,1,0)),"N","Y")</f>
        <v>N</v>
      </c>
      <c r="E133" s="5" t="str">
        <f>IF(ISERROR(VLOOKUP(A133,'ELN PLP'!A:A,1,0)),"N","Y")</f>
        <v>Y</v>
      </c>
      <c r="F133" s="26">
        <f t="shared" si="6"/>
        <v>1</v>
      </c>
      <c r="G133" s="8" t="str">
        <f>IF(ISERROR(VLOOKUP(A133,RDPLP!D:D,1,0)),"N","Y")</f>
        <v>N</v>
      </c>
      <c r="H133" s="8" t="str">
        <f>IF(ISERROR(VLOOKUP(A133,'SCINET-PLP'!D:D,1,0)),"N","Y")</f>
        <v>N</v>
      </c>
      <c r="I133" s="8" t="str">
        <f>IF(ISERROR(VLOOKUP(A133,FLEXPLP!D:D,1,0)),"N","Y")</f>
        <v>N</v>
      </c>
      <c r="J133" s="8" t="str">
        <f>IF(ISERROR(VLOOKUP(A133,'ELN PLP'!D:D,1,0)),"N","Y")</f>
        <v>N</v>
      </c>
      <c r="K133" s="29">
        <f t="shared" si="7"/>
        <v>0</v>
      </c>
      <c r="L133" s="52" t="str">
        <f>IF(ISERROR(VLOOKUP(A133,RDPLP!G:G,1,0)),"N","Y")</f>
        <v>N</v>
      </c>
      <c r="M133" s="52" t="str">
        <f>IF(ISERROR(VLOOKUP(A133,'SCINET-PLP'!G:G,1,0)),"N","Y")</f>
        <v>N</v>
      </c>
      <c r="N133" s="52" t="str">
        <f>IF(ISERROR(VLOOKUP(A133,FLEXPLP!G:G,1,0)),"N","Y")</f>
        <v>N</v>
      </c>
      <c r="O133" s="52" t="str">
        <f>IF(ISERROR(VLOOKUP(A133,'ELN PLP'!G:G,1,0)),"N","Y")</f>
        <v>N</v>
      </c>
      <c r="P133" s="53">
        <f t="shared" si="8"/>
        <v>0</v>
      </c>
      <c r="R133" s="21">
        <f>IF(K133+F133&gt;0,1,0)</f>
        <v>1</v>
      </c>
      <c r="S133" s="24">
        <f>IF(ISERROR(VLOOKUP(A133,U:U,1,0)),0,1)</f>
        <v>0</v>
      </c>
      <c r="Z133" t="s">
        <v>175</v>
      </c>
    </row>
    <row r="134" spans="1:26" x14ac:dyDescent="0.35">
      <c r="A134" s="3" t="s">
        <v>157</v>
      </c>
      <c r="B134" s="5" t="str">
        <f>IF(ISERROR(VLOOKUP(A134,RDPLP!A134:A159,1,0)),"N","Y")</f>
        <v>N</v>
      </c>
      <c r="C134" s="5" t="str">
        <f>IF(ISERROR(VLOOKUP(A134,'SCINET-PLP'!A:A,1,0)),"N","Y")</f>
        <v>N</v>
      </c>
      <c r="D134" s="5" t="str">
        <f>IF(ISERROR(VLOOKUP(A134,FLEXPLP!A:A,1,0)),"N","Y")</f>
        <v>N</v>
      </c>
      <c r="E134" s="5" t="str">
        <f>IF(ISERROR(VLOOKUP(A134,'ELN PLP'!A:A,1,0)),"N","Y")</f>
        <v>Y</v>
      </c>
      <c r="F134" s="26">
        <f t="shared" si="6"/>
        <v>1</v>
      </c>
      <c r="G134" s="8" t="str">
        <f>IF(ISERROR(VLOOKUP(A134,RDPLP!D:D,1,0)),"N","Y")</f>
        <v>N</v>
      </c>
      <c r="H134" s="8" t="str">
        <f>IF(ISERROR(VLOOKUP(A134,'SCINET-PLP'!D:D,1,0)),"N","Y")</f>
        <v>N</v>
      </c>
      <c r="I134" s="8" t="str">
        <f>IF(ISERROR(VLOOKUP(A134,FLEXPLP!D:D,1,0)),"N","Y")</f>
        <v>N</v>
      </c>
      <c r="J134" s="8" t="str">
        <f>IF(ISERROR(VLOOKUP(A134,'ELN PLP'!D:D,1,0)),"N","Y")</f>
        <v>Y</v>
      </c>
      <c r="K134" s="29">
        <f t="shared" si="7"/>
        <v>1</v>
      </c>
      <c r="L134" s="52" t="str">
        <f>IF(ISERROR(VLOOKUP(A134,RDPLP!G:G,1,0)),"N","Y")</f>
        <v>N</v>
      </c>
      <c r="M134" s="52" t="str">
        <f>IF(ISERROR(VLOOKUP(A134,'SCINET-PLP'!G:G,1,0)),"N","Y")</f>
        <v>N</v>
      </c>
      <c r="N134" s="52" t="str">
        <f>IF(ISERROR(VLOOKUP(A134,FLEXPLP!G:G,1,0)),"N","Y")</f>
        <v>N</v>
      </c>
      <c r="O134" s="52" t="str">
        <f>IF(ISERROR(VLOOKUP(A134,'ELN PLP'!G:G,1,0)),"N","Y")</f>
        <v>Y</v>
      </c>
      <c r="P134" s="53">
        <f t="shared" si="8"/>
        <v>1</v>
      </c>
      <c r="R134" s="21">
        <f>IF(K134+F134&gt;0,1,0)</f>
        <v>1</v>
      </c>
      <c r="S134" s="24">
        <f>IF(ISERROR(VLOOKUP(A134,U:U,1,0)),0,1)</f>
        <v>0</v>
      </c>
      <c r="Z134" s="16" t="s">
        <v>1837</v>
      </c>
    </row>
    <row r="135" spans="1:26" x14ac:dyDescent="0.35">
      <c r="A135" s="3" t="s">
        <v>170</v>
      </c>
      <c r="B135" s="5" t="str">
        <f>IF(ISERROR(VLOOKUP(A135,RDPLP!A135:A160,1,0)),"N","Y")</f>
        <v>N</v>
      </c>
      <c r="C135" s="5" t="str">
        <f>IF(ISERROR(VLOOKUP(A135,'SCINET-PLP'!A:A,1,0)),"N","Y")</f>
        <v>N</v>
      </c>
      <c r="D135" s="5" t="str">
        <f>IF(ISERROR(VLOOKUP(A135,FLEXPLP!A:A,1,0)),"N","Y")</f>
        <v>N</v>
      </c>
      <c r="E135" s="5" t="str">
        <f>IF(ISERROR(VLOOKUP(A135,'ELN PLP'!A:A,1,0)),"N","Y")</f>
        <v>Y</v>
      </c>
      <c r="F135" s="26">
        <f t="shared" si="6"/>
        <v>1</v>
      </c>
      <c r="G135" s="8" t="str">
        <f>IF(ISERROR(VLOOKUP(A135,RDPLP!D:D,1,0)),"N","Y")</f>
        <v>N</v>
      </c>
      <c r="H135" s="8" t="str">
        <f>IF(ISERROR(VLOOKUP(A135,'SCINET-PLP'!D:D,1,0)),"N","Y")</f>
        <v>N</v>
      </c>
      <c r="I135" s="8" t="str">
        <f>IF(ISERROR(VLOOKUP(A135,FLEXPLP!D:D,1,0)),"N","Y")</f>
        <v>N</v>
      </c>
      <c r="J135" s="8" t="str">
        <f>IF(ISERROR(VLOOKUP(A135,'ELN PLP'!D:D,1,0)),"N","Y")</f>
        <v>N</v>
      </c>
      <c r="K135" s="29">
        <f t="shared" si="7"/>
        <v>0</v>
      </c>
      <c r="L135" s="52" t="str">
        <f>IF(ISERROR(VLOOKUP(A135,RDPLP!G:G,1,0)),"N","Y")</f>
        <v>N</v>
      </c>
      <c r="M135" s="52" t="str">
        <f>IF(ISERROR(VLOOKUP(A135,'SCINET-PLP'!G:G,1,0)),"N","Y")</f>
        <v>N</v>
      </c>
      <c r="N135" s="52" t="str">
        <f>IF(ISERROR(VLOOKUP(A135,FLEXPLP!G:G,1,0)),"N","Y")</f>
        <v>N</v>
      </c>
      <c r="O135" s="52" t="str">
        <f>IF(ISERROR(VLOOKUP(A135,'ELN PLP'!G:G,1,0)),"N","Y")</f>
        <v>N</v>
      </c>
      <c r="P135" s="53">
        <f t="shared" si="8"/>
        <v>0</v>
      </c>
      <c r="R135" s="21">
        <f>IF(K135+F135&gt;0,1,0)</f>
        <v>1</v>
      </c>
      <c r="S135" s="24">
        <f>IF(ISERROR(VLOOKUP(A135,U:U,1,0)),0,1)</f>
        <v>0</v>
      </c>
      <c r="Z135" s="16" t="s">
        <v>1840</v>
      </c>
    </row>
    <row r="136" spans="1:26" x14ac:dyDescent="0.35">
      <c r="A136" s="3" t="s">
        <v>128</v>
      </c>
      <c r="B136" s="5" t="str">
        <f>IF(ISERROR(VLOOKUP(A136,RDPLP!A136:A161,1,0)),"N","Y")</f>
        <v>N</v>
      </c>
      <c r="C136" s="5" t="str">
        <f>IF(ISERROR(VLOOKUP(A136,'SCINET-PLP'!A:A,1,0)),"N","Y")</f>
        <v>N</v>
      </c>
      <c r="D136" s="5" t="str">
        <f>IF(ISERROR(VLOOKUP(A136,FLEXPLP!A:A,1,0)),"N","Y")</f>
        <v>N</v>
      </c>
      <c r="E136" s="5" t="str">
        <f>IF(ISERROR(VLOOKUP(A136,'ELN PLP'!A:A,1,0)),"N","Y")</f>
        <v>Y</v>
      </c>
      <c r="F136" s="26">
        <f t="shared" si="6"/>
        <v>1</v>
      </c>
      <c r="G136" s="8" t="str">
        <f>IF(ISERROR(VLOOKUP(A136,RDPLP!D:D,1,0)),"N","Y")</f>
        <v>N</v>
      </c>
      <c r="H136" s="8" t="str">
        <f>IF(ISERROR(VLOOKUP(A136,'SCINET-PLP'!D:D,1,0)),"N","Y")</f>
        <v>N</v>
      </c>
      <c r="I136" s="8" t="str">
        <f>IF(ISERROR(VLOOKUP(A136,FLEXPLP!D:D,1,0)),"N","Y")</f>
        <v>N</v>
      </c>
      <c r="J136" s="8" t="str">
        <f>IF(ISERROR(VLOOKUP(A136,'ELN PLP'!D:D,1,0)),"N","Y")</f>
        <v>Y</v>
      </c>
      <c r="K136" s="29">
        <f t="shared" si="7"/>
        <v>1</v>
      </c>
      <c r="L136" s="52" t="str">
        <f>IF(ISERROR(VLOOKUP(A136,RDPLP!G:G,1,0)),"N","Y")</f>
        <v>N</v>
      </c>
      <c r="M136" s="52" t="str">
        <f>IF(ISERROR(VLOOKUP(A136,'SCINET-PLP'!G:G,1,0)),"N","Y")</f>
        <v>N</v>
      </c>
      <c r="N136" s="52" t="str">
        <f>IF(ISERROR(VLOOKUP(A136,FLEXPLP!G:G,1,0)),"N","Y")</f>
        <v>N</v>
      </c>
      <c r="O136" s="52" t="str">
        <f>IF(ISERROR(VLOOKUP(A136,'ELN PLP'!G:G,1,0)),"N","Y")</f>
        <v>N</v>
      </c>
      <c r="P136" s="53">
        <f t="shared" si="8"/>
        <v>0</v>
      </c>
      <c r="R136" s="21">
        <f>IF(K136+F136&gt;0,1,0)</f>
        <v>1</v>
      </c>
      <c r="S136" s="24">
        <f>IF(ISERROR(VLOOKUP(A136,U:U,1,0)),0,1)</f>
        <v>0</v>
      </c>
      <c r="Z136" s="16" t="s">
        <v>1842</v>
      </c>
    </row>
    <row r="137" spans="1:26" x14ac:dyDescent="0.35">
      <c r="A137" s="3" t="s">
        <v>173</v>
      </c>
      <c r="B137" s="5" t="str">
        <f>IF(ISERROR(VLOOKUP(A137,RDPLP!A137:A162,1,0)),"N","Y")</f>
        <v>N</v>
      </c>
      <c r="C137" s="5" t="str">
        <f>IF(ISERROR(VLOOKUP(A137,'SCINET-PLP'!A:A,1,0)),"N","Y")</f>
        <v>N</v>
      </c>
      <c r="D137" s="5" t="str">
        <f>IF(ISERROR(VLOOKUP(A137,FLEXPLP!A:A,1,0)),"N","Y")</f>
        <v>N</v>
      </c>
      <c r="E137" s="5" t="str">
        <f>IF(ISERROR(VLOOKUP(A137,'ELN PLP'!A:A,1,0)),"N","Y")</f>
        <v>Y</v>
      </c>
      <c r="F137" s="26">
        <f t="shared" si="6"/>
        <v>1</v>
      </c>
      <c r="G137" s="8" t="str">
        <f>IF(ISERROR(VLOOKUP(A137,RDPLP!D:D,1,0)),"N","Y")</f>
        <v>N</v>
      </c>
      <c r="H137" s="8" t="str">
        <f>IF(ISERROR(VLOOKUP(A137,'SCINET-PLP'!D:D,1,0)),"N","Y")</f>
        <v>N</v>
      </c>
      <c r="I137" s="8" t="str">
        <f>IF(ISERROR(VLOOKUP(A137,FLEXPLP!D:D,1,0)),"N","Y")</f>
        <v>N</v>
      </c>
      <c r="J137" s="8" t="str">
        <f>IF(ISERROR(VLOOKUP(A137,'ELN PLP'!D:D,1,0)),"N","Y")</f>
        <v>N</v>
      </c>
      <c r="K137" s="29">
        <f t="shared" si="7"/>
        <v>0</v>
      </c>
      <c r="L137" s="52" t="str">
        <f>IF(ISERROR(VLOOKUP(A137,RDPLP!G:G,1,0)),"N","Y")</f>
        <v>N</v>
      </c>
      <c r="M137" s="52" t="str">
        <f>IF(ISERROR(VLOOKUP(A137,'SCINET-PLP'!G:G,1,0)),"N","Y")</f>
        <v>N</v>
      </c>
      <c r="N137" s="52" t="str">
        <f>IF(ISERROR(VLOOKUP(A137,FLEXPLP!G:G,1,0)),"N","Y")</f>
        <v>N</v>
      </c>
      <c r="O137" s="52" t="str">
        <f>IF(ISERROR(VLOOKUP(A137,'ELN PLP'!G:G,1,0)),"N","Y")</f>
        <v>N</v>
      </c>
      <c r="P137" s="53">
        <f t="shared" si="8"/>
        <v>0</v>
      </c>
      <c r="R137" s="21">
        <f>IF(K137+F137&gt;0,1,0)</f>
        <v>1</v>
      </c>
      <c r="S137" s="24">
        <f>IF(ISERROR(VLOOKUP(A137,U:U,1,0)),0,1)</f>
        <v>0</v>
      </c>
      <c r="Z137" s="16" t="s">
        <v>1845</v>
      </c>
    </row>
    <row r="138" spans="1:26" x14ac:dyDescent="0.35">
      <c r="A138" s="3" t="s">
        <v>175</v>
      </c>
      <c r="B138" s="5" t="str">
        <f>IF(ISERROR(VLOOKUP(A138,RDPLP!A138:A163,1,0)),"N","Y")</f>
        <v>N</v>
      </c>
      <c r="C138" s="5" t="str">
        <f>IF(ISERROR(VLOOKUP(A138,'SCINET-PLP'!A:A,1,0)),"N","Y")</f>
        <v>N</v>
      </c>
      <c r="D138" s="5" t="str">
        <f>IF(ISERROR(VLOOKUP(A138,FLEXPLP!A:A,1,0)),"N","Y")</f>
        <v>N</v>
      </c>
      <c r="E138" s="5" t="str">
        <f>IF(ISERROR(VLOOKUP(A138,'ELN PLP'!A:A,1,0)),"N","Y")</f>
        <v>Y</v>
      </c>
      <c r="F138" s="26">
        <f t="shared" si="6"/>
        <v>1</v>
      </c>
      <c r="G138" s="8" t="str">
        <f>IF(ISERROR(VLOOKUP(A138,RDPLP!D:D,1,0)),"N","Y")</f>
        <v>N</v>
      </c>
      <c r="H138" s="8" t="str">
        <f>IF(ISERROR(VLOOKUP(A138,'SCINET-PLP'!D:D,1,0)),"N","Y")</f>
        <v>N</v>
      </c>
      <c r="I138" s="8" t="str">
        <f>IF(ISERROR(VLOOKUP(A138,FLEXPLP!D:D,1,0)),"N","Y")</f>
        <v>N</v>
      </c>
      <c r="J138" s="8" t="str">
        <f>IF(ISERROR(VLOOKUP(A138,'ELN PLP'!D:D,1,0)),"N","Y")</f>
        <v>N</v>
      </c>
      <c r="K138" s="29">
        <f t="shared" si="7"/>
        <v>0</v>
      </c>
      <c r="L138" s="52" t="str">
        <f>IF(ISERROR(VLOOKUP(A138,RDPLP!G:G,1,0)),"N","Y")</f>
        <v>N</v>
      </c>
      <c r="M138" s="52" t="str">
        <f>IF(ISERROR(VLOOKUP(A138,'SCINET-PLP'!G:G,1,0)),"N","Y")</f>
        <v>N</v>
      </c>
      <c r="N138" s="52" t="str">
        <f>IF(ISERROR(VLOOKUP(A138,FLEXPLP!G:G,1,0)),"N","Y")</f>
        <v>N</v>
      </c>
      <c r="O138" s="52" t="str">
        <f>IF(ISERROR(VLOOKUP(A138,'ELN PLP'!G:G,1,0)),"N","Y")</f>
        <v>N</v>
      </c>
      <c r="P138" s="53">
        <f t="shared" si="8"/>
        <v>0</v>
      </c>
      <c r="R138" s="21">
        <f>IF(K138+F138&gt;0,1,0)</f>
        <v>1</v>
      </c>
      <c r="S138" s="24">
        <f>IF(ISERROR(VLOOKUP(A138,U:U,1,0)),0,1)</f>
        <v>0</v>
      </c>
      <c r="Z138" s="16" t="s">
        <v>1848</v>
      </c>
    </row>
    <row r="139" spans="1:26" x14ac:dyDescent="0.35">
      <c r="A139" s="3" t="s">
        <v>176</v>
      </c>
      <c r="B139" s="5" t="str">
        <f>IF(ISERROR(VLOOKUP(A139,RDPLP!A139:A164,1,0)),"N","Y")</f>
        <v>N</v>
      </c>
      <c r="C139" s="5" t="str">
        <f>IF(ISERROR(VLOOKUP(A139,'SCINET-PLP'!A:A,1,0)),"N","Y")</f>
        <v>N</v>
      </c>
      <c r="D139" s="5" t="str">
        <f>IF(ISERROR(VLOOKUP(A139,FLEXPLP!A:A,1,0)),"N","Y")</f>
        <v>N</v>
      </c>
      <c r="E139" s="5" t="str">
        <f>IF(ISERROR(VLOOKUP(A139,'ELN PLP'!A:A,1,0)),"N","Y")</f>
        <v>Y</v>
      </c>
      <c r="F139" s="26">
        <f t="shared" si="6"/>
        <v>1</v>
      </c>
      <c r="G139" s="8" t="str">
        <f>IF(ISERROR(VLOOKUP(A139,RDPLP!D:D,1,0)),"N","Y")</f>
        <v>N</v>
      </c>
      <c r="H139" s="8" t="str">
        <f>IF(ISERROR(VLOOKUP(A139,'SCINET-PLP'!D:D,1,0)),"N","Y")</f>
        <v>N</v>
      </c>
      <c r="I139" s="8" t="str">
        <f>IF(ISERROR(VLOOKUP(A139,FLEXPLP!D:D,1,0)),"N","Y")</f>
        <v>N</v>
      </c>
      <c r="J139" s="8" t="str">
        <f>IF(ISERROR(VLOOKUP(A139,'ELN PLP'!D:D,1,0)),"N","Y")</f>
        <v>N</v>
      </c>
      <c r="K139" s="29">
        <f t="shared" si="7"/>
        <v>0</v>
      </c>
      <c r="L139" s="52" t="str">
        <f>IF(ISERROR(VLOOKUP(A139,RDPLP!G:G,1,0)),"N","Y")</f>
        <v>N</v>
      </c>
      <c r="M139" s="52" t="str">
        <f>IF(ISERROR(VLOOKUP(A139,'SCINET-PLP'!G:G,1,0)),"N","Y")</f>
        <v>N</v>
      </c>
      <c r="N139" s="52" t="str">
        <f>IF(ISERROR(VLOOKUP(A139,FLEXPLP!G:G,1,0)),"N","Y")</f>
        <v>N</v>
      </c>
      <c r="O139" s="52" t="str">
        <f>IF(ISERROR(VLOOKUP(A139,'ELN PLP'!G:G,1,0)),"N","Y")</f>
        <v>N</v>
      </c>
      <c r="P139" s="53">
        <f t="shared" si="8"/>
        <v>0</v>
      </c>
      <c r="R139" s="21">
        <f>IF(K139+F139&gt;0,1,0)</f>
        <v>1</v>
      </c>
      <c r="S139" s="24">
        <f>IF(ISERROR(VLOOKUP(A139,U:U,1,0)),0,1)</f>
        <v>0</v>
      </c>
      <c r="Z139" s="16" t="s">
        <v>1849</v>
      </c>
    </row>
    <row r="140" spans="1:26" x14ac:dyDescent="0.35">
      <c r="A140" s="3" t="s">
        <v>130</v>
      </c>
      <c r="B140" s="5" t="str">
        <f>IF(ISERROR(VLOOKUP(A140,RDPLP!A140:A165,1,0)),"N","Y")</f>
        <v>N</v>
      </c>
      <c r="C140" s="5" t="str">
        <f>IF(ISERROR(VLOOKUP(A140,'SCINET-PLP'!A:A,1,0)),"N","Y")</f>
        <v>N</v>
      </c>
      <c r="D140" s="5" t="str">
        <f>IF(ISERROR(VLOOKUP(A140,FLEXPLP!A:A,1,0)),"N","Y")</f>
        <v>N</v>
      </c>
      <c r="E140" s="5" t="str">
        <f>IF(ISERROR(VLOOKUP(A140,'ELN PLP'!A:A,1,0)),"N","Y")</f>
        <v>Y</v>
      </c>
      <c r="F140" s="26">
        <f t="shared" si="6"/>
        <v>1</v>
      </c>
      <c r="G140" s="8" t="str">
        <f>IF(ISERROR(VLOOKUP(A140,RDPLP!D:D,1,0)),"N","Y")</f>
        <v>N</v>
      </c>
      <c r="H140" s="8" t="str">
        <f>IF(ISERROR(VLOOKUP(A140,'SCINET-PLP'!D:D,1,0)),"N","Y")</f>
        <v>N</v>
      </c>
      <c r="I140" s="8" t="str">
        <f>IF(ISERROR(VLOOKUP(A140,FLEXPLP!D:D,1,0)),"N","Y")</f>
        <v>N</v>
      </c>
      <c r="J140" s="8" t="str">
        <f>IF(ISERROR(VLOOKUP(A140,'ELN PLP'!D:D,1,0)),"N","Y")</f>
        <v>Y</v>
      </c>
      <c r="K140" s="29">
        <f t="shared" si="7"/>
        <v>1</v>
      </c>
      <c r="L140" s="52" t="str">
        <f>IF(ISERROR(VLOOKUP(A140,RDPLP!G:G,1,0)),"N","Y")</f>
        <v>N</v>
      </c>
      <c r="M140" s="52" t="str">
        <f>IF(ISERROR(VLOOKUP(A140,'SCINET-PLP'!G:G,1,0)),"N","Y")</f>
        <v>N</v>
      </c>
      <c r="N140" s="52" t="str">
        <f>IF(ISERROR(VLOOKUP(A140,FLEXPLP!G:G,1,0)),"N","Y")</f>
        <v>N</v>
      </c>
      <c r="O140" s="52" t="str">
        <f>IF(ISERROR(VLOOKUP(A140,'ELN PLP'!G:G,1,0)),"N","Y")</f>
        <v>N</v>
      </c>
      <c r="P140" s="53">
        <f t="shared" si="8"/>
        <v>0</v>
      </c>
      <c r="R140" s="21">
        <f>IF(K140+F140&gt;0,1,0)</f>
        <v>1</v>
      </c>
      <c r="S140" s="24">
        <f>IF(ISERROR(VLOOKUP(A140,U:U,1,0)),0,1)</f>
        <v>0</v>
      </c>
      <c r="Z140" s="16" t="s">
        <v>1852</v>
      </c>
    </row>
    <row r="141" spans="1:26" x14ac:dyDescent="0.35">
      <c r="A141" s="3" t="s">
        <v>178</v>
      </c>
      <c r="B141" s="5" t="str">
        <f>IF(ISERROR(VLOOKUP(A141,RDPLP!A141:A166,1,0)),"N","Y")</f>
        <v>N</v>
      </c>
      <c r="C141" s="5" t="str">
        <f>IF(ISERROR(VLOOKUP(A141,'SCINET-PLP'!A:A,1,0)),"N","Y")</f>
        <v>N</v>
      </c>
      <c r="D141" s="5" t="str">
        <f>IF(ISERROR(VLOOKUP(A141,FLEXPLP!A:A,1,0)),"N","Y")</f>
        <v>N</v>
      </c>
      <c r="E141" s="5" t="str">
        <f>IF(ISERROR(VLOOKUP(A141,'ELN PLP'!A:A,1,0)),"N","Y")</f>
        <v>Y</v>
      </c>
      <c r="F141" s="26">
        <f t="shared" si="6"/>
        <v>1</v>
      </c>
      <c r="G141" s="8" t="str">
        <f>IF(ISERROR(VLOOKUP(A141,RDPLP!D:D,1,0)),"N","Y")</f>
        <v>N</v>
      </c>
      <c r="H141" s="8" t="str">
        <f>IF(ISERROR(VLOOKUP(A141,'SCINET-PLP'!D:D,1,0)),"N","Y")</f>
        <v>N</v>
      </c>
      <c r="I141" s="8" t="str">
        <f>IF(ISERROR(VLOOKUP(A141,FLEXPLP!D:D,1,0)),"N","Y")</f>
        <v>N</v>
      </c>
      <c r="J141" s="8" t="str">
        <f>IF(ISERROR(VLOOKUP(A141,'ELN PLP'!D:D,1,0)),"N","Y")</f>
        <v>N</v>
      </c>
      <c r="K141" s="29">
        <f t="shared" si="7"/>
        <v>0</v>
      </c>
      <c r="L141" s="52" t="str">
        <f>IF(ISERROR(VLOOKUP(A141,RDPLP!G:G,1,0)),"N","Y")</f>
        <v>N</v>
      </c>
      <c r="M141" s="52" t="str">
        <f>IF(ISERROR(VLOOKUP(A141,'SCINET-PLP'!G:G,1,0)),"N","Y")</f>
        <v>N</v>
      </c>
      <c r="N141" s="52" t="str">
        <f>IF(ISERROR(VLOOKUP(A141,FLEXPLP!G:G,1,0)),"N","Y")</f>
        <v>N</v>
      </c>
      <c r="O141" s="52" t="str">
        <f>IF(ISERROR(VLOOKUP(A141,'ELN PLP'!G:G,1,0)),"N","Y")</f>
        <v>N</v>
      </c>
      <c r="P141" s="53">
        <f t="shared" si="8"/>
        <v>0</v>
      </c>
      <c r="R141" s="21">
        <f>IF(K141+F141&gt;0,1,0)</f>
        <v>1</v>
      </c>
      <c r="S141" s="24">
        <f>IF(ISERROR(VLOOKUP(A141,U:U,1,0)),0,1)</f>
        <v>0</v>
      </c>
      <c r="Z141" s="16" t="s">
        <v>1855</v>
      </c>
    </row>
    <row r="142" spans="1:26" x14ac:dyDescent="0.35">
      <c r="A142" s="3" t="s">
        <v>179</v>
      </c>
      <c r="B142" s="5" t="str">
        <f>IF(ISERROR(VLOOKUP(A142,RDPLP!A142:A167,1,0)),"N","Y")</f>
        <v>N</v>
      </c>
      <c r="C142" s="5" t="str">
        <f>IF(ISERROR(VLOOKUP(A142,'SCINET-PLP'!A:A,1,0)),"N","Y")</f>
        <v>N</v>
      </c>
      <c r="D142" s="5" t="str">
        <f>IF(ISERROR(VLOOKUP(A142,FLEXPLP!A:A,1,0)),"N","Y")</f>
        <v>N</v>
      </c>
      <c r="E142" s="5" t="str">
        <f>IF(ISERROR(VLOOKUP(A142,'ELN PLP'!A:A,1,0)),"N","Y")</f>
        <v>Y</v>
      </c>
      <c r="F142" s="26">
        <f t="shared" si="6"/>
        <v>1</v>
      </c>
      <c r="G142" s="8" t="str">
        <f>IF(ISERROR(VLOOKUP(A142,RDPLP!D:D,1,0)),"N","Y")</f>
        <v>N</v>
      </c>
      <c r="H142" s="8" t="str">
        <f>IF(ISERROR(VLOOKUP(A142,'SCINET-PLP'!D:D,1,0)),"N","Y")</f>
        <v>N</v>
      </c>
      <c r="I142" s="8" t="str">
        <f>IF(ISERROR(VLOOKUP(A142,FLEXPLP!D:D,1,0)),"N","Y")</f>
        <v>N</v>
      </c>
      <c r="J142" s="8" t="str">
        <f>IF(ISERROR(VLOOKUP(A142,'ELN PLP'!D:D,1,0)),"N","Y")</f>
        <v>N</v>
      </c>
      <c r="K142" s="29">
        <f t="shared" si="7"/>
        <v>0</v>
      </c>
      <c r="L142" s="52" t="str">
        <f>IF(ISERROR(VLOOKUP(A142,RDPLP!G:G,1,0)),"N","Y")</f>
        <v>N</v>
      </c>
      <c r="M142" s="52" t="str">
        <f>IF(ISERROR(VLOOKUP(A142,'SCINET-PLP'!G:G,1,0)),"N","Y")</f>
        <v>Y</v>
      </c>
      <c r="N142" s="52" t="str">
        <f>IF(ISERROR(VLOOKUP(A142,FLEXPLP!G:G,1,0)),"N","Y")</f>
        <v>N</v>
      </c>
      <c r="O142" s="52" t="str">
        <f>IF(ISERROR(VLOOKUP(A142,'ELN PLP'!G:G,1,0)),"N","Y")</f>
        <v>N</v>
      </c>
      <c r="P142" s="53">
        <f t="shared" si="8"/>
        <v>1</v>
      </c>
      <c r="R142" s="21">
        <f>IF(K142+F142&gt;0,1,0)</f>
        <v>1</v>
      </c>
      <c r="S142" s="24">
        <f>IF(ISERROR(VLOOKUP(A142,U:U,1,0)),0,1)</f>
        <v>0</v>
      </c>
      <c r="Z142" s="16" t="s">
        <v>1857</v>
      </c>
    </row>
    <row r="143" spans="1:26" x14ac:dyDescent="0.35">
      <c r="A143" s="3" t="s">
        <v>180</v>
      </c>
      <c r="B143" s="5" t="str">
        <f>IF(ISERROR(VLOOKUP(A143,RDPLP!A143:A168,1,0)),"N","Y")</f>
        <v>N</v>
      </c>
      <c r="C143" s="5" t="str">
        <f>IF(ISERROR(VLOOKUP(A143,'SCINET-PLP'!A:A,1,0)),"N","Y")</f>
        <v>N</v>
      </c>
      <c r="D143" s="5" t="str">
        <f>IF(ISERROR(VLOOKUP(A143,FLEXPLP!A:A,1,0)),"N","Y")</f>
        <v>N</v>
      </c>
      <c r="E143" s="5" t="str">
        <f>IF(ISERROR(VLOOKUP(A143,'ELN PLP'!A:A,1,0)),"N","Y")</f>
        <v>Y</v>
      </c>
      <c r="F143" s="26">
        <f t="shared" si="6"/>
        <v>1</v>
      </c>
      <c r="G143" s="8" t="str">
        <f>IF(ISERROR(VLOOKUP(A143,RDPLP!D:D,1,0)),"N","Y")</f>
        <v>N</v>
      </c>
      <c r="H143" s="8" t="str">
        <f>IF(ISERROR(VLOOKUP(A143,'SCINET-PLP'!D:D,1,0)),"N","Y")</f>
        <v>N</v>
      </c>
      <c r="I143" s="8" t="str">
        <f>IF(ISERROR(VLOOKUP(A143,FLEXPLP!D:D,1,0)),"N","Y")</f>
        <v>N</v>
      </c>
      <c r="J143" s="8" t="str">
        <f>IF(ISERROR(VLOOKUP(A143,'ELN PLP'!D:D,1,0)),"N","Y")</f>
        <v>N</v>
      </c>
      <c r="K143" s="29">
        <f t="shared" si="7"/>
        <v>0</v>
      </c>
      <c r="L143" s="52" t="str">
        <f>IF(ISERROR(VLOOKUP(A143,RDPLP!G:G,1,0)),"N","Y")</f>
        <v>N</v>
      </c>
      <c r="M143" s="52" t="str">
        <f>IF(ISERROR(VLOOKUP(A143,'SCINET-PLP'!G:G,1,0)),"N","Y")</f>
        <v>N</v>
      </c>
      <c r="N143" s="52" t="str">
        <f>IF(ISERROR(VLOOKUP(A143,FLEXPLP!G:G,1,0)),"N","Y")</f>
        <v>N</v>
      </c>
      <c r="O143" s="52" t="str">
        <f>IF(ISERROR(VLOOKUP(A143,'ELN PLP'!G:G,1,0)),"N","Y")</f>
        <v>Y</v>
      </c>
      <c r="P143" s="53">
        <f t="shared" si="8"/>
        <v>1</v>
      </c>
      <c r="R143" s="21">
        <f>IF(K143+F143&gt;0,1,0)</f>
        <v>1</v>
      </c>
      <c r="S143" s="24">
        <f>IF(ISERROR(VLOOKUP(A143,U:U,1,0)),0,1)</f>
        <v>0</v>
      </c>
      <c r="Z143" s="16" t="s">
        <v>1860</v>
      </c>
    </row>
    <row r="144" spans="1:26" x14ac:dyDescent="0.35">
      <c r="A144" s="3" t="s">
        <v>181</v>
      </c>
      <c r="B144" s="5" t="str">
        <f>IF(ISERROR(VLOOKUP(A144,RDPLP!A144:A169,1,0)),"N","Y")</f>
        <v>N</v>
      </c>
      <c r="C144" s="5" t="str">
        <f>IF(ISERROR(VLOOKUP(A144,'SCINET-PLP'!A:A,1,0)),"N","Y")</f>
        <v>N</v>
      </c>
      <c r="D144" s="5" t="str">
        <f>IF(ISERROR(VLOOKUP(A144,FLEXPLP!A:A,1,0)),"N","Y")</f>
        <v>N</v>
      </c>
      <c r="E144" s="5" t="str">
        <f>IF(ISERROR(VLOOKUP(A144,'ELN PLP'!A:A,1,0)),"N","Y")</f>
        <v>Y</v>
      </c>
      <c r="F144" s="26">
        <f t="shared" si="6"/>
        <v>1</v>
      </c>
      <c r="G144" s="8" t="str">
        <f>IF(ISERROR(VLOOKUP(A144,RDPLP!D:D,1,0)),"N","Y")</f>
        <v>N</v>
      </c>
      <c r="H144" s="8" t="str">
        <f>IF(ISERROR(VLOOKUP(A144,'SCINET-PLP'!D:D,1,0)),"N","Y")</f>
        <v>N</v>
      </c>
      <c r="I144" s="8" t="str">
        <f>IF(ISERROR(VLOOKUP(A144,FLEXPLP!D:D,1,0)),"N","Y")</f>
        <v>N</v>
      </c>
      <c r="J144" s="8" t="str">
        <f>IF(ISERROR(VLOOKUP(A144,'ELN PLP'!D:D,1,0)),"N","Y")</f>
        <v>N</v>
      </c>
      <c r="K144" s="29">
        <f t="shared" si="7"/>
        <v>0</v>
      </c>
      <c r="L144" s="52" t="str">
        <f>IF(ISERROR(VLOOKUP(A144,RDPLP!G:G,1,0)),"N","Y")</f>
        <v>N</v>
      </c>
      <c r="M144" s="52" t="str">
        <f>IF(ISERROR(VLOOKUP(A144,'SCINET-PLP'!G:G,1,0)),"N","Y")</f>
        <v>N</v>
      </c>
      <c r="N144" s="52" t="str">
        <f>IF(ISERROR(VLOOKUP(A144,FLEXPLP!G:G,1,0)),"N","Y")</f>
        <v>N</v>
      </c>
      <c r="O144" s="52" t="str">
        <f>IF(ISERROR(VLOOKUP(A144,'ELN PLP'!G:G,1,0)),"N","Y")</f>
        <v>N</v>
      </c>
      <c r="P144" s="53">
        <f t="shared" si="8"/>
        <v>0</v>
      </c>
      <c r="R144" s="21">
        <f>IF(K144+F144&gt;0,1,0)</f>
        <v>1</v>
      </c>
      <c r="S144" s="24">
        <f>IF(ISERROR(VLOOKUP(A144,U:U,1,0)),0,1)</f>
        <v>0</v>
      </c>
      <c r="Z144" s="16" t="s">
        <v>1863</v>
      </c>
    </row>
    <row r="145" spans="1:26" x14ac:dyDescent="0.35">
      <c r="A145" s="3" t="s">
        <v>182</v>
      </c>
      <c r="B145" s="5" t="str">
        <f>IF(ISERROR(VLOOKUP(A145,RDPLP!A145:A170,1,0)),"N","Y")</f>
        <v>N</v>
      </c>
      <c r="C145" s="5" t="str">
        <f>IF(ISERROR(VLOOKUP(A145,'SCINET-PLP'!A:A,1,0)),"N","Y")</f>
        <v>N</v>
      </c>
      <c r="D145" s="5" t="str">
        <f>IF(ISERROR(VLOOKUP(A145,FLEXPLP!A:A,1,0)),"N","Y")</f>
        <v>N</v>
      </c>
      <c r="E145" s="5" t="str">
        <f>IF(ISERROR(VLOOKUP(A145,'ELN PLP'!A:A,1,0)),"N","Y")</f>
        <v>Y</v>
      </c>
      <c r="F145" s="26">
        <f t="shared" si="6"/>
        <v>1</v>
      </c>
      <c r="G145" s="8" t="str">
        <f>IF(ISERROR(VLOOKUP(A145,RDPLP!D:D,1,0)),"N","Y")</f>
        <v>N</v>
      </c>
      <c r="H145" s="8" t="str">
        <f>IF(ISERROR(VLOOKUP(A145,'SCINET-PLP'!D:D,1,0)),"N","Y")</f>
        <v>N</v>
      </c>
      <c r="I145" s="8" t="str">
        <f>IF(ISERROR(VLOOKUP(A145,FLEXPLP!D:D,1,0)),"N","Y")</f>
        <v>N</v>
      </c>
      <c r="J145" s="8" t="str">
        <f>IF(ISERROR(VLOOKUP(A145,'ELN PLP'!D:D,1,0)),"N","Y")</f>
        <v>N</v>
      </c>
      <c r="K145" s="29">
        <f t="shared" si="7"/>
        <v>0</v>
      </c>
      <c r="L145" s="52" t="str">
        <f>IF(ISERROR(VLOOKUP(A145,RDPLP!G:G,1,0)),"N","Y")</f>
        <v>N</v>
      </c>
      <c r="M145" s="52" t="str">
        <f>IF(ISERROR(VLOOKUP(A145,'SCINET-PLP'!G:G,1,0)),"N","Y")</f>
        <v>N</v>
      </c>
      <c r="N145" s="52" t="str">
        <f>IF(ISERROR(VLOOKUP(A145,FLEXPLP!G:G,1,0)),"N","Y")</f>
        <v>N</v>
      </c>
      <c r="O145" s="52" t="str">
        <f>IF(ISERROR(VLOOKUP(A145,'ELN PLP'!G:G,1,0)),"N","Y")</f>
        <v>N</v>
      </c>
      <c r="P145" s="53">
        <f t="shared" si="8"/>
        <v>0</v>
      </c>
      <c r="R145" s="21">
        <f>IF(K145+F145&gt;0,1,0)</f>
        <v>1</v>
      </c>
      <c r="S145" s="24">
        <f>IF(ISERROR(VLOOKUP(A145,U:U,1,0)),0,1)</f>
        <v>0</v>
      </c>
      <c r="Z145" s="16" t="s">
        <v>1865</v>
      </c>
    </row>
    <row r="146" spans="1:26" x14ac:dyDescent="0.35">
      <c r="A146" s="3" t="s">
        <v>183</v>
      </c>
      <c r="B146" s="5" t="str">
        <f>IF(ISERROR(VLOOKUP(A146,RDPLP!A146:A171,1,0)),"N","Y")</f>
        <v>N</v>
      </c>
      <c r="C146" s="5" t="str">
        <f>IF(ISERROR(VLOOKUP(A146,'SCINET-PLP'!A:A,1,0)),"N","Y")</f>
        <v>N</v>
      </c>
      <c r="D146" s="5" t="str">
        <f>IF(ISERROR(VLOOKUP(A146,FLEXPLP!A:A,1,0)),"N","Y")</f>
        <v>N</v>
      </c>
      <c r="E146" s="5" t="str">
        <f>IF(ISERROR(VLOOKUP(A146,'ELN PLP'!A:A,1,0)),"N","Y")</f>
        <v>Y</v>
      </c>
      <c r="F146" s="26">
        <f t="shared" si="6"/>
        <v>1</v>
      </c>
      <c r="G146" s="8" t="str">
        <f>IF(ISERROR(VLOOKUP(A146,RDPLP!D:D,1,0)),"N","Y")</f>
        <v>N</v>
      </c>
      <c r="H146" s="8" t="str">
        <f>IF(ISERROR(VLOOKUP(A146,'SCINET-PLP'!D:D,1,0)),"N","Y")</f>
        <v>N</v>
      </c>
      <c r="I146" s="8" t="str">
        <f>IF(ISERROR(VLOOKUP(A146,FLEXPLP!D:D,1,0)),"N","Y")</f>
        <v>N</v>
      </c>
      <c r="J146" s="8" t="str">
        <f>IF(ISERROR(VLOOKUP(A146,'ELN PLP'!D:D,1,0)),"N","Y")</f>
        <v>N</v>
      </c>
      <c r="K146" s="29">
        <f t="shared" si="7"/>
        <v>0</v>
      </c>
      <c r="L146" s="52" t="str">
        <f>IF(ISERROR(VLOOKUP(A146,RDPLP!G:G,1,0)),"N","Y")</f>
        <v>N</v>
      </c>
      <c r="M146" s="52" t="str">
        <f>IF(ISERROR(VLOOKUP(A146,'SCINET-PLP'!G:G,1,0)),"N","Y")</f>
        <v>N</v>
      </c>
      <c r="N146" s="52" t="str">
        <f>IF(ISERROR(VLOOKUP(A146,FLEXPLP!G:G,1,0)),"N","Y")</f>
        <v>N</v>
      </c>
      <c r="O146" s="52" t="str">
        <f>IF(ISERROR(VLOOKUP(A146,'ELN PLP'!G:G,1,0)),"N","Y")</f>
        <v>Y</v>
      </c>
      <c r="P146" s="53">
        <f t="shared" si="8"/>
        <v>1</v>
      </c>
      <c r="R146" s="21">
        <f>IF(K146+F146&gt;0,1,0)</f>
        <v>1</v>
      </c>
      <c r="S146" s="24">
        <f>IF(ISERROR(VLOOKUP(A146,U:U,1,0)),0,1)</f>
        <v>0</v>
      </c>
      <c r="Z146" s="16" t="s">
        <v>1868</v>
      </c>
    </row>
    <row r="147" spans="1:26" x14ac:dyDescent="0.35">
      <c r="A147" s="3" t="s">
        <v>184</v>
      </c>
      <c r="B147" s="5" t="str">
        <f>IF(ISERROR(VLOOKUP(A147,RDPLP!A147:A172,1,0)),"N","Y")</f>
        <v>N</v>
      </c>
      <c r="C147" s="5" t="str">
        <f>IF(ISERROR(VLOOKUP(A147,'SCINET-PLP'!A:A,1,0)),"N","Y")</f>
        <v>N</v>
      </c>
      <c r="D147" s="5" t="str">
        <f>IF(ISERROR(VLOOKUP(A147,FLEXPLP!A:A,1,0)),"N","Y")</f>
        <v>N</v>
      </c>
      <c r="E147" s="5" t="str">
        <f>IF(ISERROR(VLOOKUP(A147,'ELN PLP'!A:A,1,0)),"N","Y")</f>
        <v>Y</v>
      </c>
      <c r="F147" s="26">
        <f t="shared" si="6"/>
        <v>1</v>
      </c>
      <c r="G147" s="8" t="str">
        <f>IF(ISERROR(VLOOKUP(A147,RDPLP!D:D,1,0)),"N","Y")</f>
        <v>N</v>
      </c>
      <c r="H147" s="8" t="str">
        <f>IF(ISERROR(VLOOKUP(A147,'SCINET-PLP'!D:D,1,0)),"N","Y")</f>
        <v>N</v>
      </c>
      <c r="I147" s="8" t="str">
        <f>IF(ISERROR(VLOOKUP(A147,FLEXPLP!D:D,1,0)),"N","Y")</f>
        <v>N</v>
      </c>
      <c r="J147" s="8" t="str">
        <f>IF(ISERROR(VLOOKUP(A147,'ELN PLP'!D:D,1,0)),"N","Y")</f>
        <v>N</v>
      </c>
      <c r="K147" s="29">
        <f t="shared" si="7"/>
        <v>0</v>
      </c>
      <c r="L147" s="52" t="str">
        <f>IF(ISERROR(VLOOKUP(A147,RDPLP!G:G,1,0)),"N","Y")</f>
        <v>N</v>
      </c>
      <c r="M147" s="52" t="str">
        <f>IF(ISERROR(VLOOKUP(A147,'SCINET-PLP'!G:G,1,0)),"N","Y")</f>
        <v>N</v>
      </c>
      <c r="N147" s="52" t="str">
        <f>IF(ISERROR(VLOOKUP(A147,FLEXPLP!G:G,1,0)),"N","Y")</f>
        <v>N</v>
      </c>
      <c r="O147" s="52" t="str">
        <f>IF(ISERROR(VLOOKUP(A147,'ELN PLP'!G:G,1,0)),"N","Y")</f>
        <v>N</v>
      </c>
      <c r="P147" s="53">
        <f t="shared" si="8"/>
        <v>0</v>
      </c>
      <c r="R147" s="21">
        <f>IF(K147+F147&gt;0,1,0)</f>
        <v>1</v>
      </c>
      <c r="S147" s="24">
        <f>IF(ISERROR(VLOOKUP(A147,U:U,1,0)),0,1)</f>
        <v>0</v>
      </c>
      <c r="Z147" s="16" t="s">
        <v>1871</v>
      </c>
    </row>
    <row r="148" spans="1:26" x14ac:dyDescent="0.35">
      <c r="A148" s="3" t="s">
        <v>185</v>
      </c>
      <c r="B148" s="5" t="str">
        <f>IF(ISERROR(VLOOKUP(A148,RDPLP!A148:A173,1,0)),"N","Y")</f>
        <v>N</v>
      </c>
      <c r="C148" s="5" t="str">
        <f>IF(ISERROR(VLOOKUP(A148,'SCINET-PLP'!A:A,1,0)),"N","Y")</f>
        <v>N</v>
      </c>
      <c r="D148" s="5" t="str">
        <f>IF(ISERROR(VLOOKUP(A148,FLEXPLP!A:A,1,0)),"N","Y")</f>
        <v>N</v>
      </c>
      <c r="E148" s="5" t="str">
        <f>IF(ISERROR(VLOOKUP(A148,'ELN PLP'!A:A,1,0)),"N","Y")</f>
        <v>Y</v>
      </c>
      <c r="F148" s="26">
        <f t="shared" si="6"/>
        <v>1</v>
      </c>
      <c r="G148" s="8" t="str">
        <f>IF(ISERROR(VLOOKUP(A148,RDPLP!D:D,1,0)),"N","Y")</f>
        <v>N</v>
      </c>
      <c r="H148" s="8" t="str">
        <f>IF(ISERROR(VLOOKUP(A148,'SCINET-PLP'!D:D,1,0)),"N","Y")</f>
        <v>N</v>
      </c>
      <c r="I148" s="8" t="str">
        <f>IF(ISERROR(VLOOKUP(A148,FLEXPLP!D:D,1,0)),"N","Y")</f>
        <v>N</v>
      </c>
      <c r="J148" s="8" t="str">
        <f>IF(ISERROR(VLOOKUP(A148,'ELN PLP'!D:D,1,0)),"N","Y")</f>
        <v>N</v>
      </c>
      <c r="K148" s="29">
        <f t="shared" si="7"/>
        <v>0</v>
      </c>
      <c r="L148" s="52" t="str">
        <f>IF(ISERROR(VLOOKUP(A148,RDPLP!G:G,1,0)),"N","Y")</f>
        <v>N</v>
      </c>
      <c r="M148" s="52" t="str">
        <f>IF(ISERROR(VLOOKUP(A148,'SCINET-PLP'!G:G,1,0)),"N","Y")</f>
        <v>N</v>
      </c>
      <c r="N148" s="52" t="str">
        <f>IF(ISERROR(VLOOKUP(A148,FLEXPLP!G:G,1,0)),"N","Y")</f>
        <v>N</v>
      </c>
      <c r="O148" s="52" t="str">
        <f>IF(ISERROR(VLOOKUP(A148,'ELN PLP'!G:G,1,0)),"N","Y")</f>
        <v>N</v>
      </c>
      <c r="P148" s="53">
        <f t="shared" si="8"/>
        <v>0</v>
      </c>
      <c r="R148" s="21">
        <f>IF(K148+F148&gt;0,1,0)</f>
        <v>1</v>
      </c>
      <c r="S148" s="24">
        <f>IF(ISERROR(VLOOKUP(A148,U:U,1,0)),0,1)</f>
        <v>0</v>
      </c>
      <c r="Z148" s="16" t="s">
        <v>61</v>
      </c>
    </row>
    <row r="149" spans="1:26" x14ac:dyDescent="0.35">
      <c r="A149" s="3" t="s">
        <v>186</v>
      </c>
      <c r="B149" s="5" t="str">
        <f>IF(ISERROR(VLOOKUP(A149,RDPLP!A149:A174,1,0)),"N","Y")</f>
        <v>N</v>
      </c>
      <c r="C149" s="5" t="str">
        <f>IF(ISERROR(VLOOKUP(A149,'SCINET-PLP'!A:A,1,0)),"N","Y")</f>
        <v>N</v>
      </c>
      <c r="D149" s="5" t="str">
        <f>IF(ISERROR(VLOOKUP(A149,FLEXPLP!A:A,1,0)),"N","Y")</f>
        <v>N</v>
      </c>
      <c r="E149" s="5" t="str">
        <f>IF(ISERROR(VLOOKUP(A149,'ELN PLP'!A:A,1,0)),"N","Y")</f>
        <v>Y</v>
      </c>
      <c r="F149" s="26">
        <f t="shared" si="6"/>
        <v>1</v>
      </c>
      <c r="G149" s="8" t="str">
        <f>IF(ISERROR(VLOOKUP(A149,RDPLP!D:D,1,0)),"N","Y")</f>
        <v>N</v>
      </c>
      <c r="H149" s="8" t="str">
        <f>IF(ISERROR(VLOOKUP(A149,'SCINET-PLP'!D:D,1,0)),"N","Y")</f>
        <v>N</v>
      </c>
      <c r="I149" s="8" t="str">
        <f>IF(ISERROR(VLOOKUP(A149,FLEXPLP!D:D,1,0)),"N","Y")</f>
        <v>N</v>
      </c>
      <c r="J149" s="8" t="str">
        <f>IF(ISERROR(VLOOKUP(A149,'ELN PLP'!D:D,1,0)),"N","Y")</f>
        <v>N</v>
      </c>
      <c r="K149" s="29">
        <f t="shared" si="7"/>
        <v>0</v>
      </c>
      <c r="L149" s="52" t="str">
        <f>IF(ISERROR(VLOOKUP(A149,RDPLP!G:G,1,0)),"N","Y")</f>
        <v>N</v>
      </c>
      <c r="M149" s="52" t="str">
        <f>IF(ISERROR(VLOOKUP(A149,'SCINET-PLP'!G:G,1,0)),"N","Y")</f>
        <v>N</v>
      </c>
      <c r="N149" s="52" t="str">
        <f>IF(ISERROR(VLOOKUP(A149,FLEXPLP!G:G,1,0)),"N","Y")</f>
        <v>N</v>
      </c>
      <c r="O149" s="52" t="str">
        <f>IF(ISERROR(VLOOKUP(A149,'ELN PLP'!G:G,1,0)),"N","Y")</f>
        <v>N</v>
      </c>
      <c r="P149" s="53">
        <f t="shared" si="8"/>
        <v>0</v>
      </c>
      <c r="R149" s="21">
        <f>IF(K149+F149&gt;0,1,0)</f>
        <v>1</v>
      </c>
      <c r="S149" s="24">
        <f>IF(ISERROR(VLOOKUP(A149,U:U,1,0)),0,1)</f>
        <v>0</v>
      </c>
      <c r="Z149" s="16" t="s">
        <v>1874</v>
      </c>
    </row>
    <row r="150" spans="1:26" x14ac:dyDescent="0.35">
      <c r="A150" s="3" t="s">
        <v>187</v>
      </c>
      <c r="B150" s="5" t="str">
        <f>IF(ISERROR(VLOOKUP(A150,RDPLP!A150:A175,1,0)),"N","Y")</f>
        <v>N</v>
      </c>
      <c r="C150" s="5" t="str">
        <f>IF(ISERROR(VLOOKUP(A150,'SCINET-PLP'!A:A,1,0)),"N","Y")</f>
        <v>N</v>
      </c>
      <c r="D150" s="5" t="str">
        <f>IF(ISERROR(VLOOKUP(A150,FLEXPLP!A:A,1,0)),"N","Y")</f>
        <v>N</v>
      </c>
      <c r="E150" s="5" t="str">
        <f>IF(ISERROR(VLOOKUP(A150,'ELN PLP'!A:A,1,0)),"N","Y")</f>
        <v>Y</v>
      </c>
      <c r="F150" s="26">
        <f t="shared" si="6"/>
        <v>1</v>
      </c>
      <c r="G150" s="8" t="str">
        <f>IF(ISERROR(VLOOKUP(A150,RDPLP!D:D,1,0)),"N","Y")</f>
        <v>N</v>
      </c>
      <c r="H150" s="8" t="str">
        <f>IF(ISERROR(VLOOKUP(A150,'SCINET-PLP'!D:D,1,0)),"N","Y")</f>
        <v>N</v>
      </c>
      <c r="I150" s="8" t="str">
        <f>IF(ISERROR(VLOOKUP(A150,FLEXPLP!D:D,1,0)),"N","Y")</f>
        <v>N</v>
      </c>
      <c r="J150" s="8" t="str">
        <f>IF(ISERROR(VLOOKUP(A150,'ELN PLP'!D:D,1,0)),"N","Y")</f>
        <v>N</v>
      </c>
      <c r="K150" s="29">
        <f t="shared" si="7"/>
        <v>0</v>
      </c>
      <c r="L150" s="52" t="str">
        <f>IF(ISERROR(VLOOKUP(A150,RDPLP!G:G,1,0)),"N","Y")</f>
        <v>N</v>
      </c>
      <c r="M150" s="52" t="str">
        <f>IF(ISERROR(VLOOKUP(A150,'SCINET-PLP'!G:G,1,0)),"N","Y")</f>
        <v>N</v>
      </c>
      <c r="N150" s="52" t="str">
        <f>IF(ISERROR(VLOOKUP(A150,FLEXPLP!G:G,1,0)),"N","Y")</f>
        <v>N</v>
      </c>
      <c r="O150" s="52" t="str">
        <f>IF(ISERROR(VLOOKUP(A150,'ELN PLP'!G:G,1,0)),"N","Y")</f>
        <v>N</v>
      </c>
      <c r="P150" s="53">
        <f t="shared" si="8"/>
        <v>0</v>
      </c>
      <c r="R150" s="21">
        <f>IF(K150+F150&gt;0,1,0)</f>
        <v>1</v>
      </c>
      <c r="S150" s="24">
        <f>IF(ISERROR(VLOOKUP(A150,U:U,1,0)),0,1)</f>
        <v>0</v>
      </c>
      <c r="Z150" s="16" t="s">
        <v>1878</v>
      </c>
    </row>
    <row r="151" spans="1:26" x14ac:dyDescent="0.35">
      <c r="A151" s="3" t="s">
        <v>188</v>
      </c>
      <c r="B151" s="5" t="str">
        <f>IF(ISERROR(VLOOKUP(A151,RDPLP!A151:A176,1,0)),"N","Y")</f>
        <v>N</v>
      </c>
      <c r="C151" s="5" t="str">
        <f>IF(ISERROR(VLOOKUP(A151,'SCINET-PLP'!A:A,1,0)),"N","Y")</f>
        <v>N</v>
      </c>
      <c r="D151" s="5" t="str">
        <f>IF(ISERROR(VLOOKUP(A151,FLEXPLP!A:A,1,0)),"N","Y")</f>
        <v>N</v>
      </c>
      <c r="E151" s="5" t="str">
        <f>IF(ISERROR(VLOOKUP(A151,'ELN PLP'!A:A,1,0)),"N","Y")</f>
        <v>Y</v>
      </c>
      <c r="F151" s="26">
        <f t="shared" si="6"/>
        <v>1</v>
      </c>
      <c r="G151" s="8" t="str">
        <f>IF(ISERROR(VLOOKUP(A151,RDPLP!D:D,1,0)),"N","Y")</f>
        <v>N</v>
      </c>
      <c r="H151" s="8" t="str">
        <f>IF(ISERROR(VLOOKUP(A151,'SCINET-PLP'!D:D,1,0)),"N","Y")</f>
        <v>N</v>
      </c>
      <c r="I151" s="8" t="str">
        <f>IF(ISERROR(VLOOKUP(A151,FLEXPLP!D:D,1,0)),"N","Y")</f>
        <v>N</v>
      </c>
      <c r="J151" s="8" t="str">
        <f>IF(ISERROR(VLOOKUP(A151,'ELN PLP'!D:D,1,0)),"N","Y")</f>
        <v>N</v>
      </c>
      <c r="K151" s="29">
        <f t="shared" si="7"/>
        <v>0</v>
      </c>
      <c r="L151" s="52" t="str">
        <f>IF(ISERROR(VLOOKUP(A151,RDPLP!G:G,1,0)),"N","Y")</f>
        <v>N</v>
      </c>
      <c r="M151" s="52" t="str">
        <f>IF(ISERROR(VLOOKUP(A151,'SCINET-PLP'!G:G,1,0)),"N","Y")</f>
        <v>N</v>
      </c>
      <c r="N151" s="52" t="str">
        <f>IF(ISERROR(VLOOKUP(A151,FLEXPLP!G:G,1,0)),"N","Y")</f>
        <v>N</v>
      </c>
      <c r="O151" s="52" t="str">
        <f>IF(ISERROR(VLOOKUP(A151,'ELN PLP'!G:G,1,0)),"N","Y")</f>
        <v>N</v>
      </c>
      <c r="P151" s="53">
        <f t="shared" si="8"/>
        <v>0</v>
      </c>
      <c r="R151" s="21">
        <f>IF(K151+F151&gt;0,1,0)</f>
        <v>1</v>
      </c>
      <c r="S151" s="24">
        <f>IF(ISERROR(VLOOKUP(A151,U:U,1,0)),0,1)</f>
        <v>0</v>
      </c>
      <c r="Z151" s="16" t="s">
        <v>1880</v>
      </c>
    </row>
    <row r="152" spans="1:26" x14ac:dyDescent="0.35">
      <c r="A152" s="3" t="s">
        <v>143</v>
      </c>
      <c r="B152" s="5" t="str">
        <f>IF(ISERROR(VLOOKUP(A152,RDPLP!A152:A177,1,0)),"N","Y")</f>
        <v>N</v>
      </c>
      <c r="C152" s="5" t="str">
        <f>IF(ISERROR(VLOOKUP(A152,'SCINET-PLP'!A:A,1,0)),"N","Y")</f>
        <v>N</v>
      </c>
      <c r="D152" s="5" t="str">
        <f>IF(ISERROR(VLOOKUP(A152,FLEXPLP!A:A,1,0)),"N","Y")</f>
        <v>N</v>
      </c>
      <c r="E152" s="5" t="str">
        <f>IF(ISERROR(VLOOKUP(A152,'ELN PLP'!A:A,1,0)),"N","Y")</f>
        <v>Y</v>
      </c>
      <c r="F152" s="26">
        <f t="shared" si="6"/>
        <v>1</v>
      </c>
      <c r="G152" s="8" t="str">
        <f>IF(ISERROR(VLOOKUP(A152,RDPLP!D:D,1,0)),"N","Y")</f>
        <v>N</v>
      </c>
      <c r="H152" s="8" t="str">
        <f>IF(ISERROR(VLOOKUP(A152,'SCINET-PLP'!D:D,1,0)),"N","Y")</f>
        <v>N</v>
      </c>
      <c r="I152" s="8" t="str">
        <f>IF(ISERROR(VLOOKUP(A152,FLEXPLP!D:D,1,0)),"N","Y")</f>
        <v>N</v>
      </c>
      <c r="J152" s="8" t="str">
        <f>IF(ISERROR(VLOOKUP(A152,'ELN PLP'!D:D,1,0)),"N","Y")</f>
        <v>Y</v>
      </c>
      <c r="K152" s="29">
        <f t="shared" si="7"/>
        <v>1</v>
      </c>
      <c r="L152" s="52" t="str">
        <f>IF(ISERROR(VLOOKUP(A152,RDPLP!G:G,1,0)),"N","Y")</f>
        <v>N</v>
      </c>
      <c r="M152" s="52" t="str">
        <f>IF(ISERROR(VLOOKUP(A152,'SCINET-PLP'!G:G,1,0)),"N","Y")</f>
        <v>N</v>
      </c>
      <c r="N152" s="52" t="str">
        <f>IF(ISERROR(VLOOKUP(A152,FLEXPLP!G:G,1,0)),"N","Y")</f>
        <v>N</v>
      </c>
      <c r="O152" s="52" t="str">
        <f>IF(ISERROR(VLOOKUP(A152,'ELN PLP'!G:G,1,0)),"N","Y")</f>
        <v>Y</v>
      </c>
      <c r="P152" s="53">
        <f t="shared" si="8"/>
        <v>1</v>
      </c>
      <c r="R152" s="21">
        <f>IF(K152+F152&gt;0,1,0)</f>
        <v>1</v>
      </c>
      <c r="S152" s="24">
        <f>IF(ISERROR(VLOOKUP(A152,U:U,1,0)),0,1)</f>
        <v>0</v>
      </c>
      <c r="Z152" s="16" t="s">
        <v>1884</v>
      </c>
    </row>
    <row r="153" spans="1:26" x14ac:dyDescent="0.35">
      <c r="A153" s="3" t="s">
        <v>177</v>
      </c>
      <c r="B153" s="5" t="str">
        <f>IF(ISERROR(VLOOKUP(A153,RDPLP!A153:A178,1,0)),"N","Y")</f>
        <v>N</v>
      </c>
      <c r="C153" s="5" t="str">
        <f>IF(ISERROR(VLOOKUP(A153,'SCINET-PLP'!A:A,1,0)),"N","Y")</f>
        <v>N</v>
      </c>
      <c r="D153" s="5" t="str">
        <f>IF(ISERROR(VLOOKUP(A153,FLEXPLP!A:A,1,0)),"N","Y")</f>
        <v>N</v>
      </c>
      <c r="E153" s="5" t="str">
        <f>IF(ISERROR(VLOOKUP(A153,'ELN PLP'!A:A,1,0)),"N","Y")</f>
        <v>Y</v>
      </c>
      <c r="F153" s="26">
        <f t="shared" si="6"/>
        <v>1</v>
      </c>
      <c r="G153" s="8" t="str">
        <f>IF(ISERROR(VLOOKUP(A153,RDPLP!D:D,1,0)),"N","Y")</f>
        <v>N</v>
      </c>
      <c r="H153" s="8" t="str">
        <f>IF(ISERROR(VLOOKUP(A153,'SCINET-PLP'!D:D,1,0)),"N","Y")</f>
        <v>N</v>
      </c>
      <c r="I153" s="8" t="str">
        <f>IF(ISERROR(VLOOKUP(A153,FLEXPLP!D:D,1,0)),"N","Y")</f>
        <v>N</v>
      </c>
      <c r="J153" s="8" t="str">
        <f>IF(ISERROR(VLOOKUP(A153,'ELN PLP'!D:D,1,0)),"N","Y")</f>
        <v>Y</v>
      </c>
      <c r="K153" s="29">
        <f t="shared" si="7"/>
        <v>1</v>
      </c>
      <c r="L153" s="52" t="str">
        <f>IF(ISERROR(VLOOKUP(A153,RDPLP!G:G,1,0)),"N","Y")</f>
        <v>N</v>
      </c>
      <c r="M153" s="52" t="str">
        <f>IF(ISERROR(VLOOKUP(A153,'SCINET-PLP'!G:G,1,0)),"N","Y")</f>
        <v>N</v>
      </c>
      <c r="N153" s="52" t="str">
        <f>IF(ISERROR(VLOOKUP(A153,FLEXPLP!G:G,1,0)),"N","Y")</f>
        <v>N</v>
      </c>
      <c r="O153" s="52" t="str">
        <f>IF(ISERROR(VLOOKUP(A153,'ELN PLP'!G:G,1,0)),"N","Y")</f>
        <v>Y</v>
      </c>
      <c r="P153" s="53">
        <f t="shared" si="8"/>
        <v>1</v>
      </c>
      <c r="R153" s="21">
        <f>IF(K153+F153&gt;0,1,0)</f>
        <v>1</v>
      </c>
      <c r="S153" s="24">
        <f>IF(ISERROR(VLOOKUP(A153,U:U,1,0)),0,1)</f>
        <v>0</v>
      </c>
      <c r="Z153" s="16" t="s">
        <v>1887</v>
      </c>
    </row>
    <row r="154" spans="1:26" x14ac:dyDescent="0.35">
      <c r="A154" s="3" t="s">
        <v>85</v>
      </c>
      <c r="B154" s="5" t="str">
        <f>IF(ISERROR(VLOOKUP(A154,RDPLP!A154:A179,1,0)),"N","Y")</f>
        <v>N</v>
      </c>
      <c r="C154" s="5" t="str">
        <f>IF(ISERROR(VLOOKUP(A154,'SCINET-PLP'!A:A,1,0)),"N","Y")</f>
        <v>N</v>
      </c>
      <c r="D154" s="5" t="str">
        <f>IF(ISERROR(VLOOKUP(A154,FLEXPLP!A:A,1,0)),"N","Y")</f>
        <v>N</v>
      </c>
      <c r="E154" s="5" t="str">
        <f>IF(ISERROR(VLOOKUP(A154,'ELN PLP'!A:A,1,0)),"N","Y")</f>
        <v>N</v>
      </c>
      <c r="F154" s="26">
        <f t="shared" si="6"/>
        <v>0</v>
      </c>
      <c r="G154" s="8" t="str">
        <f>IF(ISERROR(VLOOKUP(A154,RDPLP!D:D,1,0)),"N","Y")</f>
        <v>N</v>
      </c>
      <c r="H154" s="8" t="str">
        <f>IF(ISERROR(VLOOKUP(A154,'SCINET-PLP'!D:D,1,0)),"N","Y")</f>
        <v>N</v>
      </c>
      <c r="I154" s="8" t="str">
        <f>IF(ISERROR(VLOOKUP(A154,FLEXPLP!D:D,1,0)),"N","Y")</f>
        <v>N</v>
      </c>
      <c r="J154" s="8" t="str">
        <f>IF(ISERROR(VLOOKUP(A154,'ELN PLP'!D:D,1,0)),"N","Y")</f>
        <v>Y</v>
      </c>
      <c r="K154" s="29">
        <f t="shared" si="7"/>
        <v>1</v>
      </c>
      <c r="L154" s="52" t="str">
        <f>IF(ISERROR(VLOOKUP(A154,RDPLP!G:G,1,0)),"N","Y")</f>
        <v>N</v>
      </c>
      <c r="M154" s="52" t="str">
        <f>IF(ISERROR(VLOOKUP(A154,'SCINET-PLP'!G:G,1,0)),"N","Y")</f>
        <v>N</v>
      </c>
      <c r="N154" s="52" t="str">
        <f>IF(ISERROR(VLOOKUP(A154,FLEXPLP!G:G,1,0)),"N","Y")</f>
        <v>N</v>
      </c>
      <c r="O154" s="52" t="str">
        <f>IF(ISERROR(VLOOKUP(A154,'ELN PLP'!G:G,1,0)),"N","Y")</f>
        <v>Y</v>
      </c>
      <c r="P154" s="53">
        <f t="shared" si="8"/>
        <v>1</v>
      </c>
      <c r="R154" s="21">
        <f>IF(K154+F154&gt;0,1,0)</f>
        <v>1</v>
      </c>
      <c r="S154" s="24">
        <f>IF(ISERROR(VLOOKUP(A154,U:U,1,0)),0,1)</f>
        <v>0</v>
      </c>
      <c r="Z154" s="16" t="s">
        <v>1889</v>
      </c>
    </row>
    <row r="155" spans="1:26" x14ac:dyDescent="0.35">
      <c r="A155" s="3" t="s">
        <v>90</v>
      </c>
      <c r="B155" s="5" t="str">
        <f>IF(ISERROR(VLOOKUP(A155,RDPLP!A155:A180,1,0)),"N","Y")</f>
        <v>N</v>
      </c>
      <c r="C155" s="5" t="str">
        <f>IF(ISERROR(VLOOKUP(A155,'SCINET-PLP'!A:A,1,0)),"N","Y")</f>
        <v>N</v>
      </c>
      <c r="D155" s="5" t="str">
        <f>IF(ISERROR(VLOOKUP(A155,FLEXPLP!A:A,1,0)),"N","Y")</f>
        <v>N</v>
      </c>
      <c r="E155" s="5" t="str">
        <f>IF(ISERROR(VLOOKUP(A155,'ELN PLP'!A:A,1,0)),"N","Y")</f>
        <v>N</v>
      </c>
      <c r="F155" s="26">
        <f t="shared" si="6"/>
        <v>0</v>
      </c>
      <c r="G155" s="8" t="str">
        <f>IF(ISERROR(VLOOKUP(A155,RDPLP!D:D,1,0)),"N","Y")</f>
        <v>N</v>
      </c>
      <c r="H155" s="8" t="str">
        <f>IF(ISERROR(VLOOKUP(A155,'SCINET-PLP'!D:D,1,0)),"N","Y")</f>
        <v>N</v>
      </c>
      <c r="I155" s="8" t="str">
        <f>IF(ISERROR(VLOOKUP(A155,FLEXPLP!D:D,1,0)),"N","Y")</f>
        <v>N</v>
      </c>
      <c r="J155" s="8" t="str">
        <f>IF(ISERROR(VLOOKUP(A155,'ELN PLP'!D:D,1,0)),"N","Y")</f>
        <v>Y</v>
      </c>
      <c r="K155" s="29">
        <f t="shared" si="7"/>
        <v>1</v>
      </c>
      <c r="L155" s="52" t="str">
        <f>IF(ISERROR(VLOOKUP(A155,RDPLP!G:G,1,0)),"N","Y")</f>
        <v>N</v>
      </c>
      <c r="M155" s="52" t="str">
        <f>IF(ISERROR(VLOOKUP(A155,'SCINET-PLP'!G:G,1,0)),"N","Y")</f>
        <v>N</v>
      </c>
      <c r="N155" s="52" t="str">
        <f>IF(ISERROR(VLOOKUP(A155,FLEXPLP!G:G,1,0)),"N","Y")</f>
        <v>N</v>
      </c>
      <c r="O155" s="52" t="str">
        <f>IF(ISERROR(VLOOKUP(A155,'ELN PLP'!G:G,1,0)),"N","Y")</f>
        <v>Y</v>
      </c>
      <c r="P155" s="53">
        <f t="shared" si="8"/>
        <v>1</v>
      </c>
      <c r="R155" s="21">
        <f>IF(K155+F155&gt;0,1,0)</f>
        <v>1</v>
      </c>
      <c r="S155" s="24">
        <f>IF(ISERROR(VLOOKUP(A155,U:U,1,0)),0,1)</f>
        <v>0</v>
      </c>
      <c r="Z155" s="16" t="s">
        <v>1891</v>
      </c>
    </row>
    <row r="156" spans="1:26" x14ac:dyDescent="0.35">
      <c r="A156" s="3" t="s">
        <v>97</v>
      </c>
      <c r="B156" s="5" t="str">
        <f>IF(ISERROR(VLOOKUP(A156,RDPLP!A156:A181,1,0)),"N","Y")</f>
        <v>N</v>
      </c>
      <c r="C156" s="5" t="str">
        <f>IF(ISERROR(VLOOKUP(A156,'SCINET-PLP'!A:A,1,0)),"N","Y")</f>
        <v>N</v>
      </c>
      <c r="D156" s="5" t="str">
        <f>IF(ISERROR(VLOOKUP(A156,FLEXPLP!A:A,1,0)),"N","Y")</f>
        <v>N</v>
      </c>
      <c r="E156" s="5" t="str">
        <f>IF(ISERROR(VLOOKUP(A156,'ELN PLP'!A:A,1,0)),"N","Y")</f>
        <v>N</v>
      </c>
      <c r="F156" s="26">
        <f t="shared" si="6"/>
        <v>0</v>
      </c>
      <c r="G156" s="8" t="str">
        <f>IF(ISERROR(VLOOKUP(A156,RDPLP!D:D,1,0)),"N","Y")</f>
        <v>N</v>
      </c>
      <c r="H156" s="8" t="str">
        <f>IF(ISERROR(VLOOKUP(A156,'SCINET-PLP'!D:D,1,0)),"N","Y")</f>
        <v>N</v>
      </c>
      <c r="I156" s="8" t="str">
        <f>IF(ISERROR(VLOOKUP(A156,FLEXPLP!D:D,1,0)),"N","Y")</f>
        <v>N</v>
      </c>
      <c r="J156" s="8" t="str">
        <f>IF(ISERROR(VLOOKUP(A156,'ELN PLP'!D:D,1,0)),"N","Y")</f>
        <v>Y</v>
      </c>
      <c r="K156" s="29">
        <f t="shared" si="7"/>
        <v>1</v>
      </c>
      <c r="L156" s="52" t="str">
        <f>IF(ISERROR(VLOOKUP(A156,RDPLP!G:G,1,0)),"N","Y")</f>
        <v>N</v>
      </c>
      <c r="M156" s="52" t="str">
        <f>IF(ISERROR(VLOOKUP(A156,'SCINET-PLP'!G:G,1,0)),"N","Y")</f>
        <v>N</v>
      </c>
      <c r="N156" s="52" t="str">
        <f>IF(ISERROR(VLOOKUP(A156,FLEXPLP!G:G,1,0)),"N","Y")</f>
        <v>N</v>
      </c>
      <c r="O156" s="52" t="str">
        <f>IF(ISERROR(VLOOKUP(A156,'ELN PLP'!G:G,1,0)),"N","Y")</f>
        <v>N</v>
      </c>
      <c r="P156" s="53">
        <f t="shared" si="8"/>
        <v>0</v>
      </c>
      <c r="R156" s="21">
        <f>IF(K156+F156&gt;0,1,0)</f>
        <v>1</v>
      </c>
      <c r="S156" s="24">
        <f>IF(ISERROR(VLOOKUP(A156,U:U,1,0)),0,1)</f>
        <v>0</v>
      </c>
      <c r="Z156" s="16" t="s">
        <v>1893</v>
      </c>
    </row>
    <row r="157" spans="1:26" x14ac:dyDescent="0.35">
      <c r="A157" s="3" t="s">
        <v>99</v>
      </c>
      <c r="B157" s="5" t="str">
        <f>IF(ISERROR(VLOOKUP(A157,RDPLP!A157:A182,1,0)),"N","Y")</f>
        <v>N</v>
      </c>
      <c r="C157" s="5" t="str">
        <f>IF(ISERROR(VLOOKUP(A157,'SCINET-PLP'!A:A,1,0)),"N","Y")</f>
        <v>N</v>
      </c>
      <c r="D157" s="5" t="str">
        <f>IF(ISERROR(VLOOKUP(A157,FLEXPLP!A:A,1,0)),"N","Y")</f>
        <v>N</v>
      </c>
      <c r="E157" s="5" t="str">
        <f>IF(ISERROR(VLOOKUP(A157,'ELN PLP'!A:A,1,0)),"N","Y")</f>
        <v>N</v>
      </c>
      <c r="F157" s="26">
        <f t="shared" si="6"/>
        <v>0</v>
      </c>
      <c r="G157" s="8" t="str">
        <f>IF(ISERROR(VLOOKUP(A157,RDPLP!D:D,1,0)),"N","Y")</f>
        <v>N</v>
      </c>
      <c r="H157" s="8" t="str">
        <f>IF(ISERROR(VLOOKUP(A157,'SCINET-PLP'!D:D,1,0)),"N","Y")</f>
        <v>N</v>
      </c>
      <c r="I157" s="8" t="str">
        <f>IF(ISERROR(VLOOKUP(A157,FLEXPLP!D:D,1,0)),"N","Y")</f>
        <v>N</v>
      </c>
      <c r="J157" s="8" t="str">
        <f>IF(ISERROR(VLOOKUP(A157,'ELN PLP'!D:D,1,0)),"N","Y")</f>
        <v>Y</v>
      </c>
      <c r="K157" s="29">
        <f t="shared" si="7"/>
        <v>1</v>
      </c>
      <c r="L157" s="52" t="str">
        <f>IF(ISERROR(VLOOKUP(A157,RDPLP!G:G,1,0)),"N","Y")</f>
        <v>N</v>
      </c>
      <c r="M157" s="52" t="str">
        <f>IF(ISERROR(VLOOKUP(A157,'SCINET-PLP'!G:G,1,0)),"N","Y")</f>
        <v>N</v>
      </c>
      <c r="N157" s="52" t="str">
        <f>IF(ISERROR(VLOOKUP(A157,FLEXPLP!G:G,1,0)),"N","Y")</f>
        <v>N</v>
      </c>
      <c r="O157" s="52" t="str">
        <f>IF(ISERROR(VLOOKUP(A157,'ELN PLP'!G:G,1,0)),"N","Y")</f>
        <v>Y</v>
      </c>
      <c r="P157" s="53">
        <f t="shared" si="8"/>
        <v>1</v>
      </c>
      <c r="R157" s="21">
        <f>IF(K157+F157&gt;0,1,0)</f>
        <v>1</v>
      </c>
      <c r="S157" s="24">
        <f>IF(ISERROR(VLOOKUP(A157,U:U,1,0)),0,1)</f>
        <v>0</v>
      </c>
      <c r="Z157" s="16" t="s">
        <v>1896</v>
      </c>
    </row>
    <row r="158" spans="1:26" x14ac:dyDescent="0.35">
      <c r="A158" s="3" t="s">
        <v>101</v>
      </c>
      <c r="B158" s="5" t="str">
        <f>IF(ISERROR(VLOOKUP(A158,RDPLP!A158:A183,1,0)),"N","Y")</f>
        <v>N</v>
      </c>
      <c r="C158" s="5" t="str">
        <f>IF(ISERROR(VLOOKUP(A158,'SCINET-PLP'!A:A,1,0)),"N","Y")</f>
        <v>N</v>
      </c>
      <c r="D158" s="5" t="str">
        <f>IF(ISERROR(VLOOKUP(A158,FLEXPLP!A:A,1,0)),"N","Y")</f>
        <v>N</v>
      </c>
      <c r="E158" s="5" t="str">
        <f>IF(ISERROR(VLOOKUP(A158,'ELN PLP'!A:A,1,0)),"N","Y")</f>
        <v>N</v>
      </c>
      <c r="F158" s="26">
        <f t="shared" si="6"/>
        <v>0</v>
      </c>
      <c r="G158" s="8" t="str">
        <f>IF(ISERROR(VLOOKUP(A158,RDPLP!D:D,1,0)),"N","Y")</f>
        <v>N</v>
      </c>
      <c r="H158" s="8" t="str">
        <f>IF(ISERROR(VLOOKUP(A158,'SCINET-PLP'!D:D,1,0)),"N","Y")</f>
        <v>N</v>
      </c>
      <c r="I158" s="8" t="str">
        <f>IF(ISERROR(VLOOKUP(A158,FLEXPLP!D:D,1,0)),"N","Y")</f>
        <v>N</v>
      </c>
      <c r="J158" s="8" t="str">
        <f>IF(ISERROR(VLOOKUP(A158,'ELN PLP'!D:D,1,0)),"N","Y")</f>
        <v>Y</v>
      </c>
      <c r="K158" s="29">
        <f t="shared" si="7"/>
        <v>1</v>
      </c>
      <c r="L158" s="52" t="str">
        <f>IF(ISERROR(VLOOKUP(A158,RDPLP!G:G,1,0)),"N","Y")</f>
        <v>N</v>
      </c>
      <c r="M158" s="52" t="str">
        <f>IF(ISERROR(VLOOKUP(A158,'SCINET-PLP'!G:G,1,0)),"N","Y")</f>
        <v>N</v>
      </c>
      <c r="N158" s="52" t="str">
        <f>IF(ISERROR(VLOOKUP(A158,FLEXPLP!G:G,1,0)),"N","Y")</f>
        <v>N</v>
      </c>
      <c r="O158" s="52" t="str">
        <f>IF(ISERROR(VLOOKUP(A158,'ELN PLP'!G:G,1,0)),"N","Y")</f>
        <v>N</v>
      </c>
      <c r="P158" s="53">
        <f t="shared" si="8"/>
        <v>0</v>
      </c>
      <c r="R158" s="21">
        <f>IF(K158+F158&gt;0,1,0)</f>
        <v>1</v>
      </c>
      <c r="S158" s="24">
        <f>IF(ISERROR(VLOOKUP(A158,U:U,1,0)),0,1)</f>
        <v>0</v>
      </c>
      <c r="Z158" s="16" t="s">
        <v>1898</v>
      </c>
    </row>
    <row r="159" spans="1:26" x14ac:dyDescent="0.35">
      <c r="A159" s="3" t="s">
        <v>105</v>
      </c>
      <c r="B159" s="5" t="str">
        <f>IF(ISERROR(VLOOKUP(A159,RDPLP!A159:A184,1,0)),"N","Y")</f>
        <v>N</v>
      </c>
      <c r="C159" s="5" t="str">
        <f>IF(ISERROR(VLOOKUP(A159,'SCINET-PLP'!A:A,1,0)),"N","Y")</f>
        <v>N</v>
      </c>
      <c r="D159" s="5" t="str">
        <f>IF(ISERROR(VLOOKUP(A159,FLEXPLP!A:A,1,0)),"N","Y")</f>
        <v>N</v>
      </c>
      <c r="E159" s="5" t="str">
        <f>IF(ISERROR(VLOOKUP(A159,'ELN PLP'!A:A,1,0)),"N","Y")</f>
        <v>N</v>
      </c>
      <c r="F159" s="26">
        <f t="shared" si="6"/>
        <v>0</v>
      </c>
      <c r="G159" s="8" t="str">
        <f>IF(ISERROR(VLOOKUP(A159,RDPLP!D:D,1,0)),"N","Y")</f>
        <v>N</v>
      </c>
      <c r="H159" s="8" t="str">
        <f>IF(ISERROR(VLOOKUP(A159,'SCINET-PLP'!D:D,1,0)),"N","Y")</f>
        <v>N</v>
      </c>
      <c r="I159" s="8" t="str">
        <f>IF(ISERROR(VLOOKUP(A159,FLEXPLP!D:D,1,0)),"N","Y")</f>
        <v>N</v>
      </c>
      <c r="J159" s="8" t="str">
        <f>IF(ISERROR(VLOOKUP(A159,'ELN PLP'!D:D,1,0)),"N","Y")</f>
        <v>Y</v>
      </c>
      <c r="K159" s="29">
        <f t="shared" si="7"/>
        <v>1</v>
      </c>
      <c r="L159" s="52" t="str">
        <f>IF(ISERROR(VLOOKUP(A159,RDPLP!G:G,1,0)),"N","Y")</f>
        <v>N</v>
      </c>
      <c r="M159" s="52" t="str">
        <f>IF(ISERROR(VLOOKUP(A159,'SCINET-PLP'!G:G,1,0)),"N","Y")</f>
        <v>N</v>
      </c>
      <c r="N159" s="52" t="str">
        <f>IF(ISERROR(VLOOKUP(A159,FLEXPLP!G:G,1,0)),"N","Y")</f>
        <v>N</v>
      </c>
      <c r="O159" s="52" t="str">
        <f>IF(ISERROR(VLOOKUP(A159,'ELN PLP'!G:G,1,0)),"N","Y")</f>
        <v>Y</v>
      </c>
      <c r="P159" s="53">
        <f t="shared" si="8"/>
        <v>1</v>
      </c>
      <c r="R159" s="21">
        <f>IF(K159+F159&gt;0,1,0)</f>
        <v>1</v>
      </c>
      <c r="S159" s="24">
        <f>IF(ISERROR(VLOOKUP(A159,U:U,1,0)),0,1)</f>
        <v>0</v>
      </c>
      <c r="Z159" s="16" t="s">
        <v>1900</v>
      </c>
    </row>
    <row r="160" spans="1:26" x14ac:dyDescent="0.35">
      <c r="A160" s="3" t="s">
        <v>110</v>
      </c>
      <c r="B160" s="5" t="str">
        <f>IF(ISERROR(VLOOKUP(A160,RDPLP!A160:A185,1,0)),"N","Y")</f>
        <v>N</v>
      </c>
      <c r="C160" s="5" t="str">
        <f>IF(ISERROR(VLOOKUP(A160,'SCINET-PLP'!A:A,1,0)),"N","Y")</f>
        <v>N</v>
      </c>
      <c r="D160" s="5" t="str">
        <f>IF(ISERROR(VLOOKUP(A160,FLEXPLP!A:A,1,0)),"N","Y")</f>
        <v>N</v>
      </c>
      <c r="E160" s="5" t="str">
        <f>IF(ISERROR(VLOOKUP(A160,'ELN PLP'!A:A,1,0)),"N","Y")</f>
        <v>N</v>
      </c>
      <c r="F160" s="26">
        <f t="shared" si="6"/>
        <v>0</v>
      </c>
      <c r="G160" s="8" t="str">
        <f>IF(ISERROR(VLOOKUP(A160,RDPLP!D:D,1,0)),"N","Y")</f>
        <v>N</v>
      </c>
      <c r="H160" s="8" t="str">
        <f>IF(ISERROR(VLOOKUP(A160,'SCINET-PLP'!D:D,1,0)),"N","Y")</f>
        <v>N</v>
      </c>
      <c r="I160" s="8" t="str">
        <f>IF(ISERROR(VLOOKUP(A160,FLEXPLP!D:D,1,0)),"N","Y")</f>
        <v>N</v>
      </c>
      <c r="J160" s="8" t="str">
        <f>IF(ISERROR(VLOOKUP(A160,'ELN PLP'!D:D,1,0)),"N","Y")</f>
        <v>Y</v>
      </c>
      <c r="K160" s="29">
        <f t="shared" si="7"/>
        <v>1</v>
      </c>
      <c r="L160" s="52" t="str">
        <f>IF(ISERROR(VLOOKUP(A160,RDPLP!G:G,1,0)),"N","Y")</f>
        <v>N</v>
      </c>
      <c r="M160" s="52" t="str">
        <f>IF(ISERROR(VLOOKUP(A160,'SCINET-PLP'!G:G,1,0)),"N","Y")</f>
        <v>N</v>
      </c>
      <c r="N160" s="52" t="str">
        <f>IF(ISERROR(VLOOKUP(A160,FLEXPLP!G:G,1,0)),"N","Y")</f>
        <v>N</v>
      </c>
      <c r="O160" s="52" t="str">
        <f>IF(ISERROR(VLOOKUP(A160,'ELN PLP'!G:G,1,0)),"N","Y")</f>
        <v>Y</v>
      </c>
      <c r="P160" s="53">
        <f t="shared" si="8"/>
        <v>1</v>
      </c>
      <c r="R160" s="21">
        <f>IF(K160+F160&gt;0,1,0)</f>
        <v>1</v>
      </c>
      <c r="S160" s="24">
        <f>IF(ISERROR(VLOOKUP(A160,U:U,1,0)),0,1)</f>
        <v>0</v>
      </c>
      <c r="Z160" s="16" t="s">
        <v>1902</v>
      </c>
    </row>
    <row r="161" spans="1:26" x14ac:dyDescent="0.35">
      <c r="A161" s="3" t="s">
        <v>113</v>
      </c>
      <c r="B161" s="5" t="str">
        <f>IF(ISERROR(VLOOKUP(A161,RDPLP!A161:A186,1,0)),"N","Y")</f>
        <v>N</v>
      </c>
      <c r="C161" s="5" t="str">
        <f>IF(ISERROR(VLOOKUP(A161,'SCINET-PLP'!A:A,1,0)),"N","Y")</f>
        <v>N</v>
      </c>
      <c r="D161" s="5" t="str">
        <f>IF(ISERROR(VLOOKUP(A161,FLEXPLP!A:A,1,0)),"N","Y")</f>
        <v>N</v>
      </c>
      <c r="E161" s="5" t="str">
        <f>IF(ISERROR(VLOOKUP(A161,'ELN PLP'!A:A,1,0)),"N","Y")</f>
        <v>N</v>
      </c>
      <c r="F161" s="26">
        <f t="shared" si="6"/>
        <v>0</v>
      </c>
      <c r="G161" s="8" t="str">
        <f>IF(ISERROR(VLOOKUP(A161,RDPLP!D:D,1,0)),"N","Y")</f>
        <v>N</v>
      </c>
      <c r="H161" s="8" t="str">
        <f>IF(ISERROR(VLOOKUP(A161,'SCINET-PLP'!D:D,1,0)),"N","Y")</f>
        <v>N</v>
      </c>
      <c r="I161" s="8" t="str">
        <f>IF(ISERROR(VLOOKUP(A161,FLEXPLP!D:D,1,0)),"N","Y")</f>
        <v>N</v>
      </c>
      <c r="J161" s="8" t="str">
        <f>IF(ISERROR(VLOOKUP(A161,'ELN PLP'!D:D,1,0)),"N","Y")</f>
        <v>Y</v>
      </c>
      <c r="K161" s="29">
        <f t="shared" si="7"/>
        <v>1</v>
      </c>
      <c r="L161" s="52" t="str">
        <f>IF(ISERROR(VLOOKUP(A161,RDPLP!G:G,1,0)),"N","Y")</f>
        <v>N</v>
      </c>
      <c r="M161" s="52" t="str">
        <f>IF(ISERROR(VLOOKUP(A161,'SCINET-PLP'!G:G,1,0)),"N","Y")</f>
        <v>N</v>
      </c>
      <c r="N161" s="52" t="str">
        <f>IF(ISERROR(VLOOKUP(A161,FLEXPLP!G:G,1,0)),"N","Y")</f>
        <v>N</v>
      </c>
      <c r="O161" s="52" t="str">
        <f>IF(ISERROR(VLOOKUP(A161,'ELN PLP'!G:G,1,0)),"N","Y")</f>
        <v>N</v>
      </c>
      <c r="P161" s="53">
        <f t="shared" si="8"/>
        <v>0</v>
      </c>
      <c r="R161" s="21">
        <f>IF(K161+F161&gt;0,1,0)</f>
        <v>1</v>
      </c>
      <c r="S161" s="24">
        <f>IF(ISERROR(VLOOKUP(A161,U:U,1,0)),0,1)</f>
        <v>0</v>
      </c>
      <c r="Z161" s="16" t="s">
        <v>1905</v>
      </c>
    </row>
    <row r="162" spans="1:26" x14ac:dyDescent="0.35">
      <c r="A162" s="3" t="s">
        <v>116</v>
      </c>
      <c r="B162" s="5" t="str">
        <f>IF(ISERROR(VLOOKUP(A162,RDPLP!A162:A187,1,0)),"N","Y")</f>
        <v>N</v>
      </c>
      <c r="C162" s="5" t="str">
        <f>IF(ISERROR(VLOOKUP(A162,'SCINET-PLP'!A:A,1,0)),"N","Y")</f>
        <v>N</v>
      </c>
      <c r="D162" s="5" t="str">
        <f>IF(ISERROR(VLOOKUP(A162,FLEXPLP!A:A,1,0)),"N","Y")</f>
        <v>N</v>
      </c>
      <c r="E162" s="5" t="str">
        <f>IF(ISERROR(VLOOKUP(A162,'ELN PLP'!A:A,1,0)),"N","Y")</f>
        <v>N</v>
      </c>
      <c r="F162" s="26">
        <f t="shared" si="6"/>
        <v>0</v>
      </c>
      <c r="G162" s="8" t="str">
        <f>IF(ISERROR(VLOOKUP(A162,RDPLP!D:D,1,0)),"N","Y")</f>
        <v>N</v>
      </c>
      <c r="H162" s="8" t="str">
        <f>IF(ISERROR(VLOOKUP(A162,'SCINET-PLP'!D:D,1,0)),"N","Y")</f>
        <v>N</v>
      </c>
      <c r="I162" s="8" t="str">
        <f>IF(ISERROR(VLOOKUP(A162,FLEXPLP!D:D,1,0)),"N","Y")</f>
        <v>N</v>
      </c>
      <c r="J162" s="8" t="str">
        <f>IF(ISERROR(VLOOKUP(A162,'ELN PLP'!D:D,1,0)),"N","Y")</f>
        <v>Y</v>
      </c>
      <c r="K162" s="29">
        <f t="shared" si="7"/>
        <v>1</v>
      </c>
      <c r="L162" s="52" t="str">
        <f>IF(ISERROR(VLOOKUP(A162,RDPLP!G:G,1,0)),"N","Y")</f>
        <v>N</v>
      </c>
      <c r="M162" s="52" t="str">
        <f>IF(ISERROR(VLOOKUP(A162,'SCINET-PLP'!G:G,1,0)),"N","Y")</f>
        <v>N</v>
      </c>
      <c r="N162" s="52" t="str">
        <f>IF(ISERROR(VLOOKUP(A162,FLEXPLP!G:G,1,0)),"N","Y")</f>
        <v>N</v>
      </c>
      <c r="O162" s="52" t="str">
        <f>IF(ISERROR(VLOOKUP(A162,'ELN PLP'!G:G,1,0)),"N","Y")</f>
        <v>N</v>
      </c>
      <c r="P162" s="53">
        <f t="shared" si="8"/>
        <v>0</v>
      </c>
      <c r="R162" s="21">
        <f>IF(K162+F162&gt;0,1,0)</f>
        <v>1</v>
      </c>
      <c r="S162" s="24">
        <f>IF(ISERROR(VLOOKUP(A162,U:U,1,0)),0,1)</f>
        <v>0</v>
      </c>
      <c r="Z162" s="16" t="s">
        <v>1909</v>
      </c>
    </row>
    <row r="163" spans="1:26" x14ac:dyDescent="0.35">
      <c r="A163" s="3" t="s">
        <v>118</v>
      </c>
      <c r="B163" s="5" t="str">
        <f>IF(ISERROR(VLOOKUP(A163,RDPLP!A163:A188,1,0)),"N","Y")</f>
        <v>N</v>
      </c>
      <c r="C163" s="5" t="str">
        <f>IF(ISERROR(VLOOKUP(A163,'SCINET-PLP'!A:A,1,0)),"N","Y")</f>
        <v>N</v>
      </c>
      <c r="D163" s="5" t="str">
        <f>IF(ISERROR(VLOOKUP(A163,FLEXPLP!A:A,1,0)),"N","Y")</f>
        <v>N</v>
      </c>
      <c r="E163" s="5" t="str">
        <f>IF(ISERROR(VLOOKUP(A163,'ELN PLP'!A:A,1,0)),"N","Y")</f>
        <v>N</v>
      </c>
      <c r="F163" s="26">
        <f t="shared" si="6"/>
        <v>0</v>
      </c>
      <c r="G163" s="8" t="str">
        <f>IF(ISERROR(VLOOKUP(A163,RDPLP!D:D,1,0)),"N","Y")</f>
        <v>N</v>
      </c>
      <c r="H163" s="8" t="str">
        <f>IF(ISERROR(VLOOKUP(A163,'SCINET-PLP'!D:D,1,0)),"N","Y")</f>
        <v>N</v>
      </c>
      <c r="I163" s="8" t="str">
        <f>IF(ISERROR(VLOOKUP(A163,FLEXPLP!D:D,1,0)),"N","Y")</f>
        <v>N</v>
      </c>
      <c r="J163" s="8" t="str">
        <f>IF(ISERROR(VLOOKUP(A163,'ELN PLP'!D:D,1,0)),"N","Y")</f>
        <v>Y</v>
      </c>
      <c r="K163" s="29">
        <f t="shared" si="7"/>
        <v>1</v>
      </c>
      <c r="L163" s="52" t="str">
        <f>IF(ISERROR(VLOOKUP(A163,RDPLP!G:G,1,0)),"N","Y")</f>
        <v>N</v>
      </c>
      <c r="M163" s="52" t="str">
        <f>IF(ISERROR(VLOOKUP(A163,'SCINET-PLP'!G:G,1,0)),"N","Y")</f>
        <v>N</v>
      </c>
      <c r="N163" s="52" t="str">
        <f>IF(ISERROR(VLOOKUP(A163,FLEXPLP!G:G,1,0)),"N","Y")</f>
        <v>N</v>
      </c>
      <c r="O163" s="52" t="str">
        <f>IF(ISERROR(VLOOKUP(A163,'ELN PLP'!G:G,1,0)),"N","Y")</f>
        <v>N</v>
      </c>
      <c r="P163" s="53">
        <f t="shared" si="8"/>
        <v>0</v>
      </c>
      <c r="R163" s="21">
        <f>IF(K163+F163&gt;0,1,0)</f>
        <v>1</v>
      </c>
      <c r="S163" s="24">
        <f>IF(ISERROR(VLOOKUP(A163,U:U,1,0)),0,1)</f>
        <v>0</v>
      </c>
      <c r="Z163" s="16" t="s">
        <v>1912</v>
      </c>
    </row>
    <row r="164" spans="1:26" x14ac:dyDescent="0.35">
      <c r="A164" s="3" t="s">
        <v>120</v>
      </c>
      <c r="B164" s="5" t="str">
        <f>IF(ISERROR(VLOOKUP(A164,RDPLP!A164:A189,1,0)),"N","Y")</f>
        <v>N</v>
      </c>
      <c r="C164" s="5" t="str">
        <f>IF(ISERROR(VLOOKUP(A164,'SCINET-PLP'!A:A,1,0)),"N","Y")</f>
        <v>N</v>
      </c>
      <c r="D164" s="5" t="str">
        <f>IF(ISERROR(VLOOKUP(A164,FLEXPLP!A:A,1,0)),"N","Y")</f>
        <v>N</v>
      </c>
      <c r="E164" s="5" t="str">
        <f>IF(ISERROR(VLOOKUP(A164,'ELN PLP'!A:A,1,0)),"N","Y")</f>
        <v>N</v>
      </c>
      <c r="F164" s="26">
        <f t="shared" si="6"/>
        <v>0</v>
      </c>
      <c r="G164" s="8" t="str">
        <f>IF(ISERROR(VLOOKUP(A164,RDPLP!D:D,1,0)),"N","Y")</f>
        <v>N</v>
      </c>
      <c r="H164" s="8" t="str">
        <f>IF(ISERROR(VLOOKUP(A164,'SCINET-PLP'!D:D,1,0)),"N","Y")</f>
        <v>N</v>
      </c>
      <c r="I164" s="8" t="str">
        <f>IF(ISERROR(VLOOKUP(A164,FLEXPLP!D:D,1,0)),"N","Y")</f>
        <v>N</v>
      </c>
      <c r="J164" s="8" t="str">
        <f>IF(ISERROR(VLOOKUP(A164,'ELN PLP'!D:D,1,0)),"N","Y")</f>
        <v>Y</v>
      </c>
      <c r="K164" s="29">
        <f t="shared" si="7"/>
        <v>1</v>
      </c>
      <c r="L164" s="52" t="str">
        <f>IF(ISERROR(VLOOKUP(A164,RDPLP!G:G,1,0)),"N","Y")</f>
        <v>N</v>
      </c>
      <c r="M164" s="52" t="str">
        <f>IF(ISERROR(VLOOKUP(A164,'SCINET-PLP'!G:G,1,0)),"N","Y")</f>
        <v>N</v>
      </c>
      <c r="N164" s="52" t="str">
        <f>IF(ISERROR(VLOOKUP(A164,FLEXPLP!G:G,1,0)),"N","Y")</f>
        <v>N</v>
      </c>
      <c r="O164" s="52" t="str">
        <f>IF(ISERROR(VLOOKUP(A164,'ELN PLP'!G:G,1,0)),"N","Y")</f>
        <v>Y</v>
      </c>
      <c r="P164" s="53">
        <f t="shared" si="8"/>
        <v>1</v>
      </c>
      <c r="R164" s="21">
        <f>IF(K164+F164&gt;0,1,0)</f>
        <v>1</v>
      </c>
      <c r="S164" s="24">
        <f>IF(ISERROR(VLOOKUP(A164,U:U,1,0)),0,1)</f>
        <v>0</v>
      </c>
      <c r="Z164" s="16" t="s">
        <v>1915</v>
      </c>
    </row>
    <row r="165" spans="1:26" x14ac:dyDescent="0.35">
      <c r="A165" s="3" t="s">
        <v>122</v>
      </c>
      <c r="B165" s="5" t="str">
        <f>IF(ISERROR(VLOOKUP(A165,RDPLP!A165:A190,1,0)),"N","Y")</f>
        <v>N</v>
      </c>
      <c r="C165" s="5" t="str">
        <f>IF(ISERROR(VLOOKUP(A165,'SCINET-PLP'!A:A,1,0)),"N","Y")</f>
        <v>N</v>
      </c>
      <c r="D165" s="5" t="str">
        <f>IF(ISERROR(VLOOKUP(A165,FLEXPLP!A:A,1,0)),"N","Y")</f>
        <v>N</v>
      </c>
      <c r="E165" s="5" t="str">
        <f>IF(ISERROR(VLOOKUP(A165,'ELN PLP'!A:A,1,0)),"N","Y")</f>
        <v>N</v>
      </c>
      <c r="F165" s="26">
        <f t="shared" si="6"/>
        <v>0</v>
      </c>
      <c r="G165" s="8" t="str">
        <f>IF(ISERROR(VLOOKUP(A165,RDPLP!D:D,1,0)),"N","Y")</f>
        <v>N</v>
      </c>
      <c r="H165" s="8" t="str">
        <f>IF(ISERROR(VLOOKUP(A165,'SCINET-PLP'!D:D,1,0)),"N","Y")</f>
        <v>N</v>
      </c>
      <c r="I165" s="8" t="str">
        <f>IF(ISERROR(VLOOKUP(A165,FLEXPLP!D:D,1,0)),"N","Y")</f>
        <v>N</v>
      </c>
      <c r="J165" s="8" t="str">
        <f>IF(ISERROR(VLOOKUP(A165,'ELN PLP'!D:D,1,0)),"N","Y")</f>
        <v>Y</v>
      </c>
      <c r="K165" s="29">
        <f t="shared" si="7"/>
        <v>1</v>
      </c>
      <c r="L165" s="52" t="str">
        <f>IF(ISERROR(VLOOKUP(A165,RDPLP!G:G,1,0)),"N","Y")</f>
        <v>N</v>
      </c>
      <c r="M165" s="52" t="str">
        <f>IF(ISERROR(VLOOKUP(A165,'SCINET-PLP'!G:G,1,0)),"N","Y")</f>
        <v>N</v>
      </c>
      <c r="N165" s="52" t="str">
        <f>IF(ISERROR(VLOOKUP(A165,FLEXPLP!G:G,1,0)),"N","Y")</f>
        <v>N</v>
      </c>
      <c r="O165" s="52" t="str">
        <f>IF(ISERROR(VLOOKUP(A165,'ELN PLP'!G:G,1,0)),"N","Y")</f>
        <v>N</v>
      </c>
      <c r="P165" s="53">
        <f t="shared" si="8"/>
        <v>0</v>
      </c>
      <c r="R165" s="21">
        <f>IF(K165+F165&gt;0,1,0)</f>
        <v>1</v>
      </c>
      <c r="S165" s="24">
        <f>IF(ISERROR(VLOOKUP(A165,U:U,1,0)),0,1)</f>
        <v>0</v>
      </c>
      <c r="Z165" s="16" t="s">
        <v>1918</v>
      </c>
    </row>
    <row r="166" spans="1:26" x14ac:dyDescent="0.35">
      <c r="A166" s="3" t="s">
        <v>124</v>
      </c>
      <c r="B166" s="5" t="str">
        <f>IF(ISERROR(VLOOKUP(A166,RDPLP!A166:A191,1,0)),"N","Y")</f>
        <v>N</v>
      </c>
      <c r="C166" s="5" t="str">
        <f>IF(ISERROR(VLOOKUP(A166,'SCINET-PLP'!A:A,1,0)),"N","Y")</f>
        <v>N</v>
      </c>
      <c r="D166" s="5" t="str">
        <f>IF(ISERROR(VLOOKUP(A166,FLEXPLP!A:A,1,0)),"N","Y")</f>
        <v>N</v>
      </c>
      <c r="E166" s="5" t="str">
        <f>IF(ISERROR(VLOOKUP(A166,'ELN PLP'!A:A,1,0)),"N","Y")</f>
        <v>N</v>
      </c>
      <c r="F166" s="26">
        <f t="shared" si="6"/>
        <v>0</v>
      </c>
      <c r="G166" s="8" t="str">
        <f>IF(ISERROR(VLOOKUP(A166,RDPLP!D:D,1,0)),"N","Y")</f>
        <v>N</v>
      </c>
      <c r="H166" s="8" t="str">
        <f>IF(ISERROR(VLOOKUP(A166,'SCINET-PLP'!D:D,1,0)),"N","Y")</f>
        <v>N</v>
      </c>
      <c r="I166" s="8" t="str">
        <f>IF(ISERROR(VLOOKUP(A166,FLEXPLP!D:D,1,0)),"N","Y")</f>
        <v>N</v>
      </c>
      <c r="J166" s="8" t="str">
        <f>IF(ISERROR(VLOOKUP(A166,'ELN PLP'!D:D,1,0)),"N","Y")</f>
        <v>Y</v>
      </c>
      <c r="K166" s="29">
        <f t="shared" si="7"/>
        <v>1</v>
      </c>
      <c r="L166" s="52" t="str">
        <f>IF(ISERROR(VLOOKUP(A166,RDPLP!G:G,1,0)),"N","Y")</f>
        <v>N</v>
      </c>
      <c r="M166" s="52" t="str">
        <f>IF(ISERROR(VLOOKUP(A166,'SCINET-PLP'!G:G,1,0)),"N","Y")</f>
        <v>N</v>
      </c>
      <c r="N166" s="52" t="str">
        <f>IF(ISERROR(VLOOKUP(A166,FLEXPLP!G:G,1,0)),"N","Y")</f>
        <v>N</v>
      </c>
      <c r="O166" s="52" t="str">
        <f>IF(ISERROR(VLOOKUP(A166,'ELN PLP'!G:G,1,0)),"N","Y")</f>
        <v>N</v>
      </c>
      <c r="P166" s="53">
        <f t="shared" si="8"/>
        <v>0</v>
      </c>
      <c r="R166" s="21">
        <f>IF(K166+F166&gt;0,1,0)</f>
        <v>1</v>
      </c>
      <c r="S166" s="24">
        <f>IF(ISERROR(VLOOKUP(A166,U:U,1,0)),0,1)</f>
        <v>0</v>
      </c>
      <c r="Z166" s="16" t="s">
        <v>1921</v>
      </c>
    </row>
    <row r="167" spans="1:26" x14ac:dyDescent="0.35">
      <c r="A167" s="3" t="s">
        <v>126</v>
      </c>
      <c r="B167" s="5" t="str">
        <f>IF(ISERROR(VLOOKUP(A167,RDPLP!A167:A192,1,0)),"N","Y")</f>
        <v>N</v>
      </c>
      <c r="C167" s="5" t="str">
        <f>IF(ISERROR(VLOOKUP(A167,'SCINET-PLP'!A:A,1,0)),"N","Y")</f>
        <v>N</v>
      </c>
      <c r="D167" s="5" t="str">
        <f>IF(ISERROR(VLOOKUP(A167,FLEXPLP!A:A,1,0)),"N","Y")</f>
        <v>N</v>
      </c>
      <c r="E167" s="5" t="str">
        <f>IF(ISERROR(VLOOKUP(A167,'ELN PLP'!A:A,1,0)),"N","Y")</f>
        <v>N</v>
      </c>
      <c r="F167" s="26">
        <f t="shared" si="6"/>
        <v>0</v>
      </c>
      <c r="G167" s="8" t="str">
        <f>IF(ISERROR(VLOOKUP(A167,RDPLP!D:D,1,0)),"N","Y")</f>
        <v>N</v>
      </c>
      <c r="H167" s="8" t="str">
        <f>IF(ISERROR(VLOOKUP(A167,'SCINET-PLP'!D:D,1,0)),"N","Y")</f>
        <v>N</v>
      </c>
      <c r="I167" s="8" t="str">
        <f>IF(ISERROR(VLOOKUP(A167,FLEXPLP!D:D,1,0)),"N","Y")</f>
        <v>N</v>
      </c>
      <c r="J167" s="8" t="str">
        <f>IF(ISERROR(VLOOKUP(A167,'ELN PLP'!D:D,1,0)),"N","Y")</f>
        <v>Y</v>
      </c>
      <c r="K167" s="29">
        <f t="shared" si="7"/>
        <v>1</v>
      </c>
      <c r="L167" s="52" t="str">
        <f>IF(ISERROR(VLOOKUP(A167,RDPLP!G:G,1,0)),"N","Y")</f>
        <v>N</v>
      </c>
      <c r="M167" s="52" t="str">
        <f>IF(ISERROR(VLOOKUP(A167,'SCINET-PLP'!G:G,1,0)),"N","Y")</f>
        <v>N</v>
      </c>
      <c r="N167" s="52" t="str">
        <f>IF(ISERROR(VLOOKUP(A167,FLEXPLP!G:G,1,0)),"N","Y")</f>
        <v>N</v>
      </c>
      <c r="O167" s="52" t="str">
        <f>IF(ISERROR(VLOOKUP(A167,'ELN PLP'!G:G,1,0)),"N","Y")</f>
        <v>N</v>
      </c>
      <c r="P167" s="53">
        <f t="shared" si="8"/>
        <v>0</v>
      </c>
      <c r="R167" s="21">
        <f>IF(K167+F167&gt;0,1,0)</f>
        <v>1</v>
      </c>
      <c r="S167" s="24">
        <f>IF(ISERROR(VLOOKUP(A167,U:U,1,0)),0,1)</f>
        <v>0</v>
      </c>
      <c r="Z167" s="16" t="s">
        <v>1925</v>
      </c>
    </row>
    <row r="168" spans="1:26" x14ac:dyDescent="0.35">
      <c r="A168" s="3" t="s">
        <v>132</v>
      </c>
      <c r="B168" s="5" t="str">
        <f>IF(ISERROR(VLOOKUP(A168,RDPLP!A168:A193,1,0)),"N","Y")</f>
        <v>N</v>
      </c>
      <c r="C168" s="5" t="str">
        <f>IF(ISERROR(VLOOKUP(A168,'SCINET-PLP'!A:A,1,0)),"N","Y")</f>
        <v>N</v>
      </c>
      <c r="D168" s="5" t="str">
        <f>IF(ISERROR(VLOOKUP(A168,FLEXPLP!A:A,1,0)),"N","Y")</f>
        <v>N</v>
      </c>
      <c r="E168" s="5" t="str">
        <f>IF(ISERROR(VLOOKUP(A168,'ELN PLP'!A:A,1,0)),"N","Y")</f>
        <v>N</v>
      </c>
      <c r="F168" s="26">
        <f t="shared" si="6"/>
        <v>0</v>
      </c>
      <c r="G168" s="8" t="str">
        <f>IF(ISERROR(VLOOKUP(A168,RDPLP!D:D,1,0)),"N","Y")</f>
        <v>N</v>
      </c>
      <c r="H168" s="8" t="str">
        <f>IF(ISERROR(VLOOKUP(A168,'SCINET-PLP'!D:D,1,0)),"N","Y")</f>
        <v>N</v>
      </c>
      <c r="I168" s="8" t="str">
        <f>IF(ISERROR(VLOOKUP(A168,FLEXPLP!D:D,1,0)),"N","Y")</f>
        <v>N</v>
      </c>
      <c r="J168" s="8" t="str">
        <f>IF(ISERROR(VLOOKUP(A168,'ELN PLP'!D:D,1,0)),"N","Y")</f>
        <v>Y</v>
      </c>
      <c r="K168" s="29">
        <f t="shared" si="7"/>
        <v>1</v>
      </c>
      <c r="L168" s="52" t="str">
        <f>IF(ISERROR(VLOOKUP(A168,RDPLP!G:G,1,0)),"N","Y")</f>
        <v>N</v>
      </c>
      <c r="M168" s="52" t="str">
        <f>IF(ISERROR(VLOOKUP(A168,'SCINET-PLP'!G:G,1,0)),"N","Y")</f>
        <v>N</v>
      </c>
      <c r="N168" s="52" t="str">
        <f>IF(ISERROR(VLOOKUP(A168,FLEXPLP!G:G,1,0)),"N","Y")</f>
        <v>N</v>
      </c>
      <c r="O168" s="52" t="str">
        <f>IF(ISERROR(VLOOKUP(A168,'ELN PLP'!G:G,1,0)),"N","Y")</f>
        <v>N</v>
      </c>
      <c r="P168" s="53">
        <f t="shared" si="8"/>
        <v>0</v>
      </c>
      <c r="R168" s="21">
        <f>IF(K168+F168&gt;0,1,0)</f>
        <v>1</v>
      </c>
      <c r="S168" s="24">
        <f>IF(ISERROR(VLOOKUP(A168,U:U,1,0)),0,1)</f>
        <v>0</v>
      </c>
      <c r="Z168" s="16" t="s">
        <v>1927</v>
      </c>
    </row>
    <row r="169" spans="1:26" x14ac:dyDescent="0.35">
      <c r="A169" s="3" t="s">
        <v>134</v>
      </c>
      <c r="B169" s="5" t="str">
        <f>IF(ISERROR(VLOOKUP(A169,RDPLP!A169:A194,1,0)),"N","Y")</f>
        <v>N</v>
      </c>
      <c r="C169" s="5" t="str">
        <f>IF(ISERROR(VLOOKUP(A169,'SCINET-PLP'!A:A,1,0)),"N","Y")</f>
        <v>N</v>
      </c>
      <c r="D169" s="5" t="str">
        <f>IF(ISERROR(VLOOKUP(A169,FLEXPLP!A:A,1,0)),"N","Y")</f>
        <v>N</v>
      </c>
      <c r="E169" s="5" t="str">
        <f>IF(ISERROR(VLOOKUP(A169,'ELN PLP'!A:A,1,0)),"N","Y")</f>
        <v>N</v>
      </c>
      <c r="F169" s="26">
        <f t="shared" si="6"/>
        <v>0</v>
      </c>
      <c r="G169" s="8" t="str">
        <f>IF(ISERROR(VLOOKUP(A169,RDPLP!D:D,1,0)),"N","Y")</f>
        <v>N</v>
      </c>
      <c r="H169" s="8" t="str">
        <f>IF(ISERROR(VLOOKUP(A169,'SCINET-PLP'!D:D,1,0)),"N","Y")</f>
        <v>N</v>
      </c>
      <c r="I169" s="8" t="str">
        <f>IF(ISERROR(VLOOKUP(A169,FLEXPLP!D:D,1,0)),"N","Y")</f>
        <v>N</v>
      </c>
      <c r="J169" s="8" t="str">
        <f>IF(ISERROR(VLOOKUP(A169,'ELN PLP'!D:D,1,0)),"N","Y")</f>
        <v>Y</v>
      </c>
      <c r="K169" s="29">
        <f t="shared" si="7"/>
        <v>1</v>
      </c>
      <c r="L169" s="52" t="str">
        <f>IF(ISERROR(VLOOKUP(A169,RDPLP!G:G,1,0)),"N","Y")</f>
        <v>N</v>
      </c>
      <c r="M169" s="52" t="str">
        <f>IF(ISERROR(VLOOKUP(A169,'SCINET-PLP'!G:G,1,0)),"N","Y")</f>
        <v>N</v>
      </c>
      <c r="N169" s="52" t="str">
        <f>IF(ISERROR(VLOOKUP(A169,FLEXPLP!G:G,1,0)),"N","Y")</f>
        <v>N</v>
      </c>
      <c r="O169" s="52" t="str">
        <f>IF(ISERROR(VLOOKUP(A169,'ELN PLP'!G:G,1,0)),"N","Y")</f>
        <v>N</v>
      </c>
      <c r="P169" s="53">
        <f t="shared" si="8"/>
        <v>0</v>
      </c>
      <c r="R169" s="21">
        <f>IF(K169+F169&gt;0,1,0)</f>
        <v>1</v>
      </c>
      <c r="S169" s="24">
        <f>IF(ISERROR(VLOOKUP(A169,U:U,1,0)),0,1)</f>
        <v>0</v>
      </c>
      <c r="Z169" s="16" t="s">
        <v>1931</v>
      </c>
    </row>
    <row r="170" spans="1:26" x14ac:dyDescent="0.35">
      <c r="A170" s="3" t="s">
        <v>136</v>
      </c>
      <c r="B170" s="5" t="str">
        <f>IF(ISERROR(VLOOKUP(A170,RDPLP!A170:A195,1,0)),"N","Y")</f>
        <v>N</v>
      </c>
      <c r="C170" s="5" t="str">
        <f>IF(ISERROR(VLOOKUP(A170,'SCINET-PLP'!A:A,1,0)),"N","Y")</f>
        <v>N</v>
      </c>
      <c r="D170" s="5" t="str">
        <f>IF(ISERROR(VLOOKUP(A170,FLEXPLP!A:A,1,0)),"N","Y")</f>
        <v>N</v>
      </c>
      <c r="E170" s="5" t="str">
        <f>IF(ISERROR(VLOOKUP(A170,'ELN PLP'!A:A,1,0)),"N","Y")</f>
        <v>N</v>
      </c>
      <c r="F170" s="26">
        <f t="shared" si="6"/>
        <v>0</v>
      </c>
      <c r="G170" s="8" t="str">
        <f>IF(ISERROR(VLOOKUP(A170,RDPLP!D:D,1,0)),"N","Y")</f>
        <v>N</v>
      </c>
      <c r="H170" s="8" t="str">
        <f>IF(ISERROR(VLOOKUP(A170,'SCINET-PLP'!D:D,1,0)),"N","Y")</f>
        <v>N</v>
      </c>
      <c r="I170" s="8" t="str">
        <f>IF(ISERROR(VLOOKUP(A170,FLEXPLP!D:D,1,0)),"N","Y")</f>
        <v>N</v>
      </c>
      <c r="J170" s="8" t="str">
        <f>IF(ISERROR(VLOOKUP(A170,'ELN PLP'!D:D,1,0)),"N","Y")</f>
        <v>Y</v>
      </c>
      <c r="K170" s="29">
        <f t="shared" si="7"/>
        <v>1</v>
      </c>
      <c r="L170" s="52" t="str">
        <f>IF(ISERROR(VLOOKUP(A170,RDPLP!G:G,1,0)),"N","Y")</f>
        <v>N</v>
      </c>
      <c r="M170" s="52" t="str">
        <f>IF(ISERROR(VLOOKUP(A170,'SCINET-PLP'!G:G,1,0)),"N","Y")</f>
        <v>N</v>
      </c>
      <c r="N170" s="52" t="str">
        <f>IF(ISERROR(VLOOKUP(A170,FLEXPLP!G:G,1,0)),"N","Y")</f>
        <v>N</v>
      </c>
      <c r="O170" s="52" t="str">
        <f>IF(ISERROR(VLOOKUP(A170,'ELN PLP'!G:G,1,0)),"N","Y")</f>
        <v>N</v>
      </c>
      <c r="P170" s="53">
        <f t="shared" si="8"/>
        <v>0</v>
      </c>
      <c r="R170" s="21">
        <f>IF(K170+F170&gt;0,1,0)</f>
        <v>1</v>
      </c>
      <c r="S170" s="24">
        <f>IF(ISERROR(VLOOKUP(A170,U:U,1,0)),0,1)</f>
        <v>0</v>
      </c>
      <c r="Z170" s="16" t="s">
        <v>1932</v>
      </c>
    </row>
    <row r="171" spans="1:26" x14ac:dyDescent="0.35">
      <c r="A171" s="3" t="s">
        <v>138</v>
      </c>
      <c r="B171" s="5" t="str">
        <f>IF(ISERROR(VLOOKUP(A171,RDPLP!A171:A196,1,0)),"N","Y")</f>
        <v>N</v>
      </c>
      <c r="C171" s="5" t="str">
        <f>IF(ISERROR(VLOOKUP(A171,'SCINET-PLP'!A:A,1,0)),"N","Y")</f>
        <v>N</v>
      </c>
      <c r="D171" s="5" t="str">
        <f>IF(ISERROR(VLOOKUP(A171,FLEXPLP!A:A,1,0)),"N","Y")</f>
        <v>N</v>
      </c>
      <c r="E171" s="5" t="str">
        <f>IF(ISERROR(VLOOKUP(A171,'ELN PLP'!A:A,1,0)),"N","Y")</f>
        <v>N</v>
      </c>
      <c r="F171" s="26">
        <f t="shared" si="6"/>
        <v>0</v>
      </c>
      <c r="G171" s="8" t="str">
        <f>IF(ISERROR(VLOOKUP(A171,RDPLP!D:D,1,0)),"N","Y")</f>
        <v>N</v>
      </c>
      <c r="H171" s="8" t="str">
        <f>IF(ISERROR(VLOOKUP(A171,'SCINET-PLP'!D:D,1,0)),"N","Y")</f>
        <v>N</v>
      </c>
      <c r="I171" s="8" t="str">
        <f>IF(ISERROR(VLOOKUP(A171,FLEXPLP!D:D,1,0)),"N","Y")</f>
        <v>N</v>
      </c>
      <c r="J171" s="8" t="str">
        <f>IF(ISERROR(VLOOKUP(A171,'ELN PLP'!D:D,1,0)),"N","Y")</f>
        <v>Y</v>
      </c>
      <c r="K171" s="29">
        <f t="shared" si="7"/>
        <v>1</v>
      </c>
      <c r="L171" s="52" t="str">
        <f>IF(ISERROR(VLOOKUP(A171,RDPLP!G:G,1,0)),"N","Y")</f>
        <v>N</v>
      </c>
      <c r="M171" s="52" t="str">
        <f>IF(ISERROR(VLOOKUP(A171,'SCINET-PLP'!G:G,1,0)),"N","Y")</f>
        <v>N</v>
      </c>
      <c r="N171" s="52" t="str">
        <f>IF(ISERROR(VLOOKUP(A171,FLEXPLP!G:G,1,0)),"N","Y")</f>
        <v>N</v>
      </c>
      <c r="O171" s="52" t="str">
        <f>IF(ISERROR(VLOOKUP(A171,'ELN PLP'!G:G,1,0)),"N","Y")</f>
        <v>N</v>
      </c>
      <c r="P171" s="53">
        <f t="shared" si="8"/>
        <v>0</v>
      </c>
      <c r="R171" s="21">
        <f>IF(K171+F171&gt;0,1,0)</f>
        <v>1</v>
      </c>
      <c r="S171" s="24">
        <f>IF(ISERROR(VLOOKUP(A171,U:U,1,0)),0,1)</f>
        <v>0</v>
      </c>
      <c r="Z171" s="16" t="s">
        <v>1934</v>
      </c>
    </row>
    <row r="172" spans="1:26" x14ac:dyDescent="0.35">
      <c r="A172" s="3" t="s">
        <v>140</v>
      </c>
      <c r="B172" s="5" t="str">
        <f>IF(ISERROR(VLOOKUP(A172,RDPLP!A172:A197,1,0)),"N","Y")</f>
        <v>N</v>
      </c>
      <c r="C172" s="5" t="str">
        <f>IF(ISERROR(VLOOKUP(A172,'SCINET-PLP'!A:A,1,0)),"N","Y")</f>
        <v>N</v>
      </c>
      <c r="D172" s="5" t="str">
        <f>IF(ISERROR(VLOOKUP(A172,FLEXPLP!A:A,1,0)),"N","Y")</f>
        <v>N</v>
      </c>
      <c r="E172" s="5" t="str">
        <f>IF(ISERROR(VLOOKUP(A172,'ELN PLP'!A:A,1,0)),"N","Y")</f>
        <v>N</v>
      </c>
      <c r="F172" s="26">
        <f t="shared" si="6"/>
        <v>0</v>
      </c>
      <c r="G172" s="8" t="str">
        <f>IF(ISERROR(VLOOKUP(A172,RDPLP!D:D,1,0)),"N","Y")</f>
        <v>N</v>
      </c>
      <c r="H172" s="8" t="str">
        <f>IF(ISERROR(VLOOKUP(A172,'SCINET-PLP'!D:D,1,0)),"N","Y")</f>
        <v>N</v>
      </c>
      <c r="I172" s="8" t="str">
        <f>IF(ISERROR(VLOOKUP(A172,FLEXPLP!D:D,1,0)),"N","Y")</f>
        <v>N</v>
      </c>
      <c r="J172" s="8" t="str">
        <f>IF(ISERROR(VLOOKUP(A172,'ELN PLP'!D:D,1,0)),"N","Y")</f>
        <v>Y</v>
      </c>
      <c r="K172" s="29">
        <f t="shared" si="7"/>
        <v>1</v>
      </c>
      <c r="L172" s="52" t="str">
        <f>IF(ISERROR(VLOOKUP(A172,RDPLP!G:G,1,0)),"N","Y")</f>
        <v>N</v>
      </c>
      <c r="M172" s="52" t="str">
        <f>IF(ISERROR(VLOOKUP(A172,'SCINET-PLP'!G:G,1,0)),"N","Y")</f>
        <v>N</v>
      </c>
      <c r="N172" s="52" t="str">
        <f>IF(ISERROR(VLOOKUP(A172,FLEXPLP!G:G,1,0)),"N","Y")</f>
        <v>N</v>
      </c>
      <c r="O172" s="52" t="str">
        <f>IF(ISERROR(VLOOKUP(A172,'ELN PLP'!G:G,1,0)),"N","Y")</f>
        <v>N</v>
      </c>
      <c r="P172" s="53">
        <f t="shared" si="8"/>
        <v>0</v>
      </c>
      <c r="R172" s="21">
        <f>IF(K172+F172&gt;0,1,0)</f>
        <v>1</v>
      </c>
      <c r="S172" s="24">
        <f>IF(ISERROR(VLOOKUP(A172,U:U,1,0)),0,1)</f>
        <v>0</v>
      </c>
      <c r="Z172" s="16" t="s">
        <v>1937</v>
      </c>
    </row>
    <row r="173" spans="1:26" x14ac:dyDescent="0.35">
      <c r="A173" s="3" t="s">
        <v>145</v>
      </c>
      <c r="B173" s="5" t="str">
        <f>IF(ISERROR(VLOOKUP(A173,RDPLP!A173:A198,1,0)),"N","Y")</f>
        <v>N</v>
      </c>
      <c r="C173" s="5" t="str">
        <f>IF(ISERROR(VLOOKUP(A173,'SCINET-PLP'!A:A,1,0)),"N","Y")</f>
        <v>N</v>
      </c>
      <c r="D173" s="5" t="str">
        <f>IF(ISERROR(VLOOKUP(A173,FLEXPLP!A:A,1,0)),"N","Y")</f>
        <v>N</v>
      </c>
      <c r="E173" s="5" t="str">
        <f>IF(ISERROR(VLOOKUP(A173,'ELN PLP'!A:A,1,0)),"N","Y")</f>
        <v>N</v>
      </c>
      <c r="F173" s="26">
        <f t="shared" si="6"/>
        <v>0</v>
      </c>
      <c r="G173" s="8" t="str">
        <f>IF(ISERROR(VLOOKUP(A173,RDPLP!D:D,1,0)),"N","Y")</f>
        <v>N</v>
      </c>
      <c r="H173" s="8" t="str">
        <f>IF(ISERROR(VLOOKUP(A173,'SCINET-PLP'!D:D,1,0)),"N","Y")</f>
        <v>N</v>
      </c>
      <c r="I173" s="8" t="str">
        <f>IF(ISERROR(VLOOKUP(A173,FLEXPLP!D:D,1,0)),"N","Y")</f>
        <v>N</v>
      </c>
      <c r="J173" s="8" t="str">
        <f>IF(ISERROR(VLOOKUP(A173,'ELN PLP'!D:D,1,0)),"N","Y")</f>
        <v>Y</v>
      </c>
      <c r="K173" s="29">
        <f t="shared" si="7"/>
        <v>1</v>
      </c>
      <c r="L173" s="52" t="str">
        <f>IF(ISERROR(VLOOKUP(A173,RDPLP!G:G,1,0)),"N","Y")</f>
        <v>N</v>
      </c>
      <c r="M173" s="52" t="str">
        <f>IF(ISERROR(VLOOKUP(A173,'SCINET-PLP'!G:G,1,0)),"N","Y")</f>
        <v>N</v>
      </c>
      <c r="N173" s="52" t="str">
        <f>IF(ISERROR(VLOOKUP(A173,FLEXPLP!G:G,1,0)),"N","Y")</f>
        <v>N</v>
      </c>
      <c r="O173" s="52" t="str">
        <f>IF(ISERROR(VLOOKUP(A173,'ELN PLP'!G:G,1,0)),"N","Y")</f>
        <v>N</v>
      </c>
      <c r="P173" s="53">
        <f t="shared" si="8"/>
        <v>0</v>
      </c>
      <c r="R173" s="21">
        <f>IF(K173+F173&gt;0,1,0)</f>
        <v>1</v>
      </c>
      <c r="S173" s="24">
        <f>IF(ISERROR(VLOOKUP(A173,U:U,1,0)),0,1)</f>
        <v>0</v>
      </c>
      <c r="Z173" s="16" t="s">
        <v>1940</v>
      </c>
    </row>
    <row r="174" spans="1:26" x14ac:dyDescent="0.35">
      <c r="A174" s="3" t="s">
        <v>147</v>
      </c>
      <c r="B174" s="5" t="str">
        <f>IF(ISERROR(VLOOKUP(A174,RDPLP!A174:A199,1,0)),"N","Y")</f>
        <v>N</v>
      </c>
      <c r="C174" s="5" t="str">
        <f>IF(ISERROR(VLOOKUP(A174,'SCINET-PLP'!A:A,1,0)),"N","Y")</f>
        <v>N</v>
      </c>
      <c r="D174" s="5" t="str">
        <f>IF(ISERROR(VLOOKUP(A174,FLEXPLP!A:A,1,0)),"N","Y")</f>
        <v>N</v>
      </c>
      <c r="E174" s="5" t="str">
        <f>IF(ISERROR(VLOOKUP(A174,'ELN PLP'!A:A,1,0)),"N","Y")</f>
        <v>N</v>
      </c>
      <c r="F174" s="26">
        <f t="shared" si="6"/>
        <v>0</v>
      </c>
      <c r="G174" s="8" t="str">
        <f>IF(ISERROR(VLOOKUP(A174,RDPLP!D:D,1,0)),"N","Y")</f>
        <v>N</v>
      </c>
      <c r="H174" s="8" t="str">
        <f>IF(ISERROR(VLOOKUP(A174,'SCINET-PLP'!D:D,1,0)),"N","Y")</f>
        <v>N</v>
      </c>
      <c r="I174" s="8" t="str">
        <f>IF(ISERROR(VLOOKUP(A174,FLEXPLP!D:D,1,0)),"N","Y")</f>
        <v>N</v>
      </c>
      <c r="J174" s="8" t="str">
        <f>IF(ISERROR(VLOOKUP(A174,'ELN PLP'!D:D,1,0)),"N","Y")</f>
        <v>Y</v>
      </c>
      <c r="K174" s="29">
        <f t="shared" si="7"/>
        <v>1</v>
      </c>
      <c r="L174" s="52" t="str">
        <f>IF(ISERROR(VLOOKUP(A174,RDPLP!G:G,1,0)),"N","Y")</f>
        <v>N</v>
      </c>
      <c r="M174" s="52" t="str">
        <f>IF(ISERROR(VLOOKUP(A174,'SCINET-PLP'!G:G,1,0)),"N","Y")</f>
        <v>N</v>
      </c>
      <c r="N174" s="52" t="str">
        <f>IF(ISERROR(VLOOKUP(A174,FLEXPLP!G:G,1,0)),"N","Y")</f>
        <v>N</v>
      </c>
      <c r="O174" s="52" t="str">
        <f>IF(ISERROR(VLOOKUP(A174,'ELN PLP'!G:G,1,0)),"N","Y")</f>
        <v>N</v>
      </c>
      <c r="P174" s="53">
        <f t="shared" si="8"/>
        <v>0</v>
      </c>
      <c r="R174" s="21">
        <f>IF(K174+F174&gt;0,1,0)</f>
        <v>1</v>
      </c>
      <c r="S174" s="24">
        <f>IF(ISERROR(VLOOKUP(A174,U:U,1,0)),0,1)</f>
        <v>0</v>
      </c>
      <c r="Z174" s="16" t="s">
        <v>1943</v>
      </c>
    </row>
    <row r="175" spans="1:26" x14ac:dyDescent="0.35">
      <c r="A175" s="3" t="s">
        <v>149</v>
      </c>
      <c r="B175" s="5" t="str">
        <f>IF(ISERROR(VLOOKUP(A175,RDPLP!A175:A200,1,0)),"N","Y")</f>
        <v>N</v>
      </c>
      <c r="C175" s="5" t="str">
        <f>IF(ISERROR(VLOOKUP(A175,'SCINET-PLP'!A:A,1,0)),"N","Y")</f>
        <v>N</v>
      </c>
      <c r="D175" s="5" t="str">
        <f>IF(ISERROR(VLOOKUP(A175,FLEXPLP!A:A,1,0)),"N","Y")</f>
        <v>N</v>
      </c>
      <c r="E175" s="5" t="str">
        <f>IF(ISERROR(VLOOKUP(A175,'ELN PLP'!A:A,1,0)),"N","Y")</f>
        <v>N</v>
      </c>
      <c r="F175" s="26">
        <f t="shared" si="6"/>
        <v>0</v>
      </c>
      <c r="G175" s="8" t="str">
        <f>IF(ISERROR(VLOOKUP(A175,RDPLP!D:D,1,0)),"N","Y")</f>
        <v>N</v>
      </c>
      <c r="H175" s="8" t="str">
        <f>IF(ISERROR(VLOOKUP(A175,'SCINET-PLP'!D:D,1,0)),"N","Y")</f>
        <v>N</v>
      </c>
      <c r="I175" s="8" t="str">
        <f>IF(ISERROR(VLOOKUP(A175,FLEXPLP!D:D,1,0)),"N","Y")</f>
        <v>N</v>
      </c>
      <c r="J175" s="8" t="str">
        <f>IF(ISERROR(VLOOKUP(A175,'ELN PLP'!D:D,1,0)),"N","Y")</f>
        <v>Y</v>
      </c>
      <c r="K175" s="29">
        <f t="shared" si="7"/>
        <v>1</v>
      </c>
      <c r="L175" s="52" t="str">
        <f>IF(ISERROR(VLOOKUP(A175,RDPLP!G:G,1,0)),"N","Y")</f>
        <v>N</v>
      </c>
      <c r="M175" s="52" t="str">
        <f>IF(ISERROR(VLOOKUP(A175,'SCINET-PLP'!G:G,1,0)),"N","Y")</f>
        <v>N</v>
      </c>
      <c r="N175" s="52" t="str">
        <f>IF(ISERROR(VLOOKUP(A175,FLEXPLP!G:G,1,0)),"N","Y")</f>
        <v>N</v>
      </c>
      <c r="O175" s="52" t="str">
        <f>IF(ISERROR(VLOOKUP(A175,'ELN PLP'!G:G,1,0)),"N","Y")</f>
        <v>N</v>
      </c>
      <c r="P175" s="53">
        <f t="shared" si="8"/>
        <v>0</v>
      </c>
      <c r="R175" s="21">
        <f>IF(K175+F175&gt;0,1,0)</f>
        <v>1</v>
      </c>
      <c r="S175" s="24">
        <f>IF(ISERROR(VLOOKUP(A175,U:U,1,0)),0,1)</f>
        <v>0</v>
      </c>
      <c r="Z175" s="16" t="s">
        <v>1947</v>
      </c>
    </row>
    <row r="176" spans="1:26" x14ac:dyDescent="0.35">
      <c r="A176" s="3" t="s">
        <v>151</v>
      </c>
      <c r="B176" s="5" t="str">
        <f>IF(ISERROR(VLOOKUP(A176,RDPLP!A176:A201,1,0)),"N","Y")</f>
        <v>N</v>
      </c>
      <c r="C176" s="5" t="str">
        <f>IF(ISERROR(VLOOKUP(A176,'SCINET-PLP'!A:A,1,0)),"N","Y")</f>
        <v>N</v>
      </c>
      <c r="D176" s="5" t="str">
        <f>IF(ISERROR(VLOOKUP(A176,FLEXPLP!A:A,1,0)),"N","Y")</f>
        <v>N</v>
      </c>
      <c r="E176" s="5" t="str">
        <f>IF(ISERROR(VLOOKUP(A176,'ELN PLP'!A:A,1,0)),"N","Y")</f>
        <v>N</v>
      </c>
      <c r="F176" s="26">
        <f t="shared" si="6"/>
        <v>0</v>
      </c>
      <c r="G176" s="8" t="str">
        <f>IF(ISERROR(VLOOKUP(A176,RDPLP!D:D,1,0)),"N","Y")</f>
        <v>N</v>
      </c>
      <c r="H176" s="8" t="str">
        <f>IF(ISERROR(VLOOKUP(A176,'SCINET-PLP'!D:D,1,0)),"N","Y")</f>
        <v>N</v>
      </c>
      <c r="I176" s="8" t="str">
        <f>IF(ISERROR(VLOOKUP(A176,FLEXPLP!D:D,1,0)),"N","Y")</f>
        <v>N</v>
      </c>
      <c r="J176" s="8" t="str">
        <f>IF(ISERROR(VLOOKUP(A176,'ELN PLP'!D:D,1,0)),"N","Y")</f>
        <v>Y</v>
      </c>
      <c r="K176" s="29">
        <f t="shared" si="7"/>
        <v>1</v>
      </c>
      <c r="L176" s="52" t="str">
        <f>IF(ISERROR(VLOOKUP(A176,RDPLP!G:G,1,0)),"N","Y")</f>
        <v>N</v>
      </c>
      <c r="M176" s="52" t="str">
        <f>IF(ISERROR(VLOOKUP(A176,'SCINET-PLP'!G:G,1,0)),"N","Y")</f>
        <v>N</v>
      </c>
      <c r="N176" s="52" t="str">
        <f>IF(ISERROR(VLOOKUP(A176,FLEXPLP!G:G,1,0)),"N","Y")</f>
        <v>N</v>
      </c>
      <c r="O176" s="52" t="str">
        <f>IF(ISERROR(VLOOKUP(A176,'ELN PLP'!G:G,1,0)),"N","Y")</f>
        <v>N</v>
      </c>
      <c r="P176" s="53">
        <f t="shared" si="8"/>
        <v>0</v>
      </c>
      <c r="R176" s="21">
        <f>IF(K176+F176&gt;0,1,0)</f>
        <v>1</v>
      </c>
      <c r="S176" s="24">
        <f>IF(ISERROR(VLOOKUP(A176,U:U,1,0)),0,1)</f>
        <v>0</v>
      </c>
      <c r="Z176" s="16" t="s">
        <v>1948</v>
      </c>
    </row>
    <row r="177" spans="1:26" x14ac:dyDescent="0.35">
      <c r="A177" s="3" t="s">
        <v>155</v>
      </c>
      <c r="B177" s="5" t="str">
        <f>IF(ISERROR(VLOOKUP(A177,RDPLP!A177:A202,1,0)),"N","Y")</f>
        <v>N</v>
      </c>
      <c r="C177" s="5" t="str">
        <f>IF(ISERROR(VLOOKUP(A177,'SCINET-PLP'!A:A,1,0)),"N","Y")</f>
        <v>N</v>
      </c>
      <c r="D177" s="5" t="str">
        <f>IF(ISERROR(VLOOKUP(A177,FLEXPLP!A:A,1,0)),"N","Y")</f>
        <v>N</v>
      </c>
      <c r="E177" s="5" t="str">
        <f>IF(ISERROR(VLOOKUP(A177,'ELN PLP'!A:A,1,0)),"N","Y")</f>
        <v>N</v>
      </c>
      <c r="F177" s="26">
        <f t="shared" si="6"/>
        <v>0</v>
      </c>
      <c r="G177" s="8" t="str">
        <f>IF(ISERROR(VLOOKUP(A177,RDPLP!D:D,1,0)),"N","Y")</f>
        <v>N</v>
      </c>
      <c r="H177" s="8" t="str">
        <f>IF(ISERROR(VLOOKUP(A177,'SCINET-PLP'!D:D,1,0)),"N","Y")</f>
        <v>N</v>
      </c>
      <c r="I177" s="8" t="str">
        <f>IF(ISERROR(VLOOKUP(A177,FLEXPLP!D:D,1,0)),"N","Y")</f>
        <v>N</v>
      </c>
      <c r="J177" s="8" t="str">
        <f>IF(ISERROR(VLOOKUP(A177,'ELN PLP'!D:D,1,0)),"N","Y")</f>
        <v>Y</v>
      </c>
      <c r="K177" s="29">
        <f t="shared" si="7"/>
        <v>1</v>
      </c>
      <c r="L177" s="52" t="str">
        <f>IF(ISERROR(VLOOKUP(A177,RDPLP!G:G,1,0)),"N","Y")</f>
        <v>N</v>
      </c>
      <c r="M177" s="52" t="str">
        <f>IF(ISERROR(VLOOKUP(A177,'SCINET-PLP'!G:G,1,0)),"N","Y")</f>
        <v>N</v>
      </c>
      <c r="N177" s="52" t="str">
        <f>IF(ISERROR(VLOOKUP(A177,FLEXPLP!G:G,1,0)),"N","Y")</f>
        <v>N</v>
      </c>
      <c r="O177" s="52" t="str">
        <f>IF(ISERROR(VLOOKUP(A177,'ELN PLP'!G:G,1,0)),"N","Y")</f>
        <v>N</v>
      </c>
      <c r="P177" s="53">
        <f t="shared" si="8"/>
        <v>0</v>
      </c>
      <c r="R177" s="21">
        <f>IF(K177+F177&gt;0,1,0)</f>
        <v>1</v>
      </c>
      <c r="S177" s="24">
        <f>IF(ISERROR(VLOOKUP(A177,U:U,1,0)),0,1)</f>
        <v>0</v>
      </c>
      <c r="Z177" s="16" t="s">
        <v>1952</v>
      </c>
    </row>
    <row r="178" spans="1:26" x14ac:dyDescent="0.35">
      <c r="A178" s="3" t="s">
        <v>156</v>
      </c>
      <c r="B178" s="5" t="str">
        <f>IF(ISERROR(VLOOKUP(A178,RDPLP!A178:A203,1,0)),"N","Y")</f>
        <v>N</v>
      </c>
      <c r="C178" s="5" t="str">
        <f>IF(ISERROR(VLOOKUP(A178,'SCINET-PLP'!A:A,1,0)),"N","Y")</f>
        <v>N</v>
      </c>
      <c r="D178" s="5" t="str">
        <f>IF(ISERROR(VLOOKUP(A178,FLEXPLP!A:A,1,0)),"N","Y")</f>
        <v>N</v>
      </c>
      <c r="E178" s="5" t="str">
        <f>IF(ISERROR(VLOOKUP(A178,'ELN PLP'!A:A,1,0)),"N","Y")</f>
        <v>N</v>
      </c>
      <c r="F178" s="26">
        <f t="shared" si="6"/>
        <v>0</v>
      </c>
      <c r="G178" s="8" t="str">
        <f>IF(ISERROR(VLOOKUP(A178,RDPLP!D:D,1,0)),"N","Y")</f>
        <v>N</v>
      </c>
      <c r="H178" s="8" t="str">
        <f>IF(ISERROR(VLOOKUP(A178,'SCINET-PLP'!D:D,1,0)),"N","Y")</f>
        <v>N</v>
      </c>
      <c r="I178" s="8" t="str">
        <f>IF(ISERROR(VLOOKUP(A178,FLEXPLP!D:D,1,0)),"N","Y")</f>
        <v>N</v>
      </c>
      <c r="J178" s="8" t="str">
        <f>IF(ISERROR(VLOOKUP(A178,'ELN PLP'!D:D,1,0)),"N","Y")</f>
        <v>Y</v>
      </c>
      <c r="K178" s="29">
        <f t="shared" si="7"/>
        <v>1</v>
      </c>
      <c r="L178" s="52" t="str">
        <f>IF(ISERROR(VLOOKUP(A178,RDPLP!G:G,1,0)),"N","Y")</f>
        <v>N</v>
      </c>
      <c r="M178" s="52" t="str">
        <f>IF(ISERROR(VLOOKUP(A178,'SCINET-PLP'!G:G,1,0)),"N","Y")</f>
        <v>N</v>
      </c>
      <c r="N178" s="52" t="str">
        <f>IF(ISERROR(VLOOKUP(A178,FLEXPLP!G:G,1,0)),"N","Y")</f>
        <v>N</v>
      </c>
      <c r="O178" s="52" t="str">
        <f>IF(ISERROR(VLOOKUP(A178,'ELN PLP'!G:G,1,0)),"N","Y")</f>
        <v>N</v>
      </c>
      <c r="P178" s="53">
        <f t="shared" si="8"/>
        <v>0</v>
      </c>
      <c r="R178" s="21">
        <f>IF(K178+F178&gt;0,1,0)</f>
        <v>1</v>
      </c>
      <c r="S178" s="24">
        <f>IF(ISERROR(VLOOKUP(A178,U:U,1,0)),0,1)</f>
        <v>0</v>
      </c>
      <c r="Z178" s="16" t="s">
        <v>1956</v>
      </c>
    </row>
    <row r="179" spans="1:26" x14ac:dyDescent="0.35">
      <c r="A179" s="3" t="s">
        <v>159</v>
      </c>
      <c r="B179" s="5" t="str">
        <f>IF(ISERROR(VLOOKUP(A179,RDPLP!A179:A204,1,0)),"N","Y")</f>
        <v>N</v>
      </c>
      <c r="C179" s="5" t="str">
        <f>IF(ISERROR(VLOOKUP(A179,'SCINET-PLP'!A:A,1,0)),"N","Y")</f>
        <v>N</v>
      </c>
      <c r="D179" s="5" t="str">
        <f>IF(ISERROR(VLOOKUP(A179,FLEXPLP!A:A,1,0)),"N","Y")</f>
        <v>N</v>
      </c>
      <c r="E179" s="5" t="str">
        <f>IF(ISERROR(VLOOKUP(A179,'ELN PLP'!A:A,1,0)),"N","Y")</f>
        <v>N</v>
      </c>
      <c r="F179" s="26">
        <f t="shared" si="6"/>
        <v>0</v>
      </c>
      <c r="G179" s="8" t="str">
        <f>IF(ISERROR(VLOOKUP(A179,RDPLP!D:D,1,0)),"N","Y")</f>
        <v>N</v>
      </c>
      <c r="H179" s="8" t="str">
        <f>IF(ISERROR(VLOOKUP(A179,'SCINET-PLP'!D:D,1,0)),"N","Y")</f>
        <v>N</v>
      </c>
      <c r="I179" s="8" t="str">
        <f>IF(ISERROR(VLOOKUP(A179,FLEXPLP!D:D,1,0)),"N","Y")</f>
        <v>N</v>
      </c>
      <c r="J179" s="8" t="str">
        <f>IF(ISERROR(VLOOKUP(A179,'ELN PLP'!D:D,1,0)),"N","Y")</f>
        <v>Y</v>
      </c>
      <c r="K179" s="29">
        <f t="shared" si="7"/>
        <v>1</v>
      </c>
      <c r="L179" s="52" t="str">
        <f>IF(ISERROR(VLOOKUP(A179,RDPLP!G:G,1,0)),"N","Y")</f>
        <v>N</v>
      </c>
      <c r="M179" s="52" t="str">
        <f>IF(ISERROR(VLOOKUP(A179,'SCINET-PLP'!G:G,1,0)),"N","Y")</f>
        <v>N</v>
      </c>
      <c r="N179" s="52" t="str">
        <f>IF(ISERROR(VLOOKUP(A179,FLEXPLP!G:G,1,0)),"N","Y")</f>
        <v>N</v>
      </c>
      <c r="O179" s="52" t="str">
        <f>IF(ISERROR(VLOOKUP(A179,'ELN PLP'!G:G,1,0)),"N","Y")</f>
        <v>N</v>
      </c>
      <c r="P179" s="53">
        <f t="shared" si="8"/>
        <v>0</v>
      </c>
      <c r="R179" s="21">
        <f>IF(K179+F179&gt;0,1,0)</f>
        <v>1</v>
      </c>
      <c r="S179" s="24">
        <f>IF(ISERROR(VLOOKUP(A179,U:U,1,0)),0,1)</f>
        <v>0</v>
      </c>
      <c r="Z179" s="16" t="s">
        <v>1958</v>
      </c>
    </row>
    <row r="180" spans="1:26" x14ac:dyDescent="0.35">
      <c r="A180" s="3" t="s">
        <v>162</v>
      </c>
      <c r="B180" s="5" t="str">
        <f>IF(ISERROR(VLOOKUP(A180,RDPLP!A180:A205,1,0)),"N","Y")</f>
        <v>N</v>
      </c>
      <c r="C180" s="5" t="str">
        <f>IF(ISERROR(VLOOKUP(A180,'SCINET-PLP'!A:A,1,0)),"N","Y")</f>
        <v>N</v>
      </c>
      <c r="D180" s="5" t="str">
        <f>IF(ISERROR(VLOOKUP(A180,FLEXPLP!A:A,1,0)),"N","Y")</f>
        <v>N</v>
      </c>
      <c r="E180" s="5" t="str">
        <f>IF(ISERROR(VLOOKUP(A180,'ELN PLP'!A:A,1,0)),"N","Y")</f>
        <v>N</v>
      </c>
      <c r="F180" s="26">
        <f t="shared" si="6"/>
        <v>0</v>
      </c>
      <c r="G180" s="8" t="str">
        <f>IF(ISERROR(VLOOKUP(A180,RDPLP!D:D,1,0)),"N","Y")</f>
        <v>N</v>
      </c>
      <c r="H180" s="8" t="str">
        <f>IF(ISERROR(VLOOKUP(A180,'SCINET-PLP'!D:D,1,0)),"N","Y")</f>
        <v>N</v>
      </c>
      <c r="I180" s="8" t="str">
        <f>IF(ISERROR(VLOOKUP(A180,FLEXPLP!D:D,1,0)),"N","Y")</f>
        <v>N</v>
      </c>
      <c r="J180" s="8" t="str">
        <f>IF(ISERROR(VLOOKUP(A180,'ELN PLP'!D:D,1,0)),"N","Y")</f>
        <v>Y</v>
      </c>
      <c r="K180" s="29">
        <f t="shared" si="7"/>
        <v>1</v>
      </c>
      <c r="L180" s="52" t="str">
        <f>IF(ISERROR(VLOOKUP(A180,RDPLP!G:G,1,0)),"N","Y")</f>
        <v>N</v>
      </c>
      <c r="M180" s="52" t="str">
        <f>IF(ISERROR(VLOOKUP(A180,'SCINET-PLP'!G:G,1,0)),"N","Y")</f>
        <v>N</v>
      </c>
      <c r="N180" s="52" t="str">
        <f>IF(ISERROR(VLOOKUP(A180,FLEXPLP!G:G,1,0)),"N","Y")</f>
        <v>N</v>
      </c>
      <c r="O180" s="52" t="str">
        <f>IF(ISERROR(VLOOKUP(A180,'ELN PLP'!G:G,1,0)),"N","Y")</f>
        <v>N</v>
      </c>
      <c r="P180" s="53">
        <f t="shared" si="8"/>
        <v>0</v>
      </c>
      <c r="R180" s="21">
        <f>IF(K180+F180&gt;0,1,0)</f>
        <v>1</v>
      </c>
      <c r="S180" s="24">
        <f>IF(ISERROR(VLOOKUP(A180,U:U,1,0)),0,1)</f>
        <v>0</v>
      </c>
      <c r="Z180" s="16" t="s">
        <v>1960</v>
      </c>
    </row>
    <row r="181" spans="1:26" x14ac:dyDescent="0.35">
      <c r="A181" s="3" t="s">
        <v>164</v>
      </c>
      <c r="B181" s="5" t="str">
        <f>IF(ISERROR(VLOOKUP(A181,RDPLP!A181:A206,1,0)),"N","Y")</f>
        <v>N</v>
      </c>
      <c r="C181" s="5" t="str">
        <f>IF(ISERROR(VLOOKUP(A181,'SCINET-PLP'!A:A,1,0)),"N","Y")</f>
        <v>N</v>
      </c>
      <c r="D181" s="5" t="str">
        <f>IF(ISERROR(VLOOKUP(A181,FLEXPLP!A:A,1,0)),"N","Y")</f>
        <v>N</v>
      </c>
      <c r="E181" s="5" t="str">
        <f>IF(ISERROR(VLOOKUP(A181,'ELN PLP'!A:A,1,0)),"N","Y")</f>
        <v>N</v>
      </c>
      <c r="F181" s="26">
        <f t="shared" si="6"/>
        <v>0</v>
      </c>
      <c r="G181" s="8" t="str">
        <f>IF(ISERROR(VLOOKUP(A181,RDPLP!D:D,1,0)),"N","Y")</f>
        <v>N</v>
      </c>
      <c r="H181" s="8" t="str">
        <f>IF(ISERROR(VLOOKUP(A181,'SCINET-PLP'!D:D,1,0)),"N","Y")</f>
        <v>N</v>
      </c>
      <c r="I181" s="8" t="str">
        <f>IF(ISERROR(VLOOKUP(A181,FLEXPLP!D:D,1,0)),"N","Y")</f>
        <v>N</v>
      </c>
      <c r="J181" s="8" t="str">
        <f>IF(ISERROR(VLOOKUP(A181,'ELN PLP'!D:D,1,0)),"N","Y")</f>
        <v>Y</v>
      </c>
      <c r="K181" s="29">
        <f t="shared" si="7"/>
        <v>1</v>
      </c>
      <c r="L181" s="52" t="str">
        <f>IF(ISERROR(VLOOKUP(A181,RDPLP!G:G,1,0)),"N","Y")</f>
        <v>N</v>
      </c>
      <c r="M181" s="52" t="str">
        <f>IF(ISERROR(VLOOKUP(A181,'SCINET-PLP'!G:G,1,0)),"N","Y")</f>
        <v>N</v>
      </c>
      <c r="N181" s="52" t="str">
        <f>IF(ISERROR(VLOOKUP(A181,FLEXPLP!G:G,1,0)),"N","Y")</f>
        <v>N</v>
      </c>
      <c r="O181" s="52" t="str">
        <f>IF(ISERROR(VLOOKUP(A181,'ELN PLP'!G:G,1,0)),"N","Y")</f>
        <v>Y</v>
      </c>
      <c r="P181" s="53">
        <f t="shared" si="8"/>
        <v>1</v>
      </c>
      <c r="R181" s="21">
        <f>IF(K181+F181&gt;0,1,0)</f>
        <v>1</v>
      </c>
      <c r="S181" s="24">
        <f>IF(ISERROR(VLOOKUP(A181,U:U,1,0)),0,1)</f>
        <v>0</v>
      </c>
      <c r="Z181" s="16" t="s">
        <v>1963</v>
      </c>
    </row>
    <row r="182" spans="1:26" x14ac:dyDescent="0.35">
      <c r="A182" s="3" t="s">
        <v>166</v>
      </c>
      <c r="B182" s="5" t="str">
        <f>IF(ISERROR(VLOOKUP(A182,RDPLP!A182:A207,1,0)),"N","Y")</f>
        <v>N</v>
      </c>
      <c r="C182" s="5" t="str">
        <f>IF(ISERROR(VLOOKUP(A182,'SCINET-PLP'!A:A,1,0)),"N","Y")</f>
        <v>N</v>
      </c>
      <c r="D182" s="5" t="str">
        <f>IF(ISERROR(VLOOKUP(A182,FLEXPLP!A:A,1,0)),"N","Y")</f>
        <v>N</v>
      </c>
      <c r="E182" s="5" t="str">
        <f>IF(ISERROR(VLOOKUP(A182,'ELN PLP'!A:A,1,0)),"N","Y")</f>
        <v>N</v>
      </c>
      <c r="F182" s="26">
        <f t="shared" si="6"/>
        <v>0</v>
      </c>
      <c r="G182" s="8" t="str">
        <f>IF(ISERROR(VLOOKUP(A182,RDPLP!D:D,1,0)),"N","Y")</f>
        <v>N</v>
      </c>
      <c r="H182" s="8" t="str">
        <f>IF(ISERROR(VLOOKUP(A182,'SCINET-PLP'!D:D,1,0)),"N","Y")</f>
        <v>N</v>
      </c>
      <c r="I182" s="8" t="str">
        <f>IF(ISERROR(VLOOKUP(A182,FLEXPLP!D:D,1,0)),"N","Y")</f>
        <v>N</v>
      </c>
      <c r="J182" s="8" t="str">
        <f>IF(ISERROR(VLOOKUP(A182,'ELN PLP'!D:D,1,0)),"N","Y")</f>
        <v>Y</v>
      </c>
      <c r="K182" s="29">
        <f t="shared" si="7"/>
        <v>1</v>
      </c>
      <c r="L182" s="52" t="str">
        <f>IF(ISERROR(VLOOKUP(A182,RDPLP!G:G,1,0)),"N","Y")</f>
        <v>N</v>
      </c>
      <c r="M182" s="52" t="str">
        <f>IF(ISERROR(VLOOKUP(A182,'SCINET-PLP'!G:G,1,0)),"N","Y")</f>
        <v>N</v>
      </c>
      <c r="N182" s="52" t="str">
        <f>IF(ISERROR(VLOOKUP(A182,FLEXPLP!G:G,1,0)),"N","Y")</f>
        <v>N</v>
      </c>
      <c r="O182" s="52" t="str">
        <f>IF(ISERROR(VLOOKUP(A182,'ELN PLP'!G:G,1,0)),"N","Y")</f>
        <v>N</v>
      </c>
      <c r="P182" s="53">
        <f t="shared" si="8"/>
        <v>0</v>
      </c>
      <c r="R182" s="21">
        <f>IF(K182+F182&gt;0,1,0)</f>
        <v>1</v>
      </c>
      <c r="S182" s="24">
        <f>IF(ISERROR(VLOOKUP(A182,U:U,1,0)),0,1)</f>
        <v>0</v>
      </c>
      <c r="Z182" s="16" t="s">
        <v>1966</v>
      </c>
    </row>
    <row r="183" spans="1:26" x14ac:dyDescent="0.35">
      <c r="A183" s="3" t="s">
        <v>168</v>
      </c>
      <c r="B183" s="5" t="str">
        <f>IF(ISERROR(VLOOKUP(A183,RDPLP!A183:A208,1,0)),"N","Y")</f>
        <v>N</v>
      </c>
      <c r="C183" s="5" t="str">
        <f>IF(ISERROR(VLOOKUP(A183,'SCINET-PLP'!A:A,1,0)),"N","Y")</f>
        <v>N</v>
      </c>
      <c r="D183" s="5" t="str">
        <f>IF(ISERROR(VLOOKUP(A183,FLEXPLP!A:A,1,0)),"N","Y")</f>
        <v>N</v>
      </c>
      <c r="E183" s="5" t="str">
        <f>IF(ISERROR(VLOOKUP(A183,'ELN PLP'!A:A,1,0)),"N","Y")</f>
        <v>N</v>
      </c>
      <c r="F183" s="26">
        <f t="shared" si="6"/>
        <v>0</v>
      </c>
      <c r="G183" s="8" t="str">
        <f>IF(ISERROR(VLOOKUP(A183,RDPLP!D:D,1,0)),"N","Y")</f>
        <v>N</v>
      </c>
      <c r="H183" s="8" t="str">
        <f>IF(ISERROR(VLOOKUP(A183,'SCINET-PLP'!D:D,1,0)),"N","Y")</f>
        <v>N</v>
      </c>
      <c r="I183" s="8" t="str">
        <f>IF(ISERROR(VLOOKUP(A183,FLEXPLP!D:D,1,0)),"N","Y")</f>
        <v>N</v>
      </c>
      <c r="J183" s="8" t="str">
        <f>IF(ISERROR(VLOOKUP(A183,'ELN PLP'!D:D,1,0)),"N","Y")</f>
        <v>Y</v>
      </c>
      <c r="K183" s="29">
        <f t="shared" si="7"/>
        <v>1</v>
      </c>
      <c r="L183" s="52" t="str">
        <f>IF(ISERROR(VLOOKUP(A183,RDPLP!G:G,1,0)),"N","Y")</f>
        <v>N</v>
      </c>
      <c r="M183" s="52" t="str">
        <f>IF(ISERROR(VLOOKUP(A183,'SCINET-PLP'!G:G,1,0)),"N","Y")</f>
        <v>N</v>
      </c>
      <c r="N183" s="52" t="str">
        <f>IF(ISERROR(VLOOKUP(A183,FLEXPLP!G:G,1,0)),"N","Y")</f>
        <v>N</v>
      </c>
      <c r="O183" s="52" t="str">
        <f>IF(ISERROR(VLOOKUP(A183,'ELN PLP'!G:G,1,0)),"N","Y")</f>
        <v>N</v>
      </c>
      <c r="P183" s="53">
        <f t="shared" si="8"/>
        <v>0</v>
      </c>
      <c r="R183" s="21">
        <f>IF(K183+F183&gt;0,1,0)</f>
        <v>1</v>
      </c>
      <c r="S183" s="24">
        <f>IF(ISERROR(VLOOKUP(A183,U:U,1,0)),0,1)</f>
        <v>0</v>
      </c>
      <c r="Z183" s="16" t="s">
        <v>1969</v>
      </c>
    </row>
    <row r="184" spans="1:26" x14ac:dyDescent="0.35">
      <c r="A184" s="3" t="s">
        <v>169</v>
      </c>
      <c r="B184" s="5" t="str">
        <f>IF(ISERROR(VLOOKUP(A184,RDPLP!A184:A209,1,0)),"N","Y")</f>
        <v>N</v>
      </c>
      <c r="C184" s="5" t="str">
        <f>IF(ISERROR(VLOOKUP(A184,'SCINET-PLP'!A:A,1,0)),"N","Y")</f>
        <v>N</v>
      </c>
      <c r="D184" s="5" t="str">
        <f>IF(ISERROR(VLOOKUP(A184,FLEXPLP!A:A,1,0)),"N","Y")</f>
        <v>N</v>
      </c>
      <c r="E184" s="5" t="str">
        <f>IF(ISERROR(VLOOKUP(A184,'ELN PLP'!A:A,1,0)),"N","Y")</f>
        <v>N</v>
      </c>
      <c r="F184" s="26">
        <f t="shared" si="6"/>
        <v>0</v>
      </c>
      <c r="G184" s="8" t="str">
        <f>IF(ISERROR(VLOOKUP(A184,RDPLP!D:D,1,0)),"N","Y")</f>
        <v>N</v>
      </c>
      <c r="H184" s="8" t="str">
        <f>IF(ISERROR(VLOOKUP(A184,'SCINET-PLP'!D:D,1,0)),"N","Y")</f>
        <v>N</v>
      </c>
      <c r="I184" s="8" t="str">
        <f>IF(ISERROR(VLOOKUP(A184,FLEXPLP!D:D,1,0)),"N","Y")</f>
        <v>N</v>
      </c>
      <c r="J184" s="8" t="str">
        <f>IF(ISERROR(VLOOKUP(A184,'ELN PLP'!D:D,1,0)),"N","Y")</f>
        <v>Y</v>
      </c>
      <c r="K184" s="29">
        <f t="shared" si="7"/>
        <v>1</v>
      </c>
      <c r="L184" s="52" t="str">
        <f>IF(ISERROR(VLOOKUP(A184,RDPLP!G:G,1,0)),"N","Y")</f>
        <v>N</v>
      </c>
      <c r="M184" s="52" t="str">
        <f>IF(ISERROR(VLOOKUP(A184,'SCINET-PLP'!G:G,1,0)),"N","Y")</f>
        <v>N</v>
      </c>
      <c r="N184" s="52" t="str">
        <f>IF(ISERROR(VLOOKUP(A184,FLEXPLP!G:G,1,0)),"N","Y")</f>
        <v>N</v>
      </c>
      <c r="O184" s="52" t="str">
        <f>IF(ISERROR(VLOOKUP(A184,'ELN PLP'!G:G,1,0)),"N","Y")</f>
        <v>Y</v>
      </c>
      <c r="P184" s="53">
        <f t="shared" si="8"/>
        <v>1</v>
      </c>
      <c r="R184" s="21">
        <f>IF(K184+F184&gt;0,1,0)</f>
        <v>1</v>
      </c>
      <c r="S184" s="24">
        <f>IF(ISERROR(VLOOKUP(A184,U:U,1,0)),0,1)</f>
        <v>0</v>
      </c>
      <c r="Z184" s="16" t="s">
        <v>1972</v>
      </c>
    </row>
    <row r="185" spans="1:26" x14ac:dyDescent="0.35">
      <c r="A185" s="3" t="s">
        <v>171</v>
      </c>
      <c r="B185" s="5" t="str">
        <f>IF(ISERROR(VLOOKUP(A185,RDPLP!A185:A210,1,0)),"N","Y")</f>
        <v>N</v>
      </c>
      <c r="C185" s="5" t="str">
        <f>IF(ISERROR(VLOOKUP(A185,'SCINET-PLP'!A:A,1,0)),"N","Y")</f>
        <v>N</v>
      </c>
      <c r="D185" s="5" t="str">
        <f>IF(ISERROR(VLOOKUP(A185,FLEXPLP!A:A,1,0)),"N","Y")</f>
        <v>N</v>
      </c>
      <c r="E185" s="5" t="str">
        <f>IF(ISERROR(VLOOKUP(A185,'ELN PLP'!A:A,1,0)),"N","Y")</f>
        <v>N</v>
      </c>
      <c r="F185" s="26">
        <f t="shared" si="6"/>
        <v>0</v>
      </c>
      <c r="G185" s="8" t="str">
        <f>IF(ISERROR(VLOOKUP(A185,RDPLP!D:D,1,0)),"N","Y")</f>
        <v>N</v>
      </c>
      <c r="H185" s="8" t="str">
        <f>IF(ISERROR(VLOOKUP(A185,'SCINET-PLP'!D:D,1,0)),"N","Y")</f>
        <v>N</v>
      </c>
      <c r="I185" s="8" t="str">
        <f>IF(ISERROR(VLOOKUP(A185,FLEXPLP!D:D,1,0)),"N","Y")</f>
        <v>N</v>
      </c>
      <c r="J185" s="8" t="str">
        <f>IF(ISERROR(VLOOKUP(A185,'ELN PLP'!D:D,1,0)),"N","Y")</f>
        <v>Y</v>
      </c>
      <c r="K185" s="29">
        <f t="shared" si="7"/>
        <v>1</v>
      </c>
      <c r="L185" s="52" t="str">
        <f>IF(ISERROR(VLOOKUP(A185,RDPLP!G:G,1,0)),"N","Y")</f>
        <v>N</v>
      </c>
      <c r="M185" s="52" t="str">
        <f>IF(ISERROR(VLOOKUP(A185,'SCINET-PLP'!G:G,1,0)),"N","Y")</f>
        <v>N</v>
      </c>
      <c r="N185" s="52" t="str">
        <f>IF(ISERROR(VLOOKUP(A185,FLEXPLP!G:G,1,0)),"N","Y")</f>
        <v>N</v>
      </c>
      <c r="O185" s="52" t="str">
        <f>IF(ISERROR(VLOOKUP(A185,'ELN PLP'!G:G,1,0)),"N","Y")</f>
        <v>Y</v>
      </c>
      <c r="P185" s="53">
        <f t="shared" si="8"/>
        <v>1</v>
      </c>
      <c r="R185" s="21">
        <f>IF(K185+F185&gt;0,1,0)</f>
        <v>1</v>
      </c>
      <c r="S185" s="24">
        <f>IF(ISERROR(VLOOKUP(A185,U:U,1,0)),0,1)</f>
        <v>0</v>
      </c>
      <c r="Z185" s="16" t="s">
        <v>1975</v>
      </c>
    </row>
    <row r="186" spans="1:26" x14ac:dyDescent="0.35">
      <c r="A186" s="3" t="s">
        <v>172</v>
      </c>
      <c r="B186" s="5" t="str">
        <f>IF(ISERROR(VLOOKUP(A186,RDPLP!A186:A211,1,0)),"N","Y")</f>
        <v>N</v>
      </c>
      <c r="C186" s="5" t="str">
        <f>IF(ISERROR(VLOOKUP(A186,'SCINET-PLP'!A:A,1,0)),"N","Y")</f>
        <v>N</v>
      </c>
      <c r="D186" s="5" t="str">
        <f>IF(ISERROR(VLOOKUP(A186,FLEXPLP!A:A,1,0)),"N","Y")</f>
        <v>N</v>
      </c>
      <c r="E186" s="5" t="str">
        <f>IF(ISERROR(VLOOKUP(A186,'ELN PLP'!A:A,1,0)),"N","Y")</f>
        <v>N</v>
      </c>
      <c r="F186" s="26">
        <f t="shared" si="6"/>
        <v>0</v>
      </c>
      <c r="G186" s="8" t="str">
        <f>IF(ISERROR(VLOOKUP(A186,RDPLP!D:D,1,0)),"N","Y")</f>
        <v>N</v>
      </c>
      <c r="H186" s="8" t="str">
        <f>IF(ISERROR(VLOOKUP(A186,'SCINET-PLP'!D:D,1,0)),"N","Y")</f>
        <v>N</v>
      </c>
      <c r="I186" s="8" t="str">
        <f>IF(ISERROR(VLOOKUP(A186,FLEXPLP!D:D,1,0)),"N","Y")</f>
        <v>N</v>
      </c>
      <c r="J186" s="8" t="str">
        <f>IF(ISERROR(VLOOKUP(A186,'ELN PLP'!D:D,1,0)),"N","Y")</f>
        <v>Y</v>
      </c>
      <c r="K186" s="29">
        <f t="shared" si="7"/>
        <v>1</v>
      </c>
      <c r="L186" s="52" t="str">
        <f>IF(ISERROR(VLOOKUP(A186,RDPLP!G:G,1,0)),"N","Y")</f>
        <v>N</v>
      </c>
      <c r="M186" s="52" t="str">
        <f>IF(ISERROR(VLOOKUP(A186,'SCINET-PLP'!G:G,1,0)),"N","Y")</f>
        <v>N</v>
      </c>
      <c r="N186" s="52" t="str">
        <f>IF(ISERROR(VLOOKUP(A186,FLEXPLP!G:G,1,0)),"N","Y")</f>
        <v>N</v>
      </c>
      <c r="O186" s="52" t="str">
        <f>IF(ISERROR(VLOOKUP(A186,'ELN PLP'!G:G,1,0)),"N","Y")</f>
        <v>N</v>
      </c>
      <c r="P186" s="53">
        <f t="shared" si="8"/>
        <v>0</v>
      </c>
      <c r="R186" s="21">
        <f>IF(K186+F186&gt;0,1,0)</f>
        <v>1</v>
      </c>
      <c r="S186" s="24">
        <f>IF(ISERROR(VLOOKUP(A186,U:U,1,0)),0,1)</f>
        <v>0</v>
      </c>
      <c r="Z186" s="16" t="s">
        <v>1977</v>
      </c>
    </row>
    <row r="187" spans="1:26" x14ac:dyDescent="0.35">
      <c r="A187" s="3" t="s">
        <v>174</v>
      </c>
      <c r="B187" s="5" t="str">
        <f>IF(ISERROR(VLOOKUP(A187,RDPLP!A187:A212,1,0)),"N","Y")</f>
        <v>N</v>
      </c>
      <c r="C187" s="5" t="str">
        <f>IF(ISERROR(VLOOKUP(A187,'SCINET-PLP'!A:A,1,0)),"N","Y")</f>
        <v>N</v>
      </c>
      <c r="D187" s="5" t="str">
        <f>IF(ISERROR(VLOOKUP(A187,FLEXPLP!A:A,1,0)),"N","Y")</f>
        <v>N</v>
      </c>
      <c r="E187" s="5" t="str">
        <f>IF(ISERROR(VLOOKUP(A187,'ELN PLP'!A:A,1,0)),"N","Y")</f>
        <v>N</v>
      </c>
      <c r="F187" s="26">
        <f t="shared" si="6"/>
        <v>0</v>
      </c>
      <c r="G187" s="8" t="str">
        <f>IF(ISERROR(VLOOKUP(A187,RDPLP!D:D,1,0)),"N","Y")</f>
        <v>N</v>
      </c>
      <c r="H187" s="8" t="str">
        <f>IF(ISERROR(VLOOKUP(A187,'SCINET-PLP'!D:D,1,0)),"N","Y")</f>
        <v>N</v>
      </c>
      <c r="I187" s="8" t="str">
        <f>IF(ISERROR(VLOOKUP(A187,FLEXPLP!D:D,1,0)),"N","Y")</f>
        <v>N</v>
      </c>
      <c r="J187" s="8" t="str">
        <f>IF(ISERROR(VLOOKUP(A187,'ELN PLP'!D:D,1,0)),"N","Y")</f>
        <v>Y</v>
      </c>
      <c r="K187" s="29">
        <f t="shared" si="7"/>
        <v>1</v>
      </c>
      <c r="L187" s="52" t="str">
        <f>IF(ISERROR(VLOOKUP(A187,RDPLP!G:G,1,0)),"N","Y")</f>
        <v>N</v>
      </c>
      <c r="M187" s="52" t="str">
        <f>IF(ISERROR(VLOOKUP(A187,'SCINET-PLP'!G:G,1,0)),"N","Y")</f>
        <v>N</v>
      </c>
      <c r="N187" s="52" t="str">
        <f>IF(ISERROR(VLOOKUP(A187,FLEXPLP!G:G,1,0)),"N","Y")</f>
        <v>N</v>
      </c>
      <c r="O187" s="52" t="str">
        <f>IF(ISERROR(VLOOKUP(A187,'ELN PLP'!G:G,1,0)),"N","Y")</f>
        <v>N</v>
      </c>
      <c r="P187" s="53">
        <f t="shared" si="8"/>
        <v>0</v>
      </c>
      <c r="R187" s="21">
        <f>IF(K187+F187&gt;0,1,0)</f>
        <v>1</v>
      </c>
      <c r="S187" s="24">
        <f>IF(ISERROR(VLOOKUP(A187,U:U,1,0)),0,1)</f>
        <v>0</v>
      </c>
      <c r="Z187" s="16" t="s">
        <v>1980</v>
      </c>
    </row>
    <row r="188" spans="1:26" x14ac:dyDescent="0.35">
      <c r="A188" s="6" t="s">
        <v>1851</v>
      </c>
      <c r="B188" s="5" t="str">
        <f>IF(ISERROR(VLOOKUP(A188,RDPLP!A188:A213,1,0)),"N","Y")</f>
        <v>N</v>
      </c>
      <c r="C188" s="5" t="str">
        <f>IF(ISERROR(VLOOKUP(A188,'SCINET-PLP'!A:A,1,0)),"N","Y")</f>
        <v>N</v>
      </c>
      <c r="D188" s="5" t="str">
        <f>IF(ISERROR(VLOOKUP(A188,FLEXPLP!A:A,1,0)),"N","Y")</f>
        <v>N</v>
      </c>
      <c r="E188" s="5" t="str">
        <f>IF(ISERROR(VLOOKUP(A188,'ELN PLP'!A:A,1,0)),"N","Y")</f>
        <v>N</v>
      </c>
      <c r="F188" s="26">
        <f t="shared" ref="F188" si="9">IF(COUNTIF(B188:E188,"Y")&gt;0,1,0)</f>
        <v>0</v>
      </c>
      <c r="G188" s="8" t="str">
        <f>IF(ISERROR(VLOOKUP(A188,RDPLP!D:D,1,0)),"N","Y")</f>
        <v>N</v>
      </c>
      <c r="H188" s="8" t="str">
        <f>IF(ISERROR(VLOOKUP(A188,'SCINET-PLP'!D:D,1,0)),"N","Y")</f>
        <v>N</v>
      </c>
      <c r="I188" s="8" t="str">
        <f>IF(ISERROR(VLOOKUP(A188,FLEXPLP!D:D,1,0)),"N","Y")</f>
        <v>N</v>
      </c>
      <c r="J188" s="8" t="str">
        <f>IF(ISERROR(VLOOKUP(A188,'ELN PLP'!D:D,1,0)),"N","Y")</f>
        <v>N</v>
      </c>
      <c r="K188" s="29">
        <f t="shared" ref="K188" si="10">IF(COUNTIF(G188:J188,"Y")&gt;0,1,0)</f>
        <v>0</v>
      </c>
      <c r="L188" s="52" t="str">
        <f>IF(ISERROR(VLOOKUP(A188,RDPLP!G:G,1,0)),"N","Y")</f>
        <v>N</v>
      </c>
      <c r="M188" s="52" t="str">
        <f>IF(ISERROR(VLOOKUP(A188,'SCINET-PLP'!G:G,1,0)),"N","Y")</f>
        <v>N</v>
      </c>
      <c r="N188" s="52" t="str">
        <f>IF(ISERROR(VLOOKUP(A188,FLEXPLP!G:G,1,0)),"N","Y")</f>
        <v>N</v>
      </c>
      <c r="O188" s="52" t="str">
        <f>IF(ISERROR(VLOOKUP(A188,'ELN PLP'!G:G,1,0)),"N","Y")</f>
        <v>N</v>
      </c>
      <c r="P188" s="53">
        <f t="shared" si="8"/>
        <v>0</v>
      </c>
      <c r="R188" s="21">
        <f>IF(K188+F188&gt;0,1,0)</f>
        <v>0</v>
      </c>
      <c r="S188" s="24">
        <f>IF(ISERROR(VLOOKUP(A188,U:U,1,0)),0,1)</f>
        <v>0</v>
      </c>
      <c r="Z188" s="16" t="s">
        <v>1983</v>
      </c>
    </row>
    <row r="189" spans="1:26" x14ac:dyDescent="0.35">
      <c r="A189" s="6" t="s">
        <v>1853</v>
      </c>
      <c r="B189" s="5" t="str">
        <f>IF(ISERROR(VLOOKUP(A189,RDPLP!A189:A214,1,0)),"N","Y")</f>
        <v>N</v>
      </c>
      <c r="C189" s="5" t="str">
        <f>IF(ISERROR(VLOOKUP(A189,'SCINET-PLP'!A:A,1,0)),"N","Y")</f>
        <v>N</v>
      </c>
      <c r="D189" s="5" t="str">
        <f>IF(ISERROR(VLOOKUP(A189,FLEXPLP!A:A,1,0)),"N","Y")</f>
        <v>N</v>
      </c>
      <c r="E189" s="5" t="str">
        <f>IF(ISERROR(VLOOKUP(A189,'ELN PLP'!A:A,1,0)),"N","Y")</f>
        <v>N</v>
      </c>
      <c r="F189" s="26">
        <f t="shared" ref="F189:F252" si="11">IF(COUNTIF(B189:E189,"Y")&gt;0,1,0)</f>
        <v>0</v>
      </c>
      <c r="G189" s="8" t="str">
        <f>IF(ISERROR(VLOOKUP(A189,RDPLP!D:D,1,0)),"N","Y")</f>
        <v>N</v>
      </c>
      <c r="H189" s="8" t="str">
        <f>IF(ISERROR(VLOOKUP(A189,'SCINET-PLP'!D:D,1,0)),"N","Y")</f>
        <v>N</v>
      </c>
      <c r="I189" s="8" t="str">
        <f>IF(ISERROR(VLOOKUP(A189,FLEXPLP!D:D,1,0)),"N","Y")</f>
        <v>N</v>
      </c>
      <c r="J189" s="8" t="str">
        <f>IF(ISERROR(VLOOKUP(A189,'ELN PLP'!D:D,1,0)),"N","Y")</f>
        <v>N</v>
      </c>
      <c r="K189" s="29">
        <f t="shared" ref="K189:K252" si="12">IF(COUNTIF(G189:J189,"Y")&gt;0,1,0)</f>
        <v>0</v>
      </c>
      <c r="L189" s="52" t="str">
        <f>IF(ISERROR(VLOOKUP(A189,RDPLP!G:G,1,0)),"N","Y")</f>
        <v>N</v>
      </c>
      <c r="M189" s="52" t="str">
        <f>IF(ISERROR(VLOOKUP(A189,'SCINET-PLP'!G:G,1,0)),"N","Y")</f>
        <v>N</v>
      </c>
      <c r="N189" s="52" t="str">
        <f>IF(ISERROR(VLOOKUP(A189,FLEXPLP!G:G,1,0)),"N","Y")</f>
        <v>N</v>
      </c>
      <c r="O189" s="52" t="str">
        <f>IF(ISERROR(VLOOKUP(A189,'ELN PLP'!G:G,1,0)),"N","Y")</f>
        <v>N</v>
      </c>
      <c r="P189" s="53">
        <f t="shared" si="8"/>
        <v>0</v>
      </c>
      <c r="R189" s="21">
        <f>IF(K189+F189&gt;0,1,0)</f>
        <v>0</v>
      </c>
      <c r="S189" s="24">
        <f>IF(ISERROR(VLOOKUP(A189,U:U,1,0)),0,1)</f>
        <v>0</v>
      </c>
      <c r="Z189" s="16" t="s">
        <v>1986</v>
      </c>
    </row>
    <row r="190" spans="1:26" x14ac:dyDescent="0.35">
      <c r="A190" s="6" t="s">
        <v>1861</v>
      </c>
      <c r="B190" s="5" t="str">
        <f>IF(ISERROR(VLOOKUP(A190,RDPLP!A190:A215,1,0)),"N","Y")</f>
        <v>N</v>
      </c>
      <c r="C190" s="5" t="str">
        <f>IF(ISERROR(VLOOKUP(A190,'SCINET-PLP'!A:A,1,0)),"N","Y")</f>
        <v>N</v>
      </c>
      <c r="D190" s="5" t="str">
        <f>IF(ISERROR(VLOOKUP(A190,FLEXPLP!A:A,1,0)),"N","Y")</f>
        <v>N</v>
      </c>
      <c r="E190" s="5" t="str">
        <f>IF(ISERROR(VLOOKUP(A190,'ELN PLP'!A:A,1,0)),"N","Y")</f>
        <v>N</v>
      </c>
      <c r="F190" s="26">
        <f t="shared" si="11"/>
        <v>0</v>
      </c>
      <c r="G190" s="8" t="str">
        <f>IF(ISERROR(VLOOKUP(A190,RDPLP!D:D,1,0)),"N","Y")</f>
        <v>N</v>
      </c>
      <c r="H190" s="8" t="str">
        <f>IF(ISERROR(VLOOKUP(A190,'SCINET-PLP'!D:D,1,0)),"N","Y")</f>
        <v>N</v>
      </c>
      <c r="I190" s="8" t="str">
        <f>IF(ISERROR(VLOOKUP(A190,FLEXPLP!D:D,1,0)),"N","Y")</f>
        <v>N</v>
      </c>
      <c r="J190" s="8" t="str">
        <f>IF(ISERROR(VLOOKUP(A190,'ELN PLP'!D:D,1,0)),"N","Y")</f>
        <v>N</v>
      </c>
      <c r="K190" s="29">
        <f t="shared" si="12"/>
        <v>0</v>
      </c>
      <c r="L190" s="52" t="str">
        <f>IF(ISERROR(VLOOKUP(A190,RDPLP!G:G,1,0)),"N","Y")</f>
        <v>N</v>
      </c>
      <c r="M190" s="52" t="str">
        <f>IF(ISERROR(VLOOKUP(A190,'SCINET-PLP'!G:G,1,0)),"N","Y")</f>
        <v>N</v>
      </c>
      <c r="N190" s="52" t="str">
        <f>IF(ISERROR(VLOOKUP(A190,FLEXPLP!G:G,1,0)),"N","Y")</f>
        <v>N</v>
      </c>
      <c r="O190" s="52" t="str">
        <f>IF(ISERROR(VLOOKUP(A190,'ELN PLP'!G:G,1,0)),"N","Y")</f>
        <v>N</v>
      </c>
      <c r="P190" s="53">
        <f t="shared" si="8"/>
        <v>0</v>
      </c>
      <c r="R190" s="21">
        <f>IF(K190+F190&gt;0,1,0)</f>
        <v>0</v>
      </c>
      <c r="S190" s="24">
        <f>IF(ISERROR(VLOOKUP(A190,U:U,1,0)),0,1)</f>
        <v>0</v>
      </c>
      <c r="Z190" s="16" t="s">
        <v>963</v>
      </c>
    </row>
    <row r="191" spans="1:26" x14ac:dyDescent="0.35">
      <c r="A191" s="6" t="s">
        <v>1867</v>
      </c>
      <c r="B191" s="5" t="str">
        <f>IF(ISERROR(VLOOKUP(A191,RDPLP!A191:A216,1,0)),"N","Y")</f>
        <v>N</v>
      </c>
      <c r="C191" s="5" t="str">
        <f>IF(ISERROR(VLOOKUP(A191,'SCINET-PLP'!A:A,1,0)),"N","Y")</f>
        <v>N</v>
      </c>
      <c r="D191" s="5" t="str">
        <f>IF(ISERROR(VLOOKUP(A191,FLEXPLP!A:A,1,0)),"N","Y")</f>
        <v>N</v>
      </c>
      <c r="E191" s="5" t="str">
        <f>IF(ISERROR(VLOOKUP(A191,'ELN PLP'!A:A,1,0)),"N","Y")</f>
        <v>N</v>
      </c>
      <c r="F191" s="26">
        <f t="shared" si="11"/>
        <v>0</v>
      </c>
      <c r="G191" s="8" t="str">
        <f>IF(ISERROR(VLOOKUP(A191,RDPLP!D:D,1,0)),"N","Y")</f>
        <v>N</v>
      </c>
      <c r="H191" s="8" t="str">
        <f>IF(ISERROR(VLOOKUP(A191,'SCINET-PLP'!D:D,1,0)),"N","Y")</f>
        <v>N</v>
      </c>
      <c r="I191" s="8" t="str">
        <f>IF(ISERROR(VLOOKUP(A191,FLEXPLP!D:D,1,0)),"N","Y")</f>
        <v>N</v>
      </c>
      <c r="J191" s="8" t="str">
        <f>IF(ISERROR(VLOOKUP(A191,'ELN PLP'!D:D,1,0)),"N","Y")</f>
        <v>N</v>
      </c>
      <c r="K191" s="29">
        <f t="shared" si="12"/>
        <v>0</v>
      </c>
      <c r="L191" s="52" t="str">
        <f>IF(ISERROR(VLOOKUP(A191,RDPLP!G:G,1,0)),"N","Y")</f>
        <v>N</v>
      </c>
      <c r="M191" s="52" t="str">
        <f>IF(ISERROR(VLOOKUP(A191,'SCINET-PLP'!G:G,1,0)),"N","Y")</f>
        <v>N</v>
      </c>
      <c r="N191" s="52" t="str">
        <f>IF(ISERROR(VLOOKUP(A191,FLEXPLP!G:G,1,0)),"N","Y")</f>
        <v>N</v>
      </c>
      <c r="O191" s="52" t="str">
        <f>IF(ISERROR(VLOOKUP(A191,'ELN PLP'!G:G,1,0)),"N","Y")</f>
        <v>N</v>
      </c>
      <c r="P191" s="53">
        <f t="shared" si="8"/>
        <v>0</v>
      </c>
      <c r="R191" s="21">
        <f>IF(K191+F191&gt;0,1,0)</f>
        <v>0</v>
      </c>
      <c r="S191" s="24">
        <f>IF(ISERROR(VLOOKUP(A191,U:U,1,0)),0,1)</f>
        <v>0</v>
      </c>
      <c r="Z191" s="17" t="s">
        <v>1838</v>
      </c>
    </row>
    <row r="192" spans="1:26" x14ac:dyDescent="0.35">
      <c r="A192" s="6" t="s">
        <v>1876</v>
      </c>
      <c r="B192" s="5" t="str">
        <f>IF(ISERROR(VLOOKUP(A192,RDPLP!A192:A217,1,0)),"N","Y")</f>
        <v>N</v>
      </c>
      <c r="C192" s="5" t="str">
        <f>IF(ISERROR(VLOOKUP(A192,'SCINET-PLP'!A:A,1,0)),"N","Y")</f>
        <v>N</v>
      </c>
      <c r="D192" s="5" t="str">
        <f>IF(ISERROR(VLOOKUP(A192,FLEXPLP!A:A,1,0)),"N","Y")</f>
        <v>N</v>
      </c>
      <c r="E192" s="5" t="str">
        <f>IF(ISERROR(VLOOKUP(A192,'ELN PLP'!A:A,1,0)),"N","Y")</f>
        <v>N</v>
      </c>
      <c r="F192" s="26">
        <f t="shared" si="11"/>
        <v>0</v>
      </c>
      <c r="G192" s="8" t="str">
        <f>IF(ISERROR(VLOOKUP(A192,RDPLP!D:D,1,0)),"N","Y")</f>
        <v>N</v>
      </c>
      <c r="H192" s="8" t="str">
        <f>IF(ISERROR(VLOOKUP(A192,'SCINET-PLP'!D:D,1,0)),"N","Y")</f>
        <v>N</v>
      </c>
      <c r="I192" s="8" t="str">
        <f>IF(ISERROR(VLOOKUP(A192,FLEXPLP!D:D,1,0)),"N","Y")</f>
        <v>N</v>
      </c>
      <c r="J192" s="8" t="str">
        <f>IF(ISERROR(VLOOKUP(A192,'ELN PLP'!D:D,1,0)),"N","Y")</f>
        <v>N</v>
      </c>
      <c r="K192" s="29">
        <f t="shared" si="12"/>
        <v>0</v>
      </c>
      <c r="L192" s="52" t="str">
        <f>IF(ISERROR(VLOOKUP(A192,RDPLP!G:G,1,0)),"N","Y")</f>
        <v>N</v>
      </c>
      <c r="M192" s="52" t="str">
        <f>IF(ISERROR(VLOOKUP(A192,'SCINET-PLP'!G:G,1,0)),"N","Y")</f>
        <v>N</v>
      </c>
      <c r="N192" s="52" t="str">
        <f>IF(ISERROR(VLOOKUP(A192,FLEXPLP!G:G,1,0)),"N","Y")</f>
        <v>N</v>
      </c>
      <c r="O192" s="52" t="str">
        <f>IF(ISERROR(VLOOKUP(A192,'ELN PLP'!G:G,1,0)),"N","Y")</f>
        <v>N</v>
      </c>
      <c r="P192" s="53">
        <f t="shared" si="8"/>
        <v>0</v>
      </c>
      <c r="R192" s="21">
        <f>IF(K192+F192&gt;0,1,0)</f>
        <v>0</v>
      </c>
      <c r="S192" s="24">
        <f>IF(ISERROR(VLOOKUP(A192,U:U,1,0)),0,1)</f>
        <v>0</v>
      </c>
      <c r="Z192" s="17" t="s">
        <v>1841</v>
      </c>
    </row>
    <row r="193" spans="1:26" x14ac:dyDescent="0.35">
      <c r="A193" s="6" t="s">
        <v>1882</v>
      </c>
      <c r="B193" s="5" t="str">
        <f>IF(ISERROR(VLOOKUP(A193,RDPLP!A193:A218,1,0)),"N","Y")</f>
        <v>N</v>
      </c>
      <c r="C193" s="5" t="str">
        <f>IF(ISERROR(VLOOKUP(A193,'SCINET-PLP'!A:A,1,0)),"N","Y")</f>
        <v>N</v>
      </c>
      <c r="D193" s="5" t="str">
        <f>IF(ISERROR(VLOOKUP(A193,FLEXPLP!A:A,1,0)),"N","Y")</f>
        <v>N</v>
      </c>
      <c r="E193" s="5" t="str">
        <f>IF(ISERROR(VLOOKUP(A193,'ELN PLP'!A:A,1,0)),"N","Y")</f>
        <v>N</v>
      </c>
      <c r="F193" s="26">
        <f t="shared" si="11"/>
        <v>0</v>
      </c>
      <c r="G193" s="8" t="str">
        <f>IF(ISERROR(VLOOKUP(A193,RDPLP!D:D,1,0)),"N","Y")</f>
        <v>N</v>
      </c>
      <c r="H193" s="8" t="str">
        <f>IF(ISERROR(VLOOKUP(A193,'SCINET-PLP'!D:D,1,0)),"N","Y")</f>
        <v>N</v>
      </c>
      <c r="I193" s="8" t="str">
        <f>IF(ISERROR(VLOOKUP(A193,FLEXPLP!D:D,1,0)),"N","Y")</f>
        <v>N</v>
      </c>
      <c r="J193" s="8" t="str">
        <f>IF(ISERROR(VLOOKUP(A193,'ELN PLP'!D:D,1,0)),"N","Y")</f>
        <v>N</v>
      </c>
      <c r="K193" s="29">
        <f t="shared" si="12"/>
        <v>0</v>
      </c>
      <c r="L193" s="52" t="str">
        <f>IF(ISERROR(VLOOKUP(A193,RDPLP!G:G,1,0)),"N","Y")</f>
        <v>N</v>
      </c>
      <c r="M193" s="52" t="str">
        <f>IF(ISERROR(VLOOKUP(A193,'SCINET-PLP'!G:G,1,0)),"N","Y")</f>
        <v>N</v>
      </c>
      <c r="N193" s="52" t="str">
        <f>IF(ISERROR(VLOOKUP(A193,FLEXPLP!G:G,1,0)),"N","Y")</f>
        <v>N</v>
      </c>
      <c r="O193" s="52" t="str">
        <f>IF(ISERROR(VLOOKUP(A193,'ELN PLP'!G:G,1,0)),"N","Y")</f>
        <v>N</v>
      </c>
      <c r="P193" s="53">
        <f t="shared" si="8"/>
        <v>0</v>
      </c>
      <c r="R193" s="21">
        <f>IF(K193+F193&gt;0,1,0)</f>
        <v>0</v>
      </c>
      <c r="S193" s="24">
        <f>IF(ISERROR(VLOOKUP(A193,U:U,1,0)),0,1)</f>
        <v>0</v>
      </c>
      <c r="Z193" s="17" t="s">
        <v>1843</v>
      </c>
    </row>
    <row r="194" spans="1:26" x14ac:dyDescent="0.35">
      <c r="A194" s="6" t="s">
        <v>1886</v>
      </c>
      <c r="B194" s="5" t="str">
        <f>IF(ISERROR(VLOOKUP(A194,RDPLP!A194:A219,1,0)),"N","Y")</f>
        <v>N</v>
      </c>
      <c r="C194" s="5" t="str">
        <f>IF(ISERROR(VLOOKUP(A194,'SCINET-PLP'!A:A,1,0)),"N","Y")</f>
        <v>N</v>
      </c>
      <c r="D194" s="5" t="str">
        <f>IF(ISERROR(VLOOKUP(A194,FLEXPLP!A:A,1,0)),"N","Y")</f>
        <v>N</v>
      </c>
      <c r="E194" s="5" t="str">
        <f>IF(ISERROR(VLOOKUP(A194,'ELN PLP'!A:A,1,0)),"N","Y")</f>
        <v>N</v>
      </c>
      <c r="F194" s="26">
        <f t="shared" si="11"/>
        <v>0</v>
      </c>
      <c r="G194" s="8" t="str">
        <f>IF(ISERROR(VLOOKUP(A194,RDPLP!D:D,1,0)),"N","Y")</f>
        <v>N</v>
      </c>
      <c r="H194" s="8" t="str">
        <f>IF(ISERROR(VLOOKUP(A194,'SCINET-PLP'!D:D,1,0)),"N","Y")</f>
        <v>N</v>
      </c>
      <c r="I194" s="8" t="str">
        <f>IF(ISERROR(VLOOKUP(A194,FLEXPLP!D:D,1,0)),"N","Y")</f>
        <v>N</v>
      </c>
      <c r="J194" s="8" t="str">
        <f>IF(ISERROR(VLOOKUP(A194,'ELN PLP'!D:D,1,0)),"N","Y")</f>
        <v>N</v>
      </c>
      <c r="K194" s="29">
        <f t="shared" si="12"/>
        <v>0</v>
      </c>
      <c r="L194" s="52" t="str">
        <f>IF(ISERROR(VLOOKUP(A194,RDPLP!G:G,1,0)),"N","Y")</f>
        <v>N</v>
      </c>
      <c r="M194" s="52" t="str">
        <f>IF(ISERROR(VLOOKUP(A194,'SCINET-PLP'!G:G,1,0)),"N","Y")</f>
        <v>N</v>
      </c>
      <c r="N194" s="52" t="str">
        <f>IF(ISERROR(VLOOKUP(A194,FLEXPLP!G:G,1,0)),"N","Y")</f>
        <v>N</v>
      </c>
      <c r="O194" s="52" t="str">
        <f>IF(ISERROR(VLOOKUP(A194,'ELN PLP'!G:G,1,0)),"N","Y")</f>
        <v>N</v>
      </c>
      <c r="P194" s="53">
        <f t="shared" si="8"/>
        <v>0</v>
      </c>
      <c r="R194" s="21">
        <f>IF(K194+F194&gt;0,1,0)</f>
        <v>0</v>
      </c>
      <c r="S194" s="24">
        <f>IF(ISERROR(VLOOKUP(A194,U:U,1,0)),0,1)</f>
        <v>0</v>
      </c>
      <c r="Z194" s="17" t="s">
        <v>1846</v>
      </c>
    </row>
    <row r="195" spans="1:26" x14ac:dyDescent="0.35">
      <c r="A195" s="6" t="s">
        <v>1894</v>
      </c>
      <c r="B195" s="5" t="str">
        <f>IF(ISERROR(VLOOKUP(A195,RDPLP!A195:A220,1,0)),"N","Y")</f>
        <v>N</v>
      </c>
      <c r="C195" s="5" t="str">
        <f>IF(ISERROR(VLOOKUP(A195,'SCINET-PLP'!A:A,1,0)),"N","Y")</f>
        <v>N</v>
      </c>
      <c r="D195" s="5" t="str">
        <f>IF(ISERROR(VLOOKUP(A195,FLEXPLP!A:A,1,0)),"N","Y")</f>
        <v>N</v>
      </c>
      <c r="E195" s="5" t="str">
        <f>IF(ISERROR(VLOOKUP(A195,'ELN PLP'!A:A,1,0)),"N","Y")</f>
        <v>N</v>
      </c>
      <c r="F195" s="26">
        <f t="shared" si="11"/>
        <v>0</v>
      </c>
      <c r="G195" s="8" t="str">
        <f>IF(ISERROR(VLOOKUP(A195,RDPLP!D:D,1,0)),"N","Y")</f>
        <v>N</v>
      </c>
      <c r="H195" s="8" t="str">
        <f>IF(ISERROR(VLOOKUP(A195,'SCINET-PLP'!D:D,1,0)),"N","Y")</f>
        <v>N</v>
      </c>
      <c r="I195" s="8" t="str">
        <f>IF(ISERROR(VLOOKUP(A195,FLEXPLP!D:D,1,0)),"N","Y")</f>
        <v>N</v>
      </c>
      <c r="J195" s="8" t="str">
        <f>IF(ISERROR(VLOOKUP(A195,'ELN PLP'!D:D,1,0)),"N","Y")</f>
        <v>N</v>
      </c>
      <c r="K195" s="29">
        <f t="shared" si="12"/>
        <v>0</v>
      </c>
      <c r="L195" s="52" t="str">
        <f>IF(ISERROR(VLOOKUP(A195,RDPLP!G:G,1,0)),"N","Y")</f>
        <v>N</v>
      </c>
      <c r="M195" s="52" t="str">
        <f>IF(ISERROR(VLOOKUP(A195,'SCINET-PLP'!G:G,1,0)),"N","Y")</f>
        <v>N</v>
      </c>
      <c r="N195" s="52" t="str">
        <f>IF(ISERROR(VLOOKUP(A195,FLEXPLP!G:G,1,0)),"N","Y")</f>
        <v>N</v>
      </c>
      <c r="O195" s="52" t="str">
        <f>IF(ISERROR(VLOOKUP(A195,'ELN PLP'!G:G,1,0)),"N","Y")</f>
        <v>N</v>
      </c>
      <c r="P195" s="53">
        <f t="shared" si="8"/>
        <v>0</v>
      </c>
      <c r="R195" s="21">
        <f>IF(K195+F195&gt;0,1,0)</f>
        <v>0</v>
      </c>
      <c r="S195" s="24">
        <f>IF(ISERROR(VLOOKUP(A195,U:U,1,0)),0,1)</f>
        <v>0</v>
      </c>
      <c r="Z195" s="17" t="s">
        <v>108</v>
      </c>
    </row>
    <row r="196" spans="1:26" x14ac:dyDescent="0.35">
      <c r="A196" s="6" t="s">
        <v>1897</v>
      </c>
      <c r="B196" s="5" t="str">
        <f>IF(ISERROR(VLOOKUP(A196,RDPLP!A196:A221,1,0)),"N","Y")</f>
        <v>N</v>
      </c>
      <c r="C196" s="5" t="str">
        <f>IF(ISERROR(VLOOKUP(A196,'SCINET-PLP'!A:A,1,0)),"N","Y")</f>
        <v>N</v>
      </c>
      <c r="D196" s="5" t="str">
        <f>IF(ISERROR(VLOOKUP(A196,FLEXPLP!A:A,1,0)),"N","Y")</f>
        <v>N</v>
      </c>
      <c r="E196" s="5" t="str">
        <f>IF(ISERROR(VLOOKUP(A196,'ELN PLP'!A:A,1,0)),"N","Y")</f>
        <v>N</v>
      </c>
      <c r="F196" s="26">
        <f t="shared" si="11"/>
        <v>0</v>
      </c>
      <c r="G196" s="8" t="str">
        <f>IF(ISERROR(VLOOKUP(A196,RDPLP!D:D,1,0)),"N","Y")</f>
        <v>N</v>
      </c>
      <c r="H196" s="8" t="str">
        <f>IF(ISERROR(VLOOKUP(A196,'SCINET-PLP'!D:D,1,0)),"N","Y")</f>
        <v>N</v>
      </c>
      <c r="I196" s="8" t="str">
        <f>IF(ISERROR(VLOOKUP(A196,FLEXPLP!D:D,1,0)),"N","Y")</f>
        <v>N</v>
      </c>
      <c r="J196" s="8" t="str">
        <f>IF(ISERROR(VLOOKUP(A196,'ELN PLP'!D:D,1,0)),"N","Y")</f>
        <v>N</v>
      </c>
      <c r="K196" s="29">
        <f t="shared" si="12"/>
        <v>0</v>
      </c>
      <c r="L196" s="52" t="str">
        <f>IF(ISERROR(VLOOKUP(A196,RDPLP!G:G,1,0)),"N","Y")</f>
        <v>Y</v>
      </c>
      <c r="M196" s="52" t="str">
        <f>IF(ISERROR(VLOOKUP(A196,'SCINET-PLP'!G:G,1,0)),"N","Y")</f>
        <v>N</v>
      </c>
      <c r="N196" s="52" t="str">
        <f>IF(ISERROR(VLOOKUP(A196,FLEXPLP!G:G,1,0)),"N","Y")</f>
        <v>N</v>
      </c>
      <c r="O196" s="52" t="str">
        <f>IF(ISERROR(VLOOKUP(A196,'ELN PLP'!G:G,1,0)),"N","Y")</f>
        <v>N</v>
      </c>
      <c r="P196" s="53">
        <f t="shared" ref="P196:P259" si="13">IF(COUNTIF(L196:O196,"Y")&gt;0,1,0)</f>
        <v>1</v>
      </c>
      <c r="R196" s="21">
        <f>IF(K196+F196&gt;0,1,0)</f>
        <v>0</v>
      </c>
      <c r="S196" s="24">
        <f>IF(ISERROR(VLOOKUP(A196,U:U,1,0)),0,1)</f>
        <v>0</v>
      </c>
      <c r="Z196" s="17" t="s">
        <v>1850</v>
      </c>
    </row>
    <row r="197" spans="1:26" x14ac:dyDescent="0.35">
      <c r="A197" s="6" t="s">
        <v>1907</v>
      </c>
      <c r="B197" s="5" t="str">
        <f>IF(ISERROR(VLOOKUP(A197,RDPLP!A197:A222,1,0)),"N","Y")</f>
        <v>N</v>
      </c>
      <c r="C197" s="5" t="str">
        <f>IF(ISERROR(VLOOKUP(A197,'SCINET-PLP'!A:A,1,0)),"N","Y")</f>
        <v>N</v>
      </c>
      <c r="D197" s="5" t="str">
        <f>IF(ISERROR(VLOOKUP(A197,FLEXPLP!A:A,1,0)),"N","Y")</f>
        <v>N</v>
      </c>
      <c r="E197" s="5" t="str">
        <f>IF(ISERROR(VLOOKUP(A197,'ELN PLP'!A:A,1,0)),"N","Y")</f>
        <v>N</v>
      </c>
      <c r="F197" s="26">
        <f t="shared" si="11"/>
        <v>0</v>
      </c>
      <c r="G197" s="8" t="str">
        <f>IF(ISERROR(VLOOKUP(A197,RDPLP!D:D,1,0)),"N","Y")</f>
        <v>N</v>
      </c>
      <c r="H197" s="8" t="str">
        <f>IF(ISERROR(VLOOKUP(A197,'SCINET-PLP'!D:D,1,0)),"N","Y")</f>
        <v>N</v>
      </c>
      <c r="I197" s="8" t="str">
        <f>IF(ISERROR(VLOOKUP(A197,FLEXPLP!D:D,1,0)),"N","Y")</f>
        <v>N</v>
      </c>
      <c r="J197" s="8" t="str">
        <f>IF(ISERROR(VLOOKUP(A197,'ELN PLP'!D:D,1,0)),"N","Y")</f>
        <v>N</v>
      </c>
      <c r="K197" s="29">
        <f t="shared" si="12"/>
        <v>0</v>
      </c>
      <c r="L197" s="52" t="str">
        <f>IF(ISERROR(VLOOKUP(A197,RDPLP!G:G,1,0)),"N","Y")</f>
        <v>N</v>
      </c>
      <c r="M197" s="52" t="str">
        <f>IF(ISERROR(VLOOKUP(A197,'SCINET-PLP'!G:G,1,0)),"N","Y")</f>
        <v>N</v>
      </c>
      <c r="N197" s="52" t="str">
        <f>IF(ISERROR(VLOOKUP(A197,FLEXPLP!G:G,1,0)),"N","Y")</f>
        <v>N</v>
      </c>
      <c r="O197" s="52" t="str">
        <f>IF(ISERROR(VLOOKUP(A197,'ELN PLP'!G:G,1,0)),"N","Y")</f>
        <v>N</v>
      </c>
      <c r="P197" s="53">
        <f t="shared" si="13"/>
        <v>0</v>
      </c>
      <c r="R197" s="21">
        <f>IF(K197+F197&gt;0,1,0)</f>
        <v>0</v>
      </c>
      <c r="S197" s="24">
        <f>IF(ISERROR(VLOOKUP(A197,U:U,1,0)),0,1)</f>
        <v>0</v>
      </c>
      <c r="Z197" s="17" t="s">
        <v>98</v>
      </c>
    </row>
    <row r="198" spans="1:26" x14ac:dyDescent="0.35">
      <c r="A198" s="6" t="s">
        <v>1910</v>
      </c>
      <c r="B198" s="5" t="str">
        <f>IF(ISERROR(VLOOKUP(A198,RDPLP!A198:A223,1,0)),"N","Y")</f>
        <v>N</v>
      </c>
      <c r="C198" s="5" t="str">
        <f>IF(ISERROR(VLOOKUP(A198,'SCINET-PLP'!A:A,1,0)),"N","Y")</f>
        <v>N</v>
      </c>
      <c r="D198" s="5" t="str">
        <f>IF(ISERROR(VLOOKUP(A198,FLEXPLP!A:A,1,0)),"N","Y")</f>
        <v>N</v>
      </c>
      <c r="E198" s="5" t="str">
        <f>IF(ISERROR(VLOOKUP(A198,'ELN PLP'!A:A,1,0)),"N","Y")</f>
        <v>N</v>
      </c>
      <c r="F198" s="26">
        <f t="shared" si="11"/>
        <v>0</v>
      </c>
      <c r="G198" s="8" t="str">
        <f>IF(ISERROR(VLOOKUP(A198,RDPLP!D:D,1,0)),"N","Y")</f>
        <v>N</v>
      </c>
      <c r="H198" s="8" t="str">
        <f>IF(ISERROR(VLOOKUP(A198,'SCINET-PLP'!D:D,1,0)),"N","Y")</f>
        <v>N</v>
      </c>
      <c r="I198" s="8" t="str">
        <f>IF(ISERROR(VLOOKUP(A198,FLEXPLP!D:D,1,0)),"N","Y")</f>
        <v>N</v>
      </c>
      <c r="J198" s="8" t="str">
        <f>IF(ISERROR(VLOOKUP(A198,'ELN PLP'!D:D,1,0)),"N","Y")</f>
        <v>N</v>
      </c>
      <c r="K198" s="29">
        <f t="shared" si="12"/>
        <v>0</v>
      </c>
      <c r="L198" s="52" t="str">
        <f>IF(ISERROR(VLOOKUP(A198,RDPLP!G:G,1,0)),"N","Y")</f>
        <v>N</v>
      </c>
      <c r="M198" s="52" t="str">
        <f>IF(ISERROR(VLOOKUP(A198,'SCINET-PLP'!G:G,1,0)),"N","Y")</f>
        <v>N</v>
      </c>
      <c r="N198" s="52" t="str">
        <f>IF(ISERROR(VLOOKUP(A198,FLEXPLP!G:G,1,0)),"N","Y")</f>
        <v>N</v>
      </c>
      <c r="O198" s="52" t="str">
        <f>IF(ISERROR(VLOOKUP(A198,'ELN PLP'!G:G,1,0)),"N","Y")</f>
        <v>N</v>
      </c>
      <c r="P198" s="53">
        <f t="shared" si="13"/>
        <v>0</v>
      </c>
      <c r="R198" s="21">
        <f>IF(K198+F198&gt;0,1,0)</f>
        <v>0</v>
      </c>
      <c r="S198" s="24">
        <f>IF(ISERROR(VLOOKUP(A198,U:U,1,0)),0,1)</f>
        <v>0</v>
      </c>
      <c r="Z198" s="17" t="s">
        <v>4</v>
      </c>
    </row>
    <row r="199" spans="1:26" x14ac:dyDescent="0.35">
      <c r="A199" s="6" t="s">
        <v>1919</v>
      </c>
      <c r="B199" s="5" t="str">
        <f>IF(ISERROR(VLOOKUP(A199,RDPLP!A199:A224,1,0)),"N","Y")</f>
        <v>N</v>
      </c>
      <c r="C199" s="5" t="str">
        <f>IF(ISERROR(VLOOKUP(A199,'SCINET-PLP'!A:A,1,0)),"N","Y")</f>
        <v>N</v>
      </c>
      <c r="D199" s="5" t="str">
        <f>IF(ISERROR(VLOOKUP(A199,FLEXPLP!A:A,1,0)),"N","Y")</f>
        <v>N</v>
      </c>
      <c r="E199" s="5" t="str">
        <f>IF(ISERROR(VLOOKUP(A199,'ELN PLP'!A:A,1,0)),"N","Y")</f>
        <v>N</v>
      </c>
      <c r="F199" s="26">
        <f t="shared" si="11"/>
        <v>0</v>
      </c>
      <c r="G199" s="8" t="str">
        <f>IF(ISERROR(VLOOKUP(A199,RDPLP!D:D,1,0)),"N","Y")</f>
        <v>N</v>
      </c>
      <c r="H199" s="8" t="str">
        <f>IF(ISERROR(VLOOKUP(A199,'SCINET-PLP'!D:D,1,0)),"N","Y")</f>
        <v>N</v>
      </c>
      <c r="I199" s="8" t="str">
        <f>IF(ISERROR(VLOOKUP(A199,FLEXPLP!D:D,1,0)),"N","Y")</f>
        <v>N</v>
      </c>
      <c r="J199" s="8" t="str">
        <f>IF(ISERROR(VLOOKUP(A199,'ELN PLP'!D:D,1,0)),"N","Y")</f>
        <v>N</v>
      </c>
      <c r="K199" s="29">
        <f t="shared" si="12"/>
        <v>0</v>
      </c>
      <c r="L199" s="52" t="str">
        <f>IF(ISERROR(VLOOKUP(A199,RDPLP!G:G,1,0)),"N","Y")</f>
        <v>N</v>
      </c>
      <c r="M199" s="52" t="str">
        <f>IF(ISERROR(VLOOKUP(A199,'SCINET-PLP'!G:G,1,0)),"N","Y")</f>
        <v>N</v>
      </c>
      <c r="N199" s="52" t="str">
        <f>IF(ISERROR(VLOOKUP(A199,FLEXPLP!G:G,1,0)),"N","Y")</f>
        <v>N</v>
      </c>
      <c r="O199" s="52" t="str">
        <f>IF(ISERROR(VLOOKUP(A199,'ELN PLP'!G:G,1,0)),"N","Y")</f>
        <v>N</v>
      </c>
      <c r="P199" s="53">
        <f t="shared" si="13"/>
        <v>0</v>
      </c>
      <c r="R199" s="21">
        <f>IF(K199+F199&gt;0,1,0)</f>
        <v>0</v>
      </c>
      <c r="S199" s="24">
        <f>IF(ISERROR(VLOOKUP(A199,U:U,1,0)),0,1)</f>
        <v>0</v>
      </c>
      <c r="Z199" s="17" t="s">
        <v>1858</v>
      </c>
    </row>
    <row r="200" spans="1:26" x14ac:dyDescent="0.35">
      <c r="A200" s="6" t="s">
        <v>1923</v>
      </c>
      <c r="B200" s="5" t="str">
        <f>IF(ISERROR(VLOOKUP(A200,RDPLP!A200:A225,1,0)),"N","Y")</f>
        <v>N</v>
      </c>
      <c r="C200" s="5" t="str">
        <f>IF(ISERROR(VLOOKUP(A200,'SCINET-PLP'!A:A,1,0)),"N","Y")</f>
        <v>N</v>
      </c>
      <c r="D200" s="5" t="str">
        <f>IF(ISERROR(VLOOKUP(A200,FLEXPLP!A:A,1,0)),"N","Y")</f>
        <v>N</v>
      </c>
      <c r="E200" s="5" t="str">
        <f>IF(ISERROR(VLOOKUP(A200,'ELN PLP'!A:A,1,0)),"N","Y")</f>
        <v>N</v>
      </c>
      <c r="F200" s="26">
        <f t="shared" si="11"/>
        <v>0</v>
      </c>
      <c r="G200" s="8" t="str">
        <f>IF(ISERROR(VLOOKUP(A200,RDPLP!D:D,1,0)),"N","Y")</f>
        <v>N</v>
      </c>
      <c r="H200" s="8" t="str">
        <f>IF(ISERROR(VLOOKUP(A200,'SCINET-PLP'!D:D,1,0)),"N","Y")</f>
        <v>N</v>
      </c>
      <c r="I200" s="8" t="str">
        <f>IF(ISERROR(VLOOKUP(A200,FLEXPLP!D:D,1,0)),"N","Y")</f>
        <v>N</v>
      </c>
      <c r="J200" s="8" t="str">
        <f>IF(ISERROR(VLOOKUP(A200,'ELN PLP'!D:D,1,0)),"N","Y")</f>
        <v>N</v>
      </c>
      <c r="K200" s="29">
        <f t="shared" si="12"/>
        <v>0</v>
      </c>
      <c r="L200" s="52" t="str">
        <f>IF(ISERROR(VLOOKUP(A200,RDPLP!G:G,1,0)),"N","Y")</f>
        <v>N</v>
      </c>
      <c r="M200" s="52" t="str">
        <f>IF(ISERROR(VLOOKUP(A200,'SCINET-PLP'!G:G,1,0)),"N","Y")</f>
        <v>N</v>
      </c>
      <c r="N200" s="52" t="str">
        <f>IF(ISERROR(VLOOKUP(A200,FLEXPLP!G:G,1,0)),"N","Y")</f>
        <v>N</v>
      </c>
      <c r="O200" s="52" t="str">
        <f>IF(ISERROR(VLOOKUP(A200,'ELN PLP'!G:G,1,0)),"N","Y")</f>
        <v>N</v>
      </c>
      <c r="P200" s="53">
        <f t="shared" si="13"/>
        <v>0</v>
      </c>
      <c r="R200" s="21">
        <f>IF(K200+F200&gt;0,1,0)</f>
        <v>0</v>
      </c>
      <c r="S200" s="24">
        <f>IF(ISERROR(VLOOKUP(A200,U:U,1,0)),0,1)</f>
        <v>0</v>
      </c>
      <c r="Z200" s="17" t="s">
        <v>152</v>
      </c>
    </row>
    <row r="201" spans="1:26" x14ac:dyDescent="0.35">
      <c r="A201" s="6" t="s">
        <v>1929</v>
      </c>
      <c r="B201" s="5" t="str">
        <f>IF(ISERROR(VLOOKUP(A201,RDPLP!A201:A226,1,0)),"N","Y")</f>
        <v>N</v>
      </c>
      <c r="C201" s="5" t="str">
        <f>IF(ISERROR(VLOOKUP(A201,'SCINET-PLP'!A:A,1,0)),"N","Y")</f>
        <v>N</v>
      </c>
      <c r="D201" s="5" t="str">
        <f>IF(ISERROR(VLOOKUP(A201,FLEXPLP!A:A,1,0)),"N","Y")</f>
        <v>N</v>
      </c>
      <c r="E201" s="5" t="str">
        <f>IF(ISERROR(VLOOKUP(A201,'ELN PLP'!A:A,1,0)),"N","Y")</f>
        <v>N</v>
      </c>
      <c r="F201" s="26">
        <f t="shared" si="11"/>
        <v>0</v>
      </c>
      <c r="G201" s="8" t="str">
        <f>IF(ISERROR(VLOOKUP(A201,RDPLP!D:D,1,0)),"N","Y")</f>
        <v>N</v>
      </c>
      <c r="H201" s="8" t="str">
        <f>IF(ISERROR(VLOOKUP(A201,'SCINET-PLP'!D:D,1,0)),"N","Y")</f>
        <v>N</v>
      </c>
      <c r="I201" s="8" t="str">
        <f>IF(ISERROR(VLOOKUP(A201,FLEXPLP!D:D,1,0)),"N","Y")</f>
        <v>N</v>
      </c>
      <c r="J201" s="8" t="str">
        <f>IF(ISERROR(VLOOKUP(A201,'ELN PLP'!D:D,1,0)),"N","Y")</f>
        <v>N</v>
      </c>
      <c r="K201" s="29">
        <f t="shared" si="12"/>
        <v>0</v>
      </c>
      <c r="L201" s="52" t="str">
        <f>IF(ISERROR(VLOOKUP(A201,RDPLP!G:G,1,0)),"N","Y")</f>
        <v>N</v>
      </c>
      <c r="M201" s="52" t="str">
        <f>IF(ISERROR(VLOOKUP(A201,'SCINET-PLP'!G:G,1,0)),"N","Y")</f>
        <v>N</v>
      </c>
      <c r="N201" s="52" t="str">
        <f>IF(ISERROR(VLOOKUP(A201,FLEXPLP!G:G,1,0)),"N","Y")</f>
        <v>N</v>
      </c>
      <c r="O201" s="52" t="str">
        <f>IF(ISERROR(VLOOKUP(A201,'ELN PLP'!G:G,1,0)),"N","Y")</f>
        <v>N</v>
      </c>
      <c r="P201" s="53">
        <f t="shared" si="13"/>
        <v>0</v>
      </c>
      <c r="R201" s="21">
        <f>IF(K201+F201&gt;0,1,0)</f>
        <v>0</v>
      </c>
      <c r="S201" s="24">
        <f>IF(ISERROR(VLOOKUP(A201,U:U,1,0)),0,1)</f>
        <v>0</v>
      </c>
      <c r="Z201" s="17" t="s">
        <v>1864</v>
      </c>
    </row>
    <row r="202" spans="1:26" x14ac:dyDescent="0.35">
      <c r="A202" s="6" t="s">
        <v>1935</v>
      </c>
      <c r="B202" s="5" t="str">
        <f>IF(ISERROR(VLOOKUP(A202,RDPLP!A202:A227,1,0)),"N","Y")</f>
        <v>N</v>
      </c>
      <c r="C202" s="5" t="str">
        <f>IF(ISERROR(VLOOKUP(A202,'SCINET-PLP'!A:A,1,0)),"N","Y")</f>
        <v>N</v>
      </c>
      <c r="D202" s="5" t="str">
        <f>IF(ISERROR(VLOOKUP(A202,FLEXPLP!A:A,1,0)),"N","Y")</f>
        <v>N</v>
      </c>
      <c r="E202" s="5" t="str">
        <f>IF(ISERROR(VLOOKUP(A202,'ELN PLP'!A:A,1,0)),"N","Y")</f>
        <v>N</v>
      </c>
      <c r="F202" s="26">
        <f t="shared" si="11"/>
        <v>0</v>
      </c>
      <c r="G202" s="8" t="str">
        <f>IF(ISERROR(VLOOKUP(A202,RDPLP!D:D,1,0)),"N","Y")</f>
        <v>N</v>
      </c>
      <c r="H202" s="8" t="str">
        <f>IF(ISERROR(VLOOKUP(A202,'SCINET-PLP'!D:D,1,0)),"N","Y")</f>
        <v>N</v>
      </c>
      <c r="I202" s="8" t="str">
        <f>IF(ISERROR(VLOOKUP(A202,FLEXPLP!D:D,1,0)),"N","Y")</f>
        <v>N</v>
      </c>
      <c r="J202" s="8" t="str">
        <f>IF(ISERROR(VLOOKUP(A202,'ELN PLP'!D:D,1,0)),"N","Y")</f>
        <v>N</v>
      </c>
      <c r="K202" s="29">
        <f t="shared" si="12"/>
        <v>0</v>
      </c>
      <c r="L202" s="52" t="str">
        <f>IF(ISERROR(VLOOKUP(A202,RDPLP!G:G,1,0)),"N","Y")</f>
        <v>N</v>
      </c>
      <c r="M202" s="52" t="str">
        <f>IF(ISERROR(VLOOKUP(A202,'SCINET-PLP'!G:G,1,0)),"N","Y")</f>
        <v>Y</v>
      </c>
      <c r="N202" s="52" t="str">
        <f>IF(ISERROR(VLOOKUP(A202,FLEXPLP!G:G,1,0)),"N","Y")</f>
        <v>N</v>
      </c>
      <c r="O202" s="52" t="str">
        <f>IF(ISERROR(VLOOKUP(A202,'ELN PLP'!G:G,1,0)),"N","Y")</f>
        <v>N</v>
      </c>
      <c r="P202" s="53">
        <f t="shared" si="13"/>
        <v>1</v>
      </c>
      <c r="R202" s="21">
        <f>IF(K202+F202&gt;0,1,0)</f>
        <v>0</v>
      </c>
      <c r="S202" s="24">
        <f>IF(ISERROR(VLOOKUP(A202,U:U,1,0)),0,1)</f>
        <v>0</v>
      </c>
      <c r="Z202" s="17" t="s">
        <v>1866</v>
      </c>
    </row>
    <row r="203" spans="1:26" x14ac:dyDescent="0.35">
      <c r="A203" s="6" t="s">
        <v>1938</v>
      </c>
      <c r="B203" s="5" t="str">
        <f>IF(ISERROR(VLOOKUP(A203,RDPLP!A203:A228,1,0)),"N","Y")</f>
        <v>N</v>
      </c>
      <c r="C203" s="5" t="str">
        <f>IF(ISERROR(VLOOKUP(A203,'SCINET-PLP'!A:A,1,0)),"N","Y")</f>
        <v>N</v>
      </c>
      <c r="D203" s="5" t="str">
        <f>IF(ISERROR(VLOOKUP(A203,FLEXPLP!A:A,1,0)),"N","Y")</f>
        <v>N</v>
      </c>
      <c r="E203" s="5" t="str">
        <f>IF(ISERROR(VLOOKUP(A203,'ELN PLP'!A:A,1,0)),"N","Y")</f>
        <v>N</v>
      </c>
      <c r="F203" s="26">
        <f t="shared" si="11"/>
        <v>0</v>
      </c>
      <c r="G203" s="8" t="str">
        <f>IF(ISERROR(VLOOKUP(A203,RDPLP!D:D,1,0)),"N","Y")</f>
        <v>N</v>
      </c>
      <c r="H203" s="8" t="str">
        <f>IF(ISERROR(VLOOKUP(A203,'SCINET-PLP'!D:D,1,0)),"N","Y")</f>
        <v>N</v>
      </c>
      <c r="I203" s="8" t="str">
        <f>IF(ISERROR(VLOOKUP(A203,FLEXPLP!D:D,1,0)),"N","Y")</f>
        <v>N</v>
      </c>
      <c r="J203" s="8" t="str">
        <f>IF(ISERROR(VLOOKUP(A203,'ELN PLP'!D:D,1,0)),"N","Y")</f>
        <v>N</v>
      </c>
      <c r="K203" s="29">
        <f t="shared" si="12"/>
        <v>0</v>
      </c>
      <c r="L203" s="52" t="str">
        <f>IF(ISERROR(VLOOKUP(A203,RDPLP!G:G,1,0)),"N","Y")</f>
        <v>Y</v>
      </c>
      <c r="M203" s="52" t="str">
        <f>IF(ISERROR(VLOOKUP(A203,'SCINET-PLP'!G:G,1,0)),"N","Y")</f>
        <v>N</v>
      </c>
      <c r="N203" s="52" t="str">
        <f>IF(ISERROR(VLOOKUP(A203,FLEXPLP!G:G,1,0)),"N","Y")</f>
        <v>Y</v>
      </c>
      <c r="O203" s="52" t="str">
        <f>IF(ISERROR(VLOOKUP(A203,'ELN PLP'!G:G,1,0)),"N","Y")</f>
        <v>N</v>
      </c>
      <c r="P203" s="53">
        <f t="shared" si="13"/>
        <v>1</v>
      </c>
      <c r="R203" s="21">
        <f>IF(K203+F203&gt;0,1,0)</f>
        <v>0</v>
      </c>
      <c r="S203" s="24">
        <f>IF(ISERROR(VLOOKUP(A203,U:U,1,0)),0,1)</f>
        <v>0</v>
      </c>
      <c r="Z203" s="17" t="s">
        <v>1869</v>
      </c>
    </row>
    <row r="204" spans="1:26" x14ac:dyDescent="0.35">
      <c r="A204" s="6" t="s">
        <v>1945</v>
      </c>
      <c r="B204" s="5" t="str">
        <f>IF(ISERROR(VLOOKUP(A204,RDPLP!A204:A229,1,0)),"N","Y")</f>
        <v>N</v>
      </c>
      <c r="C204" s="5" t="str">
        <f>IF(ISERROR(VLOOKUP(A204,'SCINET-PLP'!A:A,1,0)),"N","Y")</f>
        <v>N</v>
      </c>
      <c r="D204" s="5" t="str">
        <f>IF(ISERROR(VLOOKUP(A204,FLEXPLP!A:A,1,0)),"N","Y")</f>
        <v>N</v>
      </c>
      <c r="E204" s="5" t="str">
        <f>IF(ISERROR(VLOOKUP(A204,'ELN PLP'!A:A,1,0)),"N","Y")</f>
        <v>N</v>
      </c>
      <c r="F204" s="26">
        <f t="shared" si="11"/>
        <v>0</v>
      </c>
      <c r="G204" s="8" t="str">
        <f>IF(ISERROR(VLOOKUP(A204,RDPLP!D:D,1,0)),"N","Y")</f>
        <v>N</v>
      </c>
      <c r="H204" s="8" t="str">
        <f>IF(ISERROR(VLOOKUP(A204,'SCINET-PLP'!D:D,1,0)),"N","Y")</f>
        <v>N</v>
      </c>
      <c r="I204" s="8" t="str">
        <f>IF(ISERROR(VLOOKUP(A204,FLEXPLP!D:D,1,0)),"N","Y")</f>
        <v>N</v>
      </c>
      <c r="J204" s="8" t="str">
        <f>IF(ISERROR(VLOOKUP(A204,'ELN PLP'!D:D,1,0)),"N","Y")</f>
        <v>N</v>
      </c>
      <c r="K204" s="29">
        <f t="shared" si="12"/>
        <v>0</v>
      </c>
      <c r="L204" s="52" t="str">
        <f>IF(ISERROR(VLOOKUP(A204,RDPLP!G:G,1,0)),"N","Y")</f>
        <v>N</v>
      </c>
      <c r="M204" s="52" t="str">
        <f>IF(ISERROR(VLOOKUP(A204,'SCINET-PLP'!G:G,1,0)),"N","Y")</f>
        <v>N</v>
      </c>
      <c r="N204" s="52" t="str">
        <f>IF(ISERROR(VLOOKUP(A204,FLEXPLP!G:G,1,0)),"N","Y")</f>
        <v>N</v>
      </c>
      <c r="O204" s="52" t="str">
        <f>IF(ISERROR(VLOOKUP(A204,'ELN PLP'!G:G,1,0)),"N","Y")</f>
        <v>N</v>
      </c>
      <c r="P204" s="53">
        <f t="shared" si="13"/>
        <v>0</v>
      </c>
      <c r="R204" s="21">
        <f>IF(K204+F204&gt;0,1,0)</f>
        <v>0</v>
      </c>
      <c r="S204" s="24">
        <f>IF(ISERROR(VLOOKUP(A204,U:U,1,0)),0,1)</f>
        <v>0</v>
      </c>
      <c r="Z204" s="17" t="s">
        <v>165</v>
      </c>
    </row>
    <row r="205" spans="1:26" x14ac:dyDescent="0.35">
      <c r="A205" s="6" t="s">
        <v>1950</v>
      </c>
      <c r="B205" s="5" t="str">
        <f>IF(ISERROR(VLOOKUP(A205,RDPLP!A205:A230,1,0)),"N","Y")</f>
        <v>N</v>
      </c>
      <c r="C205" s="5" t="str">
        <f>IF(ISERROR(VLOOKUP(A205,'SCINET-PLP'!A:A,1,0)),"N","Y")</f>
        <v>N</v>
      </c>
      <c r="D205" s="5" t="str">
        <f>IF(ISERROR(VLOOKUP(A205,FLEXPLP!A:A,1,0)),"N","Y")</f>
        <v>N</v>
      </c>
      <c r="E205" s="5" t="str">
        <f>IF(ISERROR(VLOOKUP(A205,'ELN PLP'!A:A,1,0)),"N","Y")</f>
        <v>N</v>
      </c>
      <c r="F205" s="26">
        <f t="shared" si="11"/>
        <v>0</v>
      </c>
      <c r="G205" s="8" t="str">
        <f>IF(ISERROR(VLOOKUP(A205,RDPLP!D:D,1,0)),"N","Y")</f>
        <v>N</v>
      </c>
      <c r="H205" s="8" t="str">
        <f>IF(ISERROR(VLOOKUP(A205,'SCINET-PLP'!D:D,1,0)),"N","Y")</f>
        <v>N</v>
      </c>
      <c r="I205" s="8" t="str">
        <f>IF(ISERROR(VLOOKUP(A205,FLEXPLP!D:D,1,0)),"N","Y")</f>
        <v>N</v>
      </c>
      <c r="J205" s="8" t="str">
        <f>IF(ISERROR(VLOOKUP(A205,'ELN PLP'!D:D,1,0)),"N","Y")</f>
        <v>N</v>
      </c>
      <c r="K205" s="29">
        <f t="shared" si="12"/>
        <v>0</v>
      </c>
      <c r="L205" s="52" t="str">
        <f>IF(ISERROR(VLOOKUP(A205,RDPLP!G:G,1,0)),"N","Y")</f>
        <v>N</v>
      </c>
      <c r="M205" s="52" t="str">
        <f>IF(ISERROR(VLOOKUP(A205,'SCINET-PLP'!G:G,1,0)),"N","Y")</f>
        <v>N</v>
      </c>
      <c r="N205" s="52" t="str">
        <f>IF(ISERROR(VLOOKUP(A205,FLEXPLP!G:G,1,0)),"N","Y")</f>
        <v>N</v>
      </c>
      <c r="O205" s="52" t="str">
        <f>IF(ISERROR(VLOOKUP(A205,'ELN PLP'!G:G,1,0)),"N","Y")</f>
        <v>N</v>
      </c>
      <c r="P205" s="53">
        <f t="shared" si="13"/>
        <v>0</v>
      </c>
      <c r="R205" s="21">
        <f>IF(K205+F205&gt;0,1,0)</f>
        <v>0</v>
      </c>
      <c r="S205" s="24">
        <f>IF(ISERROR(VLOOKUP(A205,U:U,1,0)),0,1)</f>
        <v>0</v>
      </c>
      <c r="Z205" s="17" t="s">
        <v>1873</v>
      </c>
    </row>
    <row r="206" spans="1:26" x14ac:dyDescent="0.35">
      <c r="A206" s="6" t="s">
        <v>1954</v>
      </c>
      <c r="B206" s="5" t="str">
        <f>IF(ISERROR(VLOOKUP(A206,RDPLP!A206:A231,1,0)),"N","Y")</f>
        <v>N</v>
      </c>
      <c r="C206" s="5" t="str">
        <f>IF(ISERROR(VLOOKUP(A206,'SCINET-PLP'!A:A,1,0)),"N","Y")</f>
        <v>N</v>
      </c>
      <c r="D206" s="5" t="str">
        <f>IF(ISERROR(VLOOKUP(A206,FLEXPLP!A:A,1,0)),"N","Y")</f>
        <v>N</v>
      </c>
      <c r="E206" s="5" t="str">
        <f>IF(ISERROR(VLOOKUP(A206,'ELN PLP'!A:A,1,0)),"N","Y")</f>
        <v>N</v>
      </c>
      <c r="F206" s="26">
        <f t="shared" si="11"/>
        <v>0</v>
      </c>
      <c r="G206" s="8" t="str">
        <f>IF(ISERROR(VLOOKUP(A206,RDPLP!D:D,1,0)),"N","Y")</f>
        <v>N</v>
      </c>
      <c r="H206" s="8" t="str">
        <f>IF(ISERROR(VLOOKUP(A206,'SCINET-PLP'!D:D,1,0)),"N","Y")</f>
        <v>N</v>
      </c>
      <c r="I206" s="8" t="str">
        <f>IF(ISERROR(VLOOKUP(A206,FLEXPLP!D:D,1,0)),"N","Y")</f>
        <v>N</v>
      </c>
      <c r="J206" s="8" t="str">
        <f>IF(ISERROR(VLOOKUP(A206,'ELN PLP'!D:D,1,0)),"N","Y")</f>
        <v>N</v>
      </c>
      <c r="K206" s="29">
        <f t="shared" si="12"/>
        <v>0</v>
      </c>
      <c r="L206" s="52" t="str">
        <f>IF(ISERROR(VLOOKUP(A206,RDPLP!G:G,1,0)),"N","Y")</f>
        <v>N</v>
      </c>
      <c r="M206" s="52" t="str">
        <f>IF(ISERROR(VLOOKUP(A206,'SCINET-PLP'!G:G,1,0)),"N","Y")</f>
        <v>N</v>
      </c>
      <c r="N206" s="52" t="str">
        <f>IF(ISERROR(VLOOKUP(A206,FLEXPLP!G:G,1,0)),"N","Y")</f>
        <v>N</v>
      </c>
      <c r="O206" s="52" t="str">
        <f>IF(ISERROR(VLOOKUP(A206,'ELN PLP'!G:G,1,0)),"N","Y")</f>
        <v>N</v>
      </c>
      <c r="P206" s="53">
        <f t="shared" si="13"/>
        <v>0</v>
      </c>
      <c r="R206" s="21">
        <f>IF(K206+F206&gt;0,1,0)</f>
        <v>0</v>
      </c>
      <c r="S206" s="24">
        <f>IF(ISERROR(VLOOKUP(A206,U:U,1,0)),0,1)</f>
        <v>0</v>
      </c>
      <c r="Z206" s="17" t="s">
        <v>1875</v>
      </c>
    </row>
    <row r="207" spans="1:26" x14ac:dyDescent="0.35">
      <c r="A207" s="6" t="s">
        <v>1957</v>
      </c>
      <c r="B207" s="5" t="str">
        <f>IF(ISERROR(VLOOKUP(A207,RDPLP!A207:A232,1,0)),"N","Y")</f>
        <v>N</v>
      </c>
      <c r="C207" s="5" t="str">
        <f>IF(ISERROR(VLOOKUP(A207,'SCINET-PLP'!A:A,1,0)),"N","Y")</f>
        <v>N</v>
      </c>
      <c r="D207" s="5" t="str">
        <f>IF(ISERROR(VLOOKUP(A207,FLEXPLP!A:A,1,0)),"N","Y")</f>
        <v>N</v>
      </c>
      <c r="E207" s="5" t="str">
        <f>IF(ISERROR(VLOOKUP(A207,'ELN PLP'!A:A,1,0)),"N","Y")</f>
        <v>N</v>
      </c>
      <c r="F207" s="26">
        <f t="shared" si="11"/>
        <v>0</v>
      </c>
      <c r="G207" s="8" t="str">
        <f>IF(ISERROR(VLOOKUP(A207,RDPLP!D:D,1,0)),"N","Y")</f>
        <v>N</v>
      </c>
      <c r="H207" s="8" t="str">
        <f>IF(ISERROR(VLOOKUP(A207,'SCINET-PLP'!D:D,1,0)),"N","Y")</f>
        <v>N</v>
      </c>
      <c r="I207" s="8" t="str">
        <f>IF(ISERROR(VLOOKUP(A207,FLEXPLP!D:D,1,0)),"N","Y")</f>
        <v>N</v>
      </c>
      <c r="J207" s="8" t="str">
        <f>IF(ISERROR(VLOOKUP(A207,'ELN PLP'!D:D,1,0)),"N","Y")</f>
        <v>N</v>
      </c>
      <c r="K207" s="29">
        <f t="shared" si="12"/>
        <v>0</v>
      </c>
      <c r="L207" s="52" t="str">
        <f>IF(ISERROR(VLOOKUP(A207,RDPLP!G:G,1,0)),"N","Y")</f>
        <v>Y</v>
      </c>
      <c r="M207" s="52" t="str">
        <f>IF(ISERROR(VLOOKUP(A207,'SCINET-PLP'!G:G,1,0)),"N","Y")</f>
        <v>N</v>
      </c>
      <c r="N207" s="52" t="str">
        <f>IF(ISERROR(VLOOKUP(A207,FLEXPLP!G:G,1,0)),"N","Y")</f>
        <v>Y</v>
      </c>
      <c r="O207" s="52" t="str">
        <f>IF(ISERROR(VLOOKUP(A207,'ELN PLP'!G:G,1,0)),"N","Y")</f>
        <v>N</v>
      </c>
      <c r="P207" s="53">
        <f t="shared" si="13"/>
        <v>1</v>
      </c>
      <c r="R207" s="21">
        <f>IF(K207+F207&gt;0,1,0)</f>
        <v>0</v>
      </c>
      <c r="S207" s="24">
        <f>IF(ISERROR(VLOOKUP(A207,U:U,1,0)),0,1)</f>
        <v>0</v>
      </c>
      <c r="Z207" s="17" t="s">
        <v>183</v>
      </c>
    </row>
    <row r="208" spans="1:26" x14ac:dyDescent="0.35">
      <c r="A208" s="6" t="s">
        <v>1962</v>
      </c>
      <c r="B208" s="5" t="str">
        <f>IF(ISERROR(VLOOKUP(A208,RDPLP!A208:A233,1,0)),"N","Y")</f>
        <v>N</v>
      </c>
      <c r="C208" s="5" t="str">
        <f>IF(ISERROR(VLOOKUP(A208,'SCINET-PLP'!A:A,1,0)),"N","Y")</f>
        <v>N</v>
      </c>
      <c r="D208" s="5" t="str">
        <f>IF(ISERROR(VLOOKUP(A208,FLEXPLP!A:A,1,0)),"N","Y")</f>
        <v>N</v>
      </c>
      <c r="E208" s="5" t="str">
        <f>IF(ISERROR(VLOOKUP(A208,'ELN PLP'!A:A,1,0)),"N","Y")</f>
        <v>N</v>
      </c>
      <c r="F208" s="26">
        <f t="shared" si="11"/>
        <v>0</v>
      </c>
      <c r="G208" s="8" t="str">
        <f>IF(ISERROR(VLOOKUP(A208,RDPLP!D:D,1,0)),"N","Y")</f>
        <v>N</v>
      </c>
      <c r="H208" s="8" t="str">
        <f>IF(ISERROR(VLOOKUP(A208,'SCINET-PLP'!D:D,1,0)),"N","Y")</f>
        <v>N</v>
      </c>
      <c r="I208" s="8" t="str">
        <f>IF(ISERROR(VLOOKUP(A208,FLEXPLP!D:D,1,0)),"N","Y")</f>
        <v>N</v>
      </c>
      <c r="J208" s="8" t="str">
        <f>IF(ISERROR(VLOOKUP(A208,'ELN PLP'!D:D,1,0)),"N","Y")</f>
        <v>N</v>
      </c>
      <c r="K208" s="29">
        <f t="shared" si="12"/>
        <v>0</v>
      </c>
      <c r="L208" s="52" t="str">
        <f>IF(ISERROR(VLOOKUP(A208,RDPLP!G:G,1,0)),"N","Y")</f>
        <v>N</v>
      </c>
      <c r="M208" s="52" t="str">
        <f>IF(ISERROR(VLOOKUP(A208,'SCINET-PLP'!G:G,1,0)),"N","Y")</f>
        <v>N</v>
      </c>
      <c r="N208" s="52" t="str">
        <f>IF(ISERROR(VLOOKUP(A208,FLEXPLP!G:G,1,0)),"N","Y")</f>
        <v>N</v>
      </c>
      <c r="O208" s="52" t="str">
        <f>IF(ISERROR(VLOOKUP(A208,'ELN PLP'!G:G,1,0)),"N","Y")</f>
        <v>N</v>
      </c>
      <c r="P208" s="53">
        <f t="shared" si="13"/>
        <v>0</v>
      </c>
      <c r="R208" s="21">
        <f>IF(K208+F208&gt;0,1,0)</f>
        <v>0</v>
      </c>
      <c r="S208" s="24">
        <f>IF(ISERROR(VLOOKUP(A208,U:U,1,0)),0,1)</f>
        <v>0</v>
      </c>
      <c r="Z208" s="17" t="s">
        <v>1881</v>
      </c>
    </row>
    <row r="209" spans="1:26" x14ac:dyDescent="0.35">
      <c r="A209" s="6" t="s">
        <v>1964</v>
      </c>
      <c r="B209" s="5" t="str">
        <f>IF(ISERROR(VLOOKUP(A209,RDPLP!A209:A234,1,0)),"N","Y")</f>
        <v>N</v>
      </c>
      <c r="C209" s="5" t="str">
        <f>IF(ISERROR(VLOOKUP(A209,'SCINET-PLP'!A:A,1,0)),"N","Y")</f>
        <v>N</v>
      </c>
      <c r="D209" s="5" t="str">
        <f>IF(ISERROR(VLOOKUP(A209,FLEXPLP!A:A,1,0)),"N","Y")</f>
        <v>N</v>
      </c>
      <c r="E209" s="5" t="str">
        <f>IF(ISERROR(VLOOKUP(A209,'ELN PLP'!A:A,1,0)),"N","Y")</f>
        <v>N</v>
      </c>
      <c r="F209" s="26">
        <f t="shared" si="11"/>
        <v>0</v>
      </c>
      <c r="G209" s="8" t="str">
        <f>IF(ISERROR(VLOOKUP(A209,RDPLP!D:D,1,0)),"N","Y")</f>
        <v>N</v>
      </c>
      <c r="H209" s="8" t="str">
        <f>IF(ISERROR(VLOOKUP(A209,'SCINET-PLP'!D:D,1,0)),"N","Y")</f>
        <v>N</v>
      </c>
      <c r="I209" s="8" t="str">
        <f>IF(ISERROR(VLOOKUP(A209,FLEXPLP!D:D,1,0)),"N","Y")</f>
        <v>N</v>
      </c>
      <c r="J209" s="8" t="str">
        <f>IF(ISERROR(VLOOKUP(A209,'ELN PLP'!D:D,1,0)),"N","Y")</f>
        <v>N</v>
      </c>
      <c r="K209" s="29">
        <f t="shared" si="12"/>
        <v>0</v>
      </c>
      <c r="L209" s="52" t="str">
        <f>IF(ISERROR(VLOOKUP(A209,RDPLP!G:G,1,0)),"N","Y")</f>
        <v>N</v>
      </c>
      <c r="M209" s="52" t="str">
        <f>IF(ISERROR(VLOOKUP(A209,'SCINET-PLP'!G:G,1,0)),"N","Y")</f>
        <v>N</v>
      </c>
      <c r="N209" s="52" t="str">
        <f>IF(ISERROR(VLOOKUP(A209,FLEXPLP!G:G,1,0)),"N","Y")</f>
        <v>N</v>
      </c>
      <c r="O209" s="52" t="str">
        <f>IF(ISERROR(VLOOKUP(A209,'ELN PLP'!G:G,1,0)),"N","Y")</f>
        <v>N</v>
      </c>
      <c r="P209" s="53">
        <f t="shared" si="13"/>
        <v>0</v>
      </c>
      <c r="R209" s="21">
        <f>IF(K209+F209&gt;0,1,0)</f>
        <v>0</v>
      </c>
      <c r="S209" s="24">
        <f>IF(ISERROR(VLOOKUP(A209,U:U,1,0)),0,1)</f>
        <v>0</v>
      </c>
      <c r="Z209" s="17" t="s">
        <v>1885</v>
      </c>
    </row>
    <row r="210" spans="1:26" x14ac:dyDescent="0.35">
      <c r="A210" s="6" t="s">
        <v>1967</v>
      </c>
      <c r="B210" s="5" t="str">
        <f>IF(ISERROR(VLOOKUP(A210,RDPLP!A210:A235,1,0)),"N","Y")</f>
        <v>N</v>
      </c>
      <c r="C210" s="5" t="str">
        <f>IF(ISERROR(VLOOKUP(A210,'SCINET-PLP'!A:A,1,0)),"N","Y")</f>
        <v>N</v>
      </c>
      <c r="D210" s="5" t="str">
        <f>IF(ISERROR(VLOOKUP(A210,FLEXPLP!A:A,1,0)),"N","Y")</f>
        <v>N</v>
      </c>
      <c r="E210" s="5" t="str">
        <f>IF(ISERROR(VLOOKUP(A210,'ELN PLP'!A:A,1,0)),"N","Y")</f>
        <v>N</v>
      </c>
      <c r="F210" s="26">
        <f t="shared" si="11"/>
        <v>0</v>
      </c>
      <c r="G210" s="8" t="str">
        <f>IF(ISERROR(VLOOKUP(A210,RDPLP!D:D,1,0)),"N","Y")</f>
        <v>N</v>
      </c>
      <c r="H210" s="8" t="str">
        <f>IF(ISERROR(VLOOKUP(A210,'SCINET-PLP'!D:D,1,0)),"N","Y")</f>
        <v>N</v>
      </c>
      <c r="I210" s="8" t="str">
        <f>IF(ISERROR(VLOOKUP(A210,FLEXPLP!D:D,1,0)),"N","Y")</f>
        <v>N</v>
      </c>
      <c r="J210" s="8" t="str">
        <f>IF(ISERROR(VLOOKUP(A210,'ELN PLP'!D:D,1,0)),"N","Y")</f>
        <v>N</v>
      </c>
      <c r="K210" s="29">
        <f t="shared" si="12"/>
        <v>0</v>
      </c>
      <c r="L210" s="52" t="str">
        <f>IF(ISERROR(VLOOKUP(A210,RDPLP!G:G,1,0)),"N","Y")</f>
        <v>N</v>
      </c>
      <c r="M210" s="52" t="str">
        <f>IF(ISERROR(VLOOKUP(A210,'SCINET-PLP'!G:G,1,0)),"N","Y")</f>
        <v>N</v>
      </c>
      <c r="N210" s="52" t="str">
        <f>IF(ISERROR(VLOOKUP(A210,FLEXPLP!G:G,1,0)),"N","Y")</f>
        <v>N</v>
      </c>
      <c r="O210" s="52" t="str">
        <f>IF(ISERROR(VLOOKUP(A210,'ELN PLP'!G:G,1,0)),"N","Y")</f>
        <v>N</v>
      </c>
      <c r="P210" s="53">
        <f t="shared" si="13"/>
        <v>0</v>
      </c>
      <c r="R210" s="21">
        <f>IF(K210+F210&gt;0,1,0)</f>
        <v>0</v>
      </c>
      <c r="S210" s="24">
        <f>IF(ISERROR(VLOOKUP(A210,U:U,1,0)),0,1)</f>
        <v>0</v>
      </c>
      <c r="Z210" s="17" t="s">
        <v>1888</v>
      </c>
    </row>
    <row r="211" spans="1:26" x14ac:dyDescent="0.35">
      <c r="A211" s="6" t="s">
        <v>1974</v>
      </c>
      <c r="B211" s="5" t="str">
        <f>IF(ISERROR(VLOOKUP(A211,RDPLP!A211:A236,1,0)),"N","Y")</f>
        <v>N</v>
      </c>
      <c r="C211" s="5" t="str">
        <f>IF(ISERROR(VLOOKUP(A211,'SCINET-PLP'!A:A,1,0)),"N","Y")</f>
        <v>N</v>
      </c>
      <c r="D211" s="5" t="str">
        <f>IF(ISERROR(VLOOKUP(A211,FLEXPLP!A:A,1,0)),"N","Y")</f>
        <v>N</v>
      </c>
      <c r="E211" s="5" t="str">
        <f>IF(ISERROR(VLOOKUP(A211,'ELN PLP'!A:A,1,0)),"N","Y")</f>
        <v>N</v>
      </c>
      <c r="F211" s="26">
        <f t="shared" si="11"/>
        <v>0</v>
      </c>
      <c r="G211" s="8" t="str">
        <f>IF(ISERROR(VLOOKUP(A211,RDPLP!D:D,1,0)),"N","Y")</f>
        <v>N</v>
      </c>
      <c r="H211" s="8" t="str">
        <f>IF(ISERROR(VLOOKUP(A211,'SCINET-PLP'!D:D,1,0)),"N","Y")</f>
        <v>N</v>
      </c>
      <c r="I211" s="8" t="str">
        <f>IF(ISERROR(VLOOKUP(A211,FLEXPLP!D:D,1,0)),"N","Y")</f>
        <v>N</v>
      </c>
      <c r="J211" s="8" t="str">
        <f>IF(ISERROR(VLOOKUP(A211,'ELN PLP'!D:D,1,0)),"N","Y")</f>
        <v>N</v>
      </c>
      <c r="K211" s="29">
        <f t="shared" si="12"/>
        <v>0</v>
      </c>
      <c r="L211" s="52" t="str">
        <f>IF(ISERROR(VLOOKUP(A211,RDPLP!G:G,1,0)),"N","Y")</f>
        <v>N</v>
      </c>
      <c r="M211" s="52" t="str">
        <f>IF(ISERROR(VLOOKUP(A211,'SCINET-PLP'!G:G,1,0)),"N","Y")</f>
        <v>N</v>
      </c>
      <c r="N211" s="52" t="str">
        <f>IF(ISERROR(VLOOKUP(A211,FLEXPLP!G:G,1,0)),"N","Y")</f>
        <v>N</v>
      </c>
      <c r="O211" s="52" t="str">
        <f>IF(ISERROR(VLOOKUP(A211,'ELN PLP'!G:G,1,0)),"N","Y")</f>
        <v>N</v>
      </c>
      <c r="P211" s="53">
        <f t="shared" si="13"/>
        <v>0</v>
      </c>
      <c r="R211" s="21">
        <f>IF(K211+F211&gt;0,1,0)</f>
        <v>0</v>
      </c>
      <c r="S211" s="24">
        <f>IF(ISERROR(VLOOKUP(A211,U:U,1,0)),0,1)</f>
        <v>0</v>
      </c>
      <c r="Z211" s="17" t="s">
        <v>157</v>
      </c>
    </row>
    <row r="212" spans="1:26" x14ac:dyDescent="0.35">
      <c r="A212" s="6" t="s">
        <v>1976</v>
      </c>
      <c r="B212" s="5" t="str">
        <f>IF(ISERROR(VLOOKUP(A212,RDPLP!A212:A237,1,0)),"N","Y")</f>
        <v>N</v>
      </c>
      <c r="C212" s="5" t="str">
        <f>IF(ISERROR(VLOOKUP(A212,'SCINET-PLP'!A:A,1,0)),"N","Y")</f>
        <v>N</v>
      </c>
      <c r="D212" s="5" t="str">
        <f>IF(ISERROR(VLOOKUP(A212,FLEXPLP!A:A,1,0)),"N","Y")</f>
        <v>N</v>
      </c>
      <c r="E212" s="5" t="str">
        <f>IF(ISERROR(VLOOKUP(A212,'ELN PLP'!A:A,1,0)),"N","Y")</f>
        <v>N</v>
      </c>
      <c r="F212" s="26">
        <f t="shared" si="11"/>
        <v>0</v>
      </c>
      <c r="G212" s="8" t="str">
        <f>IF(ISERROR(VLOOKUP(A212,RDPLP!D:D,1,0)),"N","Y")</f>
        <v>N</v>
      </c>
      <c r="H212" s="8" t="str">
        <f>IF(ISERROR(VLOOKUP(A212,'SCINET-PLP'!D:D,1,0)),"N","Y")</f>
        <v>N</v>
      </c>
      <c r="I212" s="8" t="str">
        <f>IF(ISERROR(VLOOKUP(A212,FLEXPLP!D:D,1,0)),"N","Y")</f>
        <v>N</v>
      </c>
      <c r="J212" s="8" t="str">
        <f>IF(ISERROR(VLOOKUP(A212,'ELN PLP'!D:D,1,0)),"N","Y")</f>
        <v>N</v>
      </c>
      <c r="K212" s="29">
        <f t="shared" si="12"/>
        <v>0</v>
      </c>
      <c r="L212" s="52" t="str">
        <f>IF(ISERROR(VLOOKUP(A212,RDPLP!G:G,1,0)),"N","Y")</f>
        <v>N</v>
      </c>
      <c r="M212" s="52" t="str">
        <f>IF(ISERROR(VLOOKUP(A212,'SCINET-PLP'!G:G,1,0)),"N","Y")</f>
        <v>N</v>
      </c>
      <c r="N212" s="52" t="str">
        <f>IF(ISERROR(VLOOKUP(A212,FLEXPLP!G:G,1,0)),"N","Y")</f>
        <v>N</v>
      </c>
      <c r="O212" s="52" t="str">
        <f>IF(ISERROR(VLOOKUP(A212,'ELN PLP'!G:G,1,0)),"N","Y")</f>
        <v>N</v>
      </c>
      <c r="P212" s="53">
        <f t="shared" si="13"/>
        <v>0</v>
      </c>
      <c r="R212" s="21">
        <f>IF(K212+F212&gt;0,1,0)</f>
        <v>0</v>
      </c>
      <c r="S212" s="24">
        <f>IF(ISERROR(VLOOKUP(A212,U:U,1,0)),0,1)</f>
        <v>0</v>
      </c>
      <c r="Z212" s="17" t="s">
        <v>162</v>
      </c>
    </row>
    <row r="213" spans="1:26" x14ac:dyDescent="0.35">
      <c r="A213" s="6" t="s">
        <v>1978</v>
      </c>
      <c r="B213" s="5" t="str">
        <f>IF(ISERROR(VLOOKUP(A213,RDPLP!A213:A238,1,0)),"N","Y")</f>
        <v>N</v>
      </c>
      <c r="C213" s="5" t="str">
        <f>IF(ISERROR(VLOOKUP(A213,'SCINET-PLP'!A:A,1,0)),"N","Y")</f>
        <v>N</v>
      </c>
      <c r="D213" s="5" t="str">
        <f>IF(ISERROR(VLOOKUP(A213,FLEXPLP!A:A,1,0)),"N","Y")</f>
        <v>N</v>
      </c>
      <c r="E213" s="5" t="str">
        <f>IF(ISERROR(VLOOKUP(A213,'ELN PLP'!A:A,1,0)),"N","Y")</f>
        <v>N</v>
      </c>
      <c r="F213" s="26">
        <f t="shared" si="11"/>
        <v>0</v>
      </c>
      <c r="G213" s="8" t="str">
        <f>IF(ISERROR(VLOOKUP(A213,RDPLP!D:D,1,0)),"N","Y")</f>
        <v>N</v>
      </c>
      <c r="H213" s="8" t="str">
        <f>IF(ISERROR(VLOOKUP(A213,'SCINET-PLP'!D:D,1,0)),"N","Y")</f>
        <v>N</v>
      </c>
      <c r="I213" s="8" t="str">
        <f>IF(ISERROR(VLOOKUP(A213,FLEXPLP!D:D,1,0)),"N","Y")</f>
        <v>N</v>
      </c>
      <c r="J213" s="8" t="str">
        <f>IF(ISERROR(VLOOKUP(A213,'ELN PLP'!D:D,1,0)),"N","Y")</f>
        <v>N</v>
      </c>
      <c r="K213" s="29">
        <f t="shared" si="12"/>
        <v>0</v>
      </c>
      <c r="L213" s="52" t="str">
        <f>IF(ISERROR(VLOOKUP(A213,RDPLP!G:G,1,0)),"N","Y")</f>
        <v>N</v>
      </c>
      <c r="M213" s="52" t="str">
        <f>IF(ISERROR(VLOOKUP(A213,'SCINET-PLP'!G:G,1,0)),"N","Y")</f>
        <v>N</v>
      </c>
      <c r="N213" s="52" t="str">
        <f>IF(ISERROR(VLOOKUP(A213,FLEXPLP!G:G,1,0)),"N","Y")</f>
        <v>N</v>
      </c>
      <c r="O213" s="52" t="str">
        <f>IF(ISERROR(VLOOKUP(A213,'ELN PLP'!G:G,1,0)),"N","Y")</f>
        <v>N</v>
      </c>
      <c r="P213" s="53">
        <f t="shared" si="13"/>
        <v>0</v>
      </c>
      <c r="R213" s="21">
        <f>IF(K213+F213&gt;0,1,0)</f>
        <v>0</v>
      </c>
      <c r="S213" s="24">
        <f>IF(ISERROR(VLOOKUP(A213,U:U,1,0)),0,1)</f>
        <v>0</v>
      </c>
      <c r="Z213" s="17" t="s">
        <v>172</v>
      </c>
    </row>
    <row r="214" spans="1:26" x14ac:dyDescent="0.35">
      <c r="A214" s="6" t="s">
        <v>1985</v>
      </c>
      <c r="B214" s="5" t="str">
        <f>IF(ISERROR(VLOOKUP(A214,RDPLP!A214:A239,1,0)),"N","Y")</f>
        <v>N</v>
      </c>
      <c r="C214" s="5" t="str">
        <f>IF(ISERROR(VLOOKUP(A214,'SCINET-PLP'!A:A,1,0)),"N","Y")</f>
        <v>N</v>
      </c>
      <c r="D214" s="5" t="str">
        <f>IF(ISERROR(VLOOKUP(A214,FLEXPLP!A:A,1,0)),"N","Y")</f>
        <v>N</v>
      </c>
      <c r="E214" s="5" t="str">
        <f>IF(ISERROR(VLOOKUP(A214,'ELN PLP'!A:A,1,0)),"N","Y")</f>
        <v>N</v>
      </c>
      <c r="F214" s="26">
        <f t="shared" si="11"/>
        <v>0</v>
      </c>
      <c r="G214" s="8" t="str">
        <f>IF(ISERROR(VLOOKUP(A214,RDPLP!D:D,1,0)),"N","Y")</f>
        <v>N</v>
      </c>
      <c r="H214" s="8" t="str">
        <f>IF(ISERROR(VLOOKUP(A214,'SCINET-PLP'!D:D,1,0)),"N","Y")</f>
        <v>N</v>
      </c>
      <c r="I214" s="8" t="str">
        <f>IF(ISERROR(VLOOKUP(A214,FLEXPLP!D:D,1,0)),"N","Y")</f>
        <v>N</v>
      </c>
      <c r="J214" s="8" t="str">
        <f>IF(ISERROR(VLOOKUP(A214,'ELN PLP'!D:D,1,0)),"N","Y")</f>
        <v>N</v>
      </c>
      <c r="K214" s="29">
        <f t="shared" si="12"/>
        <v>0</v>
      </c>
      <c r="L214" s="52" t="str">
        <f>IF(ISERROR(VLOOKUP(A214,RDPLP!G:G,1,0)),"N","Y")</f>
        <v>N</v>
      </c>
      <c r="M214" s="52" t="str">
        <f>IF(ISERROR(VLOOKUP(A214,'SCINET-PLP'!G:G,1,0)),"N","Y")</f>
        <v>N</v>
      </c>
      <c r="N214" s="52" t="str">
        <f>IF(ISERROR(VLOOKUP(A214,FLEXPLP!G:G,1,0)),"N","Y")</f>
        <v>N</v>
      </c>
      <c r="O214" s="52" t="str">
        <f>IF(ISERROR(VLOOKUP(A214,'ELN PLP'!G:G,1,0)),"N","Y")</f>
        <v>N</v>
      </c>
      <c r="P214" s="53">
        <f t="shared" si="13"/>
        <v>0</v>
      </c>
      <c r="R214" s="21">
        <f>IF(K214+F214&gt;0,1,0)</f>
        <v>0</v>
      </c>
      <c r="S214" s="24">
        <f>IF(ISERROR(VLOOKUP(A214,U:U,1,0)),0,1)</f>
        <v>0</v>
      </c>
      <c r="Z214" s="17" t="s">
        <v>93</v>
      </c>
    </row>
    <row r="215" spans="1:26" x14ac:dyDescent="0.35">
      <c r="A215" s="6" t="s">
        <v>1989</v>
      </c>
      <c r="B215" s="5" t="str">
        <f>IF(ISERROR(VLOOKUP(A215,RDPLP!A215:A240,1,0)),"N","Y")</f>
        <v>N</v>
      </c>
      <c r="C215" s="5" t="str">
        <f>IF(ISERROR(VLOOKUP(A215,'SCINET-PLP'!A:A,1,0)),"N","Y")</f>
        <v>N</v>
      </c>
      <c r="D215" s="5" t="str">
        <f>IF(ISERROR(VLOOKUP(A215,FLEXPLP!A:A,1,0)),"N","Y")</f>
        <v>N</v>
      </c>
      <c r="E215" s="5" t="str">
        <f>IF(ISERROR(VLOOKUP(A215,'ELN PLP'!A:A,1,0)),"N","Y")</f>
        <v>N</v>
      </c>
      <c r="F215" s="26">
        <f t="shared" si="11"/>
        <v>0</v>
      </c>
      <c r="G215" s="8" t="str">
        <f>IF(ISERROR(VLOOKUP(A215,RDPLP!D:D,1,0)),"N","Y")</f>
        <v>N</v>
      </c>
      <c r="H215" s="8" t="str">
        <f>IF(ISERROR(VLOOKUP(A215,'SCINET-PLP'!D:D,1,0)),"N","Y")</f>
        <v>N</v>
      </c>
      <c r="I215" s="8" t="str">
        <f>IF(ISERROR(VLOOKUP(A215,FLEXPLP!D:D,1,0)),"N","Y")</f>
        <v>N</v>
      </c>
      <c r="J215" s="8" t="str">
        <f>IF(ISERROR(VLOOKUP(A215,'ELN PLP'!D:D,1,0)),"N","Y")</f>
        <v>N</v>
      </c>
      <c r="K215" s="29">
        <f t="shared" si="12"/>
        <v>0</v>
      </c>
      <c r="L215" s="52" t="str">
        <f>IF(ISERROR(VLOOKUP(A215,RDPLP!G:G,1,0)),"N","Y")</f>
        <v>N</v>
      </c>
      <c r="M215" s="52" t="str">
        <f>IF(ISERROR(VLOOKUP(A215,'SCINET-PLP'!G:G,1,0)),"N","Y")</f>
        <v>N</v>
      </c>
      <c r="N215" s="52" t="str">
        <f>IF(ISERROR(VLOOKUP(A215,FLEXPLP!G:G,1,0)),"N","Y")</f>
        <v>N</v>
      </c>
      <c r="O215" s="52" t="str">
        <f>IF(ISERROR(VLOOKUP(A215,'ELN PLP'!G:G,1,0)),"N","Y")</f>
        <v>N</v>
      </c>
      <c r="P215" s="53">
        <f t="shared" si="13"/>
        <v>0</v>
      </c>
      <c r="R215" s="21">
        <f>IF(K215+F215&gt;0,1,0)</f>
        <v>0</v>
      </c>
      <c r="S215" s="24">
        <f>IF(ISERROR(VLOOKUP(A215,U:U,1,0)),0,1)</f>
        <v>0</v>
      </c>
      <c r="Z215" s="17" t="s">
        <v>1899</v>
      </c>
    </row>
    <row r="216" spans="1:26" x14ac:dyDescent="0.35">
      <c r="A216" s="6" t="s">
        <v>1992</v>
      </c>
      <c r="B216" s="5" t="str">
        <f>IF(ISERROR(VLOOKUP(A216,RDPLP!A216:A241,1,0)),"N","Y")</f>
        <v>N</v>
      </c>
      <c r="C216" s="5" t="str">
        <f>IF(ISERROR(VLOOKUP(A216,'SCINET-PLP'!A:A,1,0)),"N","Y")</f>
        <v>N</v>
      </c>
      <c r="D216" s="5" t="str">
        <f>IF(ISERROR(VLOOKUP(A216,FLEXPLP!A:A,1,0)),"N","Y")</f>
        <v>N</v>
      </c>
      <c r="E216" s="5" t="str">
        <f>IF(ISERROR(VLOOKUP(A216,'ELN PLP'!A:A,1,0)),"N","Y")</f>
        <v>N</v>
      </c>
      <c r="F216" s="26">
        <f t="shared" si="11"/>
        <v>0</v>
      </c>
      <c r="G216" s="8" t="str">
        <f>IF(ISERROR(VLOOKUP(A216,RDPLP!D:D,1,0)),"N","Y")</f>
        <v>N</v>
      </c>
      <c r="H216" s="8" t="str">
        <f>IF(ISERROR(VLOOKUP(A216,'SCINET-PLP'!D:D,1,0)),"N","Y")</f>
        <v>N</v>
      </c>
      <c r="I216" s="8" t="str">
        <f>IF(ISERROR(VLOOKUP(A216,FLEXPLP!D:D,1,0)),"N","Y")</f>
        <v>N</v>
      </c>
      <c r="J216" s="8" t="str">
        <f>IF(ISERROR(VLOOKUP(A216,'ELN PLP'!D:D,1,0)),"N","Y")</f>
        <v>N</v>
      </c>
      <c r="K216" s="29">
        <f t="shared" si="12"/>
        <v>0</v>
      </c>
      <c r="L216" s="52" t="str">
        <f>IF(ISERROR(VLOOKUP(A216,RDPLP!G:G,1,0)),"N","Y")</f>
        <v>N</v>
      </c>
      <c r="M216" s="52" t="str">
        <f>IF(ISERROR(VLOOKUP(A216,'SCINET-PLP'!G:G,1,0)),"N","Y")</f>
        <v>N</v>
      </c>
      <c r="N216" s="52" t="str">
        <f>IF(ISERROR(VLOOKUP(A216,FLEXPLP!G:G,1,0)),"N","Y")</f>
        <v>N</v>
      </c>
      <c r="O216" s="52" t="str">
        <f>IF(ISERROR(VLOOKUP(A216,'ELN PLP'!G:G,1,0)),"N","Y")</f>
        <v>N</v>
      </c>
      <c r="P216" s="53">
        <f t="shared" si="13"/>
        <v>0</v>
      </c>
      <c r="R216" s="21">
        <f>IF(K216+F216&gt;0,1,0)</f>
        <v>0</v>
      </c>
      <c r="S216" s="24">
        <f>IF(ISERROR(VLOOKUP(A216,U:U,1,0)),0,1)</f>
        <v>0</v>
      </c>
      <c r="Z216" s="17" t="s">
        <v>1901</v>
      </c>
    </row>
    <row r="217" spans="1:26" x14ac:dyDescent="0.35">
      <c r="A217" s="6" t="s">
        <v>1993</v>
      </c>
      <c r="B217" s="5" t="str">
        <f>IF(ISERROR(VLOOKUP(A217,RDPLP!A217:A242,1,0)),"N","Y")</f>
        <v>N</v>
      </c>
      <c r="C217" s="5" t="str">
        <f>IF(ISERROR(VLOOKUP(A217,'SCINET-PLP'!A:A,1,0)),"N","Y")</f>
        <v>N</v>
      </c>
      <c r="D217" s="5" t="str">
        <f>IF(ISERROR(VLOOKUP(A217,FLEXPLP!A:A,1,0)),"N","Y")</f>
        <v>N</v>
      </c>
      <c r="E217" s="5" t="str">
        <f>IF(ISERROR(VLOOKUP(A217,'ELN PLP'!A:A,1,0)),"N","Y")</f>
        <v>N</v>
      </c>
      <c r="F217" s="26">
        <f t="shared" si="11"/>
        <v>0</v>
      </c>
      <c r="G217" s="8" t="str">
        <f>IF(ISERROR(VLOOKUP(A217,RDPLP!D:D,1,0)),"N","Y")</f>
        <v>N</v>
      </c>
      <c r="H217" s="8" t="str">
        <f>IF(ISERROR(VLOOKUP(A217,'SCINET-PLP'!D:D,1,0)),"N","Y")</f>
        <v>N</v>
      </c>
      <c r="I217" s="8" t="str">
        <f>IF(ISERROR(VLOOKUP(A217,FLEXPLP!D:D,1,0)),"N","Y")</f>
        <v>N</v>
      </c>
      <c r="J217" s="8" t="str">
        <f>IF(ISERROR(VLOOKUP(A217,'ELN PLP'!D:D,1,0)),"N","Y")</f>
        <v>N</v>
      </c>
      <c r="K217" s="29">
        <f t="shared" si="12"/>
        <v>0</v>
      </c>
      <c r="L217" s="52" t="str">
        <f>IF(ISERROR(VLOOKUP(A217,RDPLP!G:G,1,0)),"N","Y")</f>
        <v>Y</v>
      </c>
      <c r="M217" s="52" t="str">
        <f>IF(ISERROR(VLOOKUP(A217,'SCINET-PLP'!G:G,1,0)),"N","Y")</f>
        <v>N</v>
      </c>
      <c r="N217" s="52" t="str">
        <f>IF(ISERROR(VLOOKUP(A217,FLEXPLP!G:G,1,0)),"N","Y")</f>
        <v>Y</v>
      </c>
      <c r="O217" s="52" t="str">
        <f>IF(ISERROR(VLOOKUP(A217,'ELN PLP'!G:G,1,0)),"N","Y")</f>
        <v>N</v>
      </c>
      <c r="P217" s="53">
        <f t="shared" si="13"/>
        <v>1</v>
      </c>
      <c r="R217" s="21">
        <f>IF(K217+F217&gt;0,1,0)</f>
        <v>0</v>
      </c>
      <c r="S217" s="24">
        <f>IF(ISERROR(VLOOKUP(A217,U:U,1,0)),0,1)</f>
        <v>0</v>
      </c>
      <c r="Z217" s="17" t="s">
        <v>1903</v>
      </c>
    </row>
    <row r="218" spans="1:26" x14ac:dyDescent="0.35">
      <c r="A218" s="6" t="s">
        <v>1995</v>
      </c>
      <c r="B218" s="5" t="str">
        <f>IF(ISERROR(VLOOKUP(A218,RDPLP!A218:A243,1,0)),"N","Y")</f>
        <v>N</v>
      </c>
      <c r="C218" s="5" t="str">
        <f>IF(ISERROR(VLOOKUP(A218,'SCINET-PLP'!A:A,1,0)),"N","Y")</f>
        <v>N</v>
      </c>
      <c r="D218" s="5" t="str">
        <f>IF(ISERROR(VLOOKUP(A218,FLEXPLP!A:A,1,0)),"N","Y")</f>
        <v>N</v>
      </c>
      <c r="E218" s="5" t="str">
        <f>IF(ISERROR(VLOOKUP(A218,'ELN PLP'!A:A,1,0)),"N","Y")</f>
        <v>N</v>
      </c>
      <c r="F218" s="26">
        <f t="shared" si="11"/>
        <v>0</v>
      </c>
      <c r="G218" s="8" t="str">
        <f>IF(ISERROR(VLOOKUP(A218,RDPLP!D:D,1,0)),"N","Y")</f>
        <v>N</v>
      </c>
      <c r="H218" s="8" t="str">
        <f>IF(ISERROR(VLOOKUP(A218,'SCINET-PLP'!D:D,1,0)),"N","Y")</f>
        <v>N</v>
      </c>
      <c r="I218" s="8" t="str">
        <f>IF(ISERROR(VLOOKUP(A218,FLEXPLP!D:D,1,0)),"N","Y")</f>
        <v>N</v>
      </c>
      <c r="J218" s="8" t="str">
        <f>IF(ISERROR(VLOOKUP(A218,'ELN PLP'!D:D,1,0)),"N","Y")</f>
        <v>N</v>
      </c>
      <c r="K218" s="29">
        <f t="shared" si="12"/>
        <v>0</v>
      </c>
      <c r="L218" s="52" t="str">
        <f>IF(ISERROR(VLOOKUP(A218,RDPLP!G:G,1,0)),"N","Y")</f>
        <v>N</v>
      </c>
      <c r="M218" s="52" t="str">
        <f>IF(ISERROR(VLOOKUP(A218,'SCINET-PLP'!G:G,1,0)),"N","Y")</f>
        <v>N</v>
      </c>
      <c r="N218" s="52" t="str">
        <f>IF(ISERROR(VLOOKUP(A218,FLEXPLP!G:G,1,0)),"N","Y")</f>
        <v>N</v>
      </c>
      <c r="O218" s="52" t="str">
        <f>IF(ISERROR(VLOOKUP(A218,'ELN PLP'!G:G,1,0)),"N","Y")</f>
        <v>N</v>
      </c>
      <c r="P218" s="53">
        <f t="shared" si="13"/>
        <v>0</v>
      </c>
      <c r="R218" s="21">
        <f>IF(K218+F218&gt;0,1,0)</f>
        <v>0</v>
      </c>
      <c r="S218" s="24">
        <f>IF(ISERROR(VLOOKUP(A218,U:U,1,0)),0,1)</f>
        <v>0</v>
      </c>
      <c r="Z218" s="17" t="s">
        <v>1906</v>
      </c>
    </row>
    <row r="219" spans="1:26" x14ac:dyDescent="0.35">
      <c r="A219" s="6" t="s">
        <v>1996</v>
      </c>
      <c r="B219" s="5" t="str">
        <f>IF(ISERROR(VLOOKUP(A219,RDPLP!A219:A244,1,0)),"N","Y")</f>
        <v>N</v>
      </c>
      <c r="C219" s="5" t="str">
        <f>IF(ISERROR(VLOOKUP(A219,'SCINET-PLP'!A:A,1,0)),"N","Y")</f>
        <v>N</v>
      </c>
      <c r="D219" s="5" t="str">
        <f>IF(ISERROR(VLOOKUP(A219,FLEXPLP!A:A,1,0)),"N","Y")</f>
        <v>N</v>
      </c>
      <c r="E219" s="5" t="str">
        <f>IF(ISERROR(VLOOKUP(A219,'ELN PLP'!A:A,1,0)),"N","Y")</f>
        <v>N</v>
      </c>
      <c r="F219" s="26">
        <f t="shared" si="11"/>
        <v>0</v>
      </c>
      <c r="G219" s="8" t="str">
        <f>IF(ISERROR(VLOOKUP(A219,RDPLP!D:D,1,0)),"N","Y")</f>
        <v>N</v>
      </c>
      <c r="H219" s="8" t="str">
        <f>IF(ISERROR(VLOOKUP(A219,'SCINET-PLP'!D:D,1,0)),"N","Y")</f>
        <v>N</v>
      </c>
      <c r="I219" s="8" t="str">
        <f>IF(ISERROR(VLOOKUP(A219,FLEXPLP!D:D,1,0)),"N","Y")</f>
        <v>N</v>
      </c>
      <c r="J219" s="8" t="str">
        <f>IF(ISERROR(VLOOKUP(A219,'ELN PLP'!D:D,1,0)),"N","Y")</f>
        <v>N</v>
      </c>
      <c r="K219" s="29">
        <f t="shared" si="12"/>
        <v>0</v>
      </c>
      <c r="L219" s="52" t="str">
        <f>IF(ISERROR(VLOOKUP(A219,RDPLP!G:G,1,0)),"N","Y")</f>
        <v>N</v>
      </c>
      <c r="M219" s="52" t="str">
        <f>IF(ISERROR(VLOOKUP(A219,'SCINET-PLP'!G:G,1,0)),"N","Y")</f>
        <v>N</v>
      </c>
      <c r="N219" s="52" t="str">
        <f>IF(ISERROR(VLOOKUP(A219,FLEXPLP!G:G,1,0)),"N","Y")</f>
        <v>N</v>
      </c>
      <c r="O219" s="52" t="str">
        <f>IF(ISERROR(VLOOKUP(A219,'ELN PLP'!G:G,1,0)),"N","Y")</f>
        <v>N</v>
      </c>
      <c r="P219" s="53">
        <f t="shared" si="13"/>
        <v>0</v>
      </c>
      <c r="R219" s="21">
        <f>IF(K219+F219&gt;0,1,0)</f>
        <v>0</v>
      </c>
      <c r="S219" s="24">
        <f>IF(ISERROR(VLOOKUP(A219,U:U,1,0)),0,1)</f>
        <v>0</v>
      </c>
      <c r="Z219" s="17" t="s">
        <v>72</v>
      </c>
    </row>
    <row r="220" spans="1:26" x14ac:dyDescent="0.35">
      <c r="A220" s="6" t="s">
        <v>1997</v>
      </c>
      <c r="B220" s="5" t="str">
        <f>IF(ISERROR(VLOOKUP(A220,RDPLP!A220:A245,1,0)),"N","Y")</f>
        <v>N</v>
      </c>
      <c r="C220" s="5" t="str">
        <f>IF(ISERROR(VLOOKUP(A220,'SCINET-PLP'!A:A,1,0)),"N","Y")</f>
        <v>N</v>
      </c>
      <c r="D220" s="5" t="str">
        <f>IF(ISERROR(VLOOKUP(A220,FLEXPLP!A:A,1,0)),"N","Y")</f>
        <v>N</v>
      </c>
      <c r="E220" s="5" t="str">
        <f>IF(ISERROR(VLOOKUP(A220,'ELN PLP'!A:A,1,0)),"N","Y")</f>
        <v>N</v>
      </c>
      <c r="F220" s="26">
        <f t="shared" si="11"/>
        <v>0</v>
      </c>
      <c r="G220" s="8" t="str">
        <f>IF(ISERROR(VLOOKUP(A220,RDPLP!D:D,1,0)),"N","Y")</f>
        <v>N</v>
      </c>
      <c r="H220" s="8" t="str">
        <f>IF(ISERROR(VLOOKUP(A220,'SCINET-PLP'!D:D,1,0)),"N","Y")</f>
        <v>N</v>
      </c>
      <c r="I220" s="8" t="str">
        <f>IF(ISERROR(VLOOKUP(A220,FLEXPLP!D:D,1,0)),"N","Y")</f>
        <v>N</v>
      </c>
      <c r="J220" s="8" t="str">
        <f>IF(ISERROR(VLOOKUP(A220,'ELN PLP'!D:D,1,0)),"N","Y")</f>
        <v>N</v>
      </c>
      <c r="K220" s="29">
        <f t="shared" si="12"/>
        <v>0</v>
      </c>
      <c r="L220" s="52" t="str">
        <f>IF(ISERROR(VLOOKUP(A220,RDPLP!G:G,1,0)),"N","Y")</f>
        <v>N</v>
      </c>
      <c r="M220" s="52" t="str">
        <f>IF(ISERROR(VLOOKUP(A220,'SCINET-PLP'!G:G,1,0)),"N","Y")</f>
        <v>N</v>
      </c>
      <c r="N220" s="52" t="str">
        <f>IF(ISERROR(VLOOKUP(A220,FLEXPLP!G:G,1,0)),"N","Y")</f>
        <v>N</v>
      </c>
      <c r="O220" s="52" t="str">
        <f>IF(ISERROR(VLOOKUP(A220,'ELN PLP'!G:G,1,0)),"N","Y")</f>
        <v>N</v>
      </c>
      <c r="P220" s="53">
        <f t="shared" si="13"/>
        <v>0</v>
      </c>
      <c r="R220" s="21">
        <f>IF(K220+F220&gt;0,1,0)</f>
        <v>0</v>
      </c>
      <c r="S220" s="24">
        <f>IF(ISERROR(VLOOKUP(A220,U:U,1,0)),0,1)</f>
        <v>0</v>
      </c>
      <c r="Z220" s="17" t="s">
        <v>1913</v>
      </c>
    </row>
    <row r="221" spans="1:26" x14ac:dyDescent="0.35">
      <c r="A221" s="6" t="s">
        <v>1839</v>
      </c>
      <c r="B221" s="5" t="str">
        <f>IF(ISERROR(VLOOKUP(A221,RDPLP!A221:A246,1,0)),"N","Y")</f>
        <v>N</v>
      </c>
      <c r="C221" s="5" t="str">
        <f>IF(ISERROR(VLOOKUP(A221,'SCINET-PLP'!A:A,1,0)),"N","Y")</f>
        <v>N</v>
      </c>
      <c r="D221" s="5" t="str">
        <f>IF(ISERROR(VLOOKUP(A221,FLEXPLP!A:A,1,0)),"N","Y")</f>
        <v>N</v>
      </c>
      <c r="E221" s="5" t="str">
        <f>IF(ISERROR(VLOOKUP(A221,'ELN PLP'!A:A,1,0)),"N","Y")</f>
        <v>N</v>
      </c>
      <c r="F221" s="26">
        <f t="shared" si="11"/>
        <v>0</v>
      </c>
      <c r="G221" s="8" t="str">
        <f>IF(ISERROR(VLOOKUP(A221,RDPLP!D:D,1,0)),"N","Y")</f>
        <v>N</v>
      </c>
      <c r="H221" s="8" t="str">
        <f>IF(ISERROR(VLOOKUP(A221,'SCINET-PLP'!D:D,1,0)),"N","Y")</f>
        <v>N</v>
      </c>
      <c r="I221" s="8" t="str">
        <f>IF(ISERROR(VLOOKUP(A221,FLEXPLP!D:D,1,0)),"N","Y")</f>
        <v>N</v>
      </c>
      <c r="J221" s="8" t="str">
        <f>IF(ISERROR(VLOOKUP(A221,'ELN PLP'!D:D,1,0)),"N","Y")</f>
        <v>N</v>
      </c>
      <c r="K221" s="29">
        <f t="shared" si="12"/>
        <v>0</v>
      </c>
      <c r="L221" s="52" t="str">
        <f>IF(ISERROR(VLOOKUP(A221,RDPLP!G:G,1,0)),"N","Y")</f>
        <v>N</v>
      </c>
      <c r="M221" s="52" t="str">
        <f>IF(ISERROR(VLOOKUP(A221,'SCINET-PLP'!G:G,1,0)),"N","Y")</f>
        <v>N</v>
      </c>
      <c r="N221" s="52" t="str">
        <f>IF(ISERROR(VLOOKUP(A221,FLEXPLP!G:G,1,0)),"N","Y")</f>
        <v>N</v>
      </c>
      <c r="O221" s="52" t="str">
        <f>IF(ISERROR(VLOOKUP(A221,'ELN PLP'!G:G,1,0)),"N","Y")</f>
        <v>N</v>
      </c>
      <c r="P221" s="53">
        <f t="shared" si="13"/>
        <v>0</v>
      </c>
      <c r="R221" s="21">
        <f>IF(K221+F221&gt;0,1,0)</f>
        <v>0</v>
      </c>
      <c r="S221" s="24">
        <f>IF(ISERROR(VLOOKUP(A221,U:U,1,0)),0,1)</f>
        <v>0</v>
      </c>
      <c r="Z221" s="17" t="s">
        <v>1916</v>
      </c>
    </row>
    <row r="222" spans="1:26" x14ac:dyDescent="0.35">
      <c r="A222" s="6" t="s">
        <v>1844</v>
      </c>
      <c r="B222" s="5" t="str">
        <f>IF(ISERROR(VLOOKUP(A222,RDPLP!A222:A247,1,0)),"N","Y")</f>
        <v>N</v>
      </c>
      <c r="C222" s="5" t="str">
        <f>IF(ISERROR(VLOOKUP(A222,'SCINET-PLP'!A:A,1,0)),"N","Y")</f>
        <v>N</v>
      </c>
      <c r="D222" s="5" t="str">
        <f>IF(ISERROR(VLOOKUP(A222,FLEXPLP!A:A,1,0)),"N","Y")</f>
        <v>N</v>
      </c>
      <c r="E222" s="5" t="str">
        <f>IF(ISERROR(VLOOKUP(A222,'ELN PLP'!A:A,1,0)),"N","Y")</f>
        <v>N</v>
      </c>
      <c r="F222" s="26">
        <f t="shared" si="11"/>
        <v>0</v>
      </c>
      <c r="G222" s="8" t="str">
        <f>IF(ISERROR(VLOOKUP(A222,RDPLP!D:D,1,0)),"N","Y")</f>
        <v>N</v>
      </c>
      <c r="H222" s="8" t="str">
        <f>IF(ISERROR(VLOOKUP(A222,'SCINET-PLP'!D:D,1,0)),"N","Y")</f>
        <v>N</v>
      </c>
      <c r="I222" s="8" t="str">
        <f>IF(ISERROR(VLOOKUP(A222,FLEXPLP!D:D,1,0)),"N","Y")</f>
        <v>N</v>
      </c>
      <c r="J222" s="8" t="str">
        <f>IF(ISERROR(VLOOKUP(A222,'ELN PLP'!D:D,1,0)),"N","Y")</f>
        <v>N</v>
      </c>
      <c r="K222" s="29">
        <f t="shared" si="12"/>
        <v>0</v>
      </c>
      <c r="L222" s="52" t="str">
        <f>IF(ISERROR(VLOOKUP(A222,RDPLP!G:G,1,0)),"N","Y")</f>
        <v>N</v>
      </c>
      <c r="M222" s="52" t="str">
        <f>IF(ISERROR(VLOOKUP(A222,'SCINET-PLP'!G:G,1,0)),"N","Y")</f>
        <v>N</v>
      </c>
      <c r="N222" s="52" t="str">
        <f>IF(ISERROR(VLOOKUP(A222,FLEXPLP!G:G,1,0)),"N","Y")</f>
        <v>N</v>
      </c>
      <c r="O222" s="52" t="str">
        <f>IF(ISERROR(VLOOKUP(A222,'ELN PLP'!G:G,1,0)),"N","Y")</f>
        <v>N</v>
      </c>
      <c r="P222" s="53">
        <f t="shared" si="13"/>
        <v>0</v>
      </c>
      <c r="R222" s="21">
        <f>IF(K222+F222&gt;0,1,0)</f>
        <v>0</v>
      </c>
      <c r="S222" s="24">
        <f>IF(ISERROR(VLOOKUP(A222,U:U,1,0)),0,1)</f>
        <v>0</v>
      </c>
      <c r="Z222" s="17" t="s">
        <v>114</v>
      </c>
    </row>
    <row r="223" spans="1:26" x14ac:dyDescent="0.35">
      <c r="A223" s="6" t="s">
        <v>1847</v>
      </c>
      <c r="B223" s="5" t="str">
        <f>IF(ISERROR(VLOOKUP(A223,RDPLP!A223:A248,1,0)),"N","Y")</f>
        <v>N</v>
      </c>
      <c r="C223" s="5" t="str">
        <f>IF(ISERROR(VLOOKUP(A223,'SCINET-PLP'!A:A,1,0)),"N","Y")</f>
        <v>N</v>
      </c>
      <c r="D223" s="5" t="str">
        <f>IF(ISERROR(VLOOKUP(A223,FLEXPLP!A:A,1,0)),"N","Y")</f>
        <v>N</v>
      </c>
      <c r="E223" s="5" t="str">
        <f>IF(ISERROR(VLOOKUP(A223,'ELN PLP'!A:A,1,0)),"N","Y")</f>
        <v>N</v>
      </c>
      <c r="F223" s="26">
        <f t="shared" si="11"/>
        <v>0</v>
      </c>
      <c r="G223" s="8" t="str">
        <f>IF(ISERROR(VLOOKUP(A223,RDPLP!D:D,1,0)),"N","Y")</f>
        <v>N</v>
      </c>
      <c r="H223" s="8" t="str">
        <f>IF(ISERROR(VLOOKUP(A223,'SCINET-PLP'!D:D,1,0)),"N","Y")</f>
        <v>N</v>
      </c>
      <c r="I223" s="8" t="str">
        <f>IF(ISERROR(VLOOKUP(A223,FLEXPLP!D:D,1,0)),"N","Y")</f>
        <v>N</v>
      </c>
      <c r="J223" s="8" t="str">
        <f>IF(ISERROR(VLOOKUP(A223,'ELN PLP'!D:D,1,0)),"N","Y")</f>
        <v>N</v>
      </c>
      <c r="K223" s="29">
        <f t="shared" si="12"/>
        <v>0</v>
      </c>
      <c r="L223" s="52" t="str">
        <f>IF(ISERROR(VLOOKUP(A223,RDPLP!G:G,1,0)),"N","Y")</f>
        <v>N</v>
      </c>
      <c r="M223" s="52" t="str">
        <f>IF(ISERROR(VLOOKUP(A223,'SCINET-PLP'!G:G,1,0)),"N","Y")</f>
        <v>N</v>
      </c>
      <c r="N223" s="52" t="str">
        <f>IF(ISERROR(VLOOKUP(A223,FLEXPLP!G:G,1,0)),"N","Y")</f>
        <v>N</v>
      </c>
      <c r="O223" s="52" t="str">
        <f>IF(ISERROR(VLOOKUP(A223,'ELN PLP'!G:G,1,0)),"N","Y")</f>
        <v>N</v>
      </c>
      <c r="P223" s="53">
        <f t="shared" si="13"/>
        <v>0</v>
      </c>
      <c r="R223" s="21">
        <f>IF(K223+F223&gt;0,1,0)</f>
        <v>0</v>
      </c>
      <c r="S223" s="24">
        <f>IF(ISERROR(VLOOKUP(A223,U:U,1,0)),0,1)</f>
        <v>0</v>
      </c>
      <c r="Z223" s="17" t="s">
        <v>1922</v>
      </c>
    </row>
    <row r="224" spans="1:26" x14ac:dyDescent="0.35">
      <c r="A224" s="6" t="s">
        <v>1854</v>
      </c>
      <c r="B224" s="5" t="str">
        <f>IF(ISERROR(VLOOKUP(A224,RDPLP!A224:A249,1,0)),"N","Y")</f>
        <v>N</v>
      </c>
      <c r="C224" s="5" t="str">
        <f>IF(ISERROR(VLOOKUP(A224,'SCINET-PLP'!A:A,1,0)),"N","Y")</f>
        <v>N</v>
      </c>
      <c r="D224" s="5" t="str">
        <f>IF(ISERROR(VLOOKUP(A224,FLEXPLP!A:A,1,0)),"N","Y")</f>
        <v>N</v>
      </c>
      <c r="E224" s="5" t="str">
        <f>IF(ISERROR(VLOOKUP(A224,'ELN PLP'!A:A,1,0)),"N","Y")</f>
        <v>N</v>
      </c>
      <c r="F224" s="26">
        <f t="shared" si="11"/>
        <v>0</v>
      </c>
      <c r="G224" s="8" t="str">
        <f>IF(ISERROR(VLOOKUP(A224,RDPLP!D:D,1,0)),"N","Y")</f>
        <v>N</v>
      </c>
      <c r="H224" s="8" t="str">
        <f>IF(ISERROR(VLOOKUP(A224,'SCINET-PLP'!D:D,1,0)),"N","Y")</f>
        <v>N</v>
      </c>
      <c r="I224" s="8" t="str">
        <f>IF(ISERROR(VLOOKUP(A224,FLEXPLP!D:D,1,0)),"N","Y")</f>
        <v>N</v>
      </c>
      <c r="J224" s="8" t="str">
        <f>IF(ISERROR(VLOOKUP(A224,'ELN PLP'!D:D,1,0)),"N","Y")</f>
        <v>N</v>
      </c>
      <c r="K224" s="29">
        <f t="shared" si="12"/>
        <v>0</v>
      </c>
      <c r="L224" s="52" t="str">
        <f>IF(ISERROR(VLOOKUP(A224,RDPLP!G:G,1,0)),"N","Y")</f>
        <v>N</v>
      </c>
      <c r="M224" s="52" t="str">
        <f>IF(ISERROR(VLOOKUP(A224,'SCINET-PLP'!G:G,1,0)),"N","Y")</f>
        <v>N</v>
      </c>
      <c r="N224" s="52" t="str">
        <f>IF(ISERROR(VLOOKUP(A224,FLEXPLP!G:G,1,0)),"N","Y")</f>
        <v>N</v>
      </c>
      <c r="O224" s="52" t="str">
        <f>IF(ISERROR(VLOOKUP(A224,'ELN PLP'!G:G,1,0)),"N","Y")</f>
        <v>N</v>
      </c>
      <c r="P224" s="53">
        <f t="shared" si="13"/>
        <v>0</v>
      </c>
      <c r="R224" s="21">
        <f>IF(K224+F224&gt;0,1,0)</f>
        <v>0</v>
      </c>
      <c r="S224" s="24">
        <f>IF(ISERROR(VLOOKUP(A224,U:U,1,0)),0,1)</f>
        <v>0</v>
      </c>
      <c r="Z224" s="17" t="s">
        <v>1926</v>
      </c>
    </row>
    <row r="225" spans="1:26" x14ac:dyDescent="0.35">
      <c r="A225" s="6" t="s">
        <v>1856</v>
      </c>
      <c r="B225" s="5" t="str">
        <f>IF(ISERROR(VLOOKUP(A225,RDPLP!A225:A250,1,0)),"N","Y")</f>
        <v>N</v>
      </c>
      <c r="C225" s="5" t="str">
        <f>IF(ISERROR(VLOOKUP(A225,'SCINET-PLP'!A:A,1,0)),"N","Y")</f>
        <v>N</v>
      </c>
      <c r="D225" s="5" t="str">
        <f>IF(ISERROR(VLOOKUP(A225,FLEXPLP!A:A,1,0)),"N","Y")</f>
        <v>N</v>
      </c>
      <c r="E225" s="5" t="str">
        <f>IF(ISERROR(VLOOKUP(A225,'ELN PLP'!A:A,1,0)),"N","Y")</f>
        <v>N</v>
      </c>
      <c r="F225" s="26">
        <f t="shared" si="11"/>
        <v>0</v>
      </c>
      <c r="G225" s="8" t="str">
        <f>IF(ISERROR(VLOOKUP(A225,RDPLP!D:D,1,0)),"N","Y")</f>
        <v>N</v>
      </c>
      <c r="H225" s="8" t="str">
        <f>IF(ISERROR(VLOOKUP(A225,'SCINET-PLP'!D:D,1,0)),"N","Y")</f>
        <v>N</v>
      </c>
      <c r="I225" s="8" t="str">
        <f>IF(ISERROR(VLOOKUP(A225,FLEXPLP!D:D,1,0)),"N","Y")</f>
        <v>N</v>
      </c>
      <c r="J225" s="8" t="str">
        <f>IF(ISERROR(VLOOKUP(A225,'ELN PLP'!D:D,1,0)),"N","Y")</f>
        <v>N</v>
      </c>
      <c r="K225" s="29">
        <f t="shared" si="12"/>
        <v>0</v>
      </c>
      <c r="L225" s="52" t="str">
        <f>IF(ISERROR(VLOOKUP(A225,RDPLP!G:G,1,0)),"N","Y")</f>
        <v>N</v>
      </c>
      <c r="M225" s="52" t="str">
        <f>IF(ISERROR(VLOOKUP(A225,'SCINET-PLP'!G:G,1,0)),"N","Y")</f>
        <v>N</v>
      </c>
      <c r="N225" s="52" t="str">
        <f>IF(ISERROR(VLOOKUP(A225,FLEXPLP!G:G,1,0)),"N","Y")</f>
        <v>N</v>
      </c>
      <c r="O225" s="52" t="str">
        <f>IF(ISERROR(VLOOKUP(A225,'ELN PLP'!G:G,1,0)),"N","Y")</f>
        <v>N</v>
      </c>
      <c r="P225" s="53">
        <f t="shared" si="13"/>
        <v>0</v>
      </c>
      <c r="R225" s="21">
        <f>IF(K225+F225&gt;0,1,0)</f>
        <v>0</v>
      </c>
      <c r="S225" s="24">
        <f>IF(ISERROR(VLOOKUP(A225,U:U,1,0)),0,1)</f>
        <v>0</v>
      </c>
      <c r="Z225" s="17" t="s">
        <v>1928</v>
      </c>
    </row>
    <row r="226" spans="1:26" x14ac:dyDescent="0.35">
      <c r="A226" s="6" t="s">
        <v>1859</v>
      </c>
      <c r="B226" s="5" t="str">
        <f>IF(ISERROR(VLOOKUP(A226,RDPLP!A226:A251,1,0)),"N","Y")</f>
        <v>N</v>
      </c>
      <c r="C226" s="5" t="str">
        <f>IF(ISERROR(VLOOKUP(A226,'SCINET-PLP'!A:A,1,0)),"N","Y")</f>
        <v>N</v>
      </c>
      <c r="D226" s="5" t="str">
        <f>IF(ISERROR(VLOOKUP(A226,FLEXPLP!A:A,1,0)),"N","Y")</f>
        <v>N</v>
      </c>
      <c r="E226" s="5" t="str">
        <f>IF(ISERROR(VLOOKUP(A226,'ELN PLP'!A:A,1,0)),"N","Y")</f>
        <v>N</v>
      </c>
      <c r="F226" s="26">
        <f t="shared" si="11"/>
        <v>0</v>
      </c>
      <c r="G226" s="8" t="str">
        <f>IF(ISERROR(VLOOKUP(A226,RDPLP!D:D,1,0)),"N","Y")</f>
        <v>N</v>
      </c>
      <c r="H226" s="8" t="str">
        <f>IF(ISERROR(VLOOKUP(A226,'SCINET-PLP'!D:D,1,0)),"N","Y")</f>
        <v>N</v>
      </c>
      <c r="I226" s="8" t="str">
        <f>IF(ISERROR(VLOOKUP(A226,FLEXPLP!D:D,1,0)),"N","Y")</f>
        <v>N</v>
      </c>
      <c r="J226" s="8" t="str">
        <f>IF(ISERROR(VLOOKUP(A226,'ELN PLP'!D:D,1,0)),"N","Y")</f>
        <v>N</v>
      </c>
      <c r="K226" s="29">
        <f t="shared" si="12"/>
        <v>0</v>
      </c>
      <c r="L226" s="52" t="str">
        <f>IF(ISERROR(VLOOKUP(A226,RDPLP!G:G,1,0)),"N","Y")</f>
        <v>N</v>
      </c>
      <c r="M226" s="52" t="str">
        <f>IF(ISERROR(VLOOKUP(A226,'SCINET-PLP'!G:G,1,0)),"N","Y")</f>
        <v>N</v>
      </c>
      <c r="N226" s="52" t="str">
        <f>IF(ISERROR(VLOOKUP(A226,FLEXPLP!G:G,1,0)),"N","Y")</f>
        <v>N</v>
      </c>
      <c r="O226" s="52" t="str">
        <f>IF(ISERROR(VLOOKUP(A226,'ELN PLP'!G:G,1,0)),"N","Y")</f>
        <v>N</v>
      </c>
      <c r="P226" s="53">
        <f t="shared" si="13"/>
        <v>0</v>
      </c>
      <c r="R226" s="21">
        <f>IF(K226+F226&gt;0,1,0)</f>
        <v>0</v>
      </c>
      <c r="S226" s="24">
        <f>IF(ISERROR(VLOOKUP(A226,U:U,1,0)),0,1)</f>
        <v>0</v>
      </c>
      <c r="Z226" s="17" t="s">
        <v>148</v>
      </c>
    </row>
    <row r="227" spans="1:26" x14ac:dyDescent="0.35">
      <c r="A227" s="6" t="s">
        <v>1862</v>
      </c>
      <c r="B227" s="5" t="str">
        <f>IF(ISERROR(VLOOKUP(A227,RDPLP!A227:A252,1,0)),"N","Y")</f>
        <v>N</v>
      </c>
      <c r="C227" s="5" t="str">
        <f>IF(ISERROR(VLOOKUP(A227,'SCINET-PLP'!A:A,1,0)),"N","Y")</f>
        <v>N</v>
      </c>
      <c r="D227" s="5" t="str">
        <f>IF(ISERROR(VLOOKUP(A227,FLEXPLP!A:A,1,0)),"N","Y")</f>
        <v>N</v>
      </c>
      <c r="E227" s="5" t="str">
        <f>IF(ISERROR(VLOOKUP(A227,'ELN PLP'!A:A,1,0)),"N","Y")</f>
        <v>N</v>
      </c>
      <c r="F227" s="26">
        <f t="shared" si="11"/>
        <v>0</v>
      </c>
      <c r="G227" s="8" t="str">
        <f>IF(ISERROR(VLOOKUP(A227,RDPLP!D:D,1,0)),"N","Y")</f>
        <v>N</v>
      </c>
      <c r="H227" s="8" t="str">
        <f>IF(ISERROR(VLOOKUP(A227,'SCINET-PLP'!D:D,1,0)),"N","Y")</f>
        <v>N</v>
      </c>
      <c r="I227" s="8" t="str">
        <f>IF(ISERROR(VLOOKUP(A227,FLEXPLP!D:D,1,0)),"N","Y")</f>
        <v>N</v>
      </c>
      <c r="J227" s="8" t="str">
        <f>IF(ISERROR(VLOOKUP(A227,'ELN PLP'!D:D,1,0)),"N","Y")</f>
        <v>N</v>
      </c>
      <c r="K227" s="29">
        <f t="shared" si="12"/>
        <v>0</v>
      </c>
      <c r="L227" s="52" t="str">
        <f>IF(ISERROR(VLOOKUP(A227,RDPLP!G:G,1,0)),"N","Y")</f>
        <v>N</v>
      </c>
      <c r="M227" s="52" t="str">
        <f>IF(ISERROR(VLOOKUP(A227,'SCINET-PLP'!G:G,1,0)),"N","Y")</f>
        <v>N</v>
      </c>
      <c r="N227" s="52" t="str">
        <f>IF(ISERROR(VLOOKUP(A227,FLEXPLP!G:G,1,0)),"N","Y")</f>
        <v>N</v>
      </c>
      <c r="O227" s="52" t="str">
        <f>IF(ISERROR(VLOOKUP(A227,'ELN PLP'!G:G,1,0)),"N","Y")</f>
        <v>N</v>
      </c>
      <c r="P227" s="53">
        <f t="shared" si="13"/>
        <v>0</v>
      </c>
      <c r="R227" s="21">
        <f>IF(K227+F227&gt;0,1,0)</f>
        <v>0</v>
      </c>
      <c r="S227" s="24">
        <f>IF(ISERROR(VLOOKUP(A227,U:U,1,0)),0,1)</f>
        <v>0</v>
      </c>
      <c r="Z227" s="17" t="s">
        <v>1933</v>
      </c>
    </row>
    <row r="228" spans="1:26" x14ac:dyDescent="0.35">
      <c r="A228" s="6" t="s">
        <v>1870</v>
      </c>
      <c r="B228" s="5" t="str">
        <f>IF(ISERROR(VLOOKUP(A228,RDPLP!A228:A253,1,0)),"N","Y")</f>
        <v>N</v>
      </c>
      <c r="C228" s="5" t="str">
        <f>IF(ISERROR(VLOOKUP(A228,'SCINET-PLP'!A:A,1,0)),"N","Y")</f>
        <v>N</v>
      </c>
      <c r="D228" s="5" t="str">
        <f>IF(ISERROR(VLOOKUP(A228,FLEXPLP!A:A,1,0)),"N","Y")</f>
        <v>N</v>
      </c>
      <c r="E228" s="5" t="str">
        <f>IF(ISERROR(VLOOKUP(A228,'ELN PLP'!A:A,1,0)),"N","Y")</f>
        <v>N</v>
      </c>
      <c r="F228" s="26">
        <f t="shared" si="11"/>
        <v>0</v>
      </c>
      <c r="G228" s="8" t="str">
        <f>IF(ISERROR(VLOOKUP(A228,RDPLP!D:D,1,0)),"N","Y")</f>
        <v>N</v>
      </c>
      <c r="H228" s="8" t="str">
        <f>IF(ISERROR(VLOOKUP(A228,'SCINET-PLP'!D:D,1,0)),"N","Y")</f>
        <v>N</v>
      </c>
      <c r="I228" s="8" t="str">
        <f>IF(ISERROR(VLOOKUP(A228,FLEXPLP!D:D,1,0)),"N","Y")</f>
        <v>N</v>
      </c>
      <c r="J228" s="8" t="str">
        <f>IF(ISERROR(VLOOKUP(A228,'ELN PLP'!D:D,1,0)),"N","Y")</f>
        <v>N</v>
      </c>
      <c r="K228" s="29">
        <f t="shared" si="12"/>
        <v>0</v>
      </c>
      <c r="L228" s="52" t="str">
        <f>IF(ISERROR(VLOOKUP(A228,RDPLP!G:G,1,0)),"N","Y")</f>
        <v>N</v>
      </c>
      <c r="M228" s="52" t="str">
        <f>IF(ISERROR(VLOOKUP(A228,'SCINET-PLP'!G:G,1,0)),"N","Y")</f>
        <v>N</v>
      </c>
      <c r="N228" s="52" t="str">
        <f>IF(ISERROR(VLOOKUP(A228,FLEXPLP!G:G,1,0)),"N","Y")</f>
        <v>N</v>
      </c>
      <c r="O228" s="52" t="str">
        <f>IF(ISERROR(VLOOKUP(A228,'ELN PLP'!G:G,1,0)),"N","Y")</f>
        <v>N</v>
      </c>
      <c r="P228" s="53">
        <f t="shared" si="13"/>
        <v>0</v>
      </c>
      <c r="R228" s="21">
        <f>IF(K228+F228&gt;0,1,0)</f>
        <v>0</v>
      </c>
      <c r="S228" s="24">
        <f>IF(ISERROR(VLOOKUP(A228,U:U,1,0)),0,1)</f>
        <v>0</v>
      </c>
      <c r="Z228" s="17" t="s">
        <v>177</v>
      </c>
    </row>
    <row r="229" spans="1:26" x14ac:dyDescent="0.35">
      <c r="A229" s="6" t="s">
        <v>1872</v>
      </c>
      <c r="B229" s="5" t="str">
        <f>IF(ISERROR(VLOOKUP(A229,RDPLP!A229:A254,1,0)),"N","Y")</f>
        <v>N</v>
      </c>
      <c r="C229" s="5" t="str">
        <f>IF(ISERROR(VLOOKUP(A229,'SCINET-PLP'!A:A,1,0)),"N","Y")</f>
        <v>N</v>
      </c>
      <c r="D229" s="5" t="str">
        <f>IF(ISERROR(VLOOKUP(A229,FLEXPLP!A:A,1,0)),"N","Y")</f>
        <v>N</v>
      </c>
      <c r="E229" s="5" t="str">
        <f>IF(ISERROR(VLOOKUP(A229,'ELN PLP'!A:A,1,0)),"N","Y")</f>
        <v>N</v>
      </c>
      <c r="F229" s="26">
        <f t="shared" si="11"/>
        <v>0</v>
      </c>
      <c r="G229" s="8" t="str">
        <f>IF(ISERROR(VLOOKUP(A229,RDPLP!D:D,1,0)),"N","Y")</f>
        <v>N</v>
      </c>
      <c r="H229" s="8" t="str">
        <f>IF(ISERROR(VLOOKUP(A229,'SCINET-PLP'!D:D,1,0)),"N","Y")</f>
        <v>N</v>
      </c>
      <c r="I229" s="8" t="str">
        <f>IF(ISERROR(VLOOKUP(A229,FLEXPLP!D:D,1,0)),"N","Y")</f>
        <v>N</v>
      </c>
      <c r="J229" s="8" t="str">
        <f>IF(ISERROR(VLOOKUP(A229,'ELN PLP'!D:D,1,0)),"N","Y")</f>
        <v>N</v>
      </c>
      <c r="K229" s="29">
        <f t="shared" si="12"/>
        <v>0</v>
      </c>
      <c r="L229" s="52" t="str">
        <f>IF(ISERROR(VLOOKUP(A229,RDPLP!G:G,1,0)),"N","Y")</f>
        <v>N</v>
      </c>
      <c r="M229" s="52" t="str">
        <f>IF(ISERROR(VLOOKUP(A229,'SCINET-PLP'!G:G,1,0)),"N","Y")</f>
        <v>N</v>
      </c>
      <c r="N229" s="52" t="str">
        <f>IF(ISERROR(VLOOKUP(A229,FLEXPLP!G:G,1,0)),"N","Y")</f>
        <v>N</v>
      </c>
      <c r="O229" s="52" t="str">
        <f>IF(ISERROR(VLOOKUP(A229,'ELN PLP'!G:G,1,0)),"N","Y")</f>
        <v>N</v>
      </c>
      <c r="P229" s="53">
        <f t="shared" si="13"/>
        <v>0</v>
      </c>
      <c r="R229" s="21">
        <f>IF(K229+F229&gt;0,1,0)</f>
        <v>0</v>
      </c>
      <c r="S229" s="24">
        <f>IF(ISERROR(VLOOKUP(A229,U:U,1,0)),0,1)</f>
        <v>0</v>
      </c>
      <c r="Z229" s="17" t="s">
        <v>128</v>
      </c>
    </row>
    <row r="230" spans="1:26" x14ac:dyDescent="0.35">
      <c r="A230" s="6" t="s">
        <v>1877</v>
      </c>
      <c r="B230" s="5" t="str">
        <f>IF(ISERROR(VLOOKUP(A230,RDPLP!A230:A255,1,0)),"N","Y")</f>
        <v>N</v>
      </c>
      <c r="C230" s="5" t="str">
        <f>IF(ISERROR(VLOOKUP(A230,'SCINET-PLP'!A:A,1,0)),"N","Y")</f>
        <v>N</v>
      </c>
      <c r="D230" s="5" t="str">
        <f>IF(ISERROR(VLOOKUP(A230,FLEXPLP!A:A,1,0)),"N","Y")</f>
        <v>N</v>
      </c>
      <c r="E230" s="5" t="str">
        <f>IF(ISERROR(VLOOKUP(A230,'ELN PLP'!A:A,1,0)),"N","Y")</f>
        <v>N</v>
      </c>
      <c r="F230" s="26">
        <f t="shared" si="11"/>
        <v>0</v>
      </c>
      <c r="G230" s="8" t="str">
        <f>IF(ISERROR(VLOOKUP(A230,RDPLP!D:D,1,0)),"N","Y")</f>
        <v>N</v>
      </c>
      <c r="H230" s="8" t="str">
        <f>IF(ISERROR(VLOOKUP(A230,'SCINET-PLP'!D:D,1,0)),"N","Y")</f>
        <v>N</v>
      </c>
      <c r="I230" s="8" t="str">
        <f>IF(ISERROR(VLOOKUP(A230,FLEXPLP!D:D,1,0)),"N","Y")</f>
        <v>N</v>
      </c>
      <c r="J230" s="8" t="str">
        <f>IF(ISERROR(VLOOKUP(A230,'ELN PLP'!D:D,1,0)),"N","Y")</f>
        <v>N</v>
      </c>
      <c r="K230" s="29">
        <f t="shared" si="12"/>
        <v>0</v>
      </c>
      <c r="L230" s="52" t="str">
        <f>IF(ISERROR(VLOOKUP(A230,RDPLP!G:G,1,0)),"N","Y")</f>
        <v>N</v>
      </c>
      <c r="M230" s="52" t="str">
        <f>IF(ISERROR(VLOOKUP(A230,'SCINET-PLP'!G:G,1,0)),"N","Y")</f>
        <v>N</v>
      </c>
      <c r="N230" s="52" t="str">
        <f>IF(ISERROR(VLOOKUP(A230,FLEXPLP!G:G,1,0)),"N","Y")</f>
        <v>N</v>
      </c>
      <c r="O230" s="52" t="str">
        <f>IF(ISERROR(VLOOKUP(A230,'ELN PLP'!G:G,1,0)),"N","Y")</f>
        <v>N</v>
      </c>
      <c r="P230" s="53">
        <f t="shared" si="13"/>
        <v>0</v>
      </c>
      <c r="R230" s="21">
        <f>IF(K230+F230&gt;0,1,0)</f>
        <v>0</v>
      </c>
      <c r="S230" s="24">
        <f>IF(ISERROR(VLOOKUP(A230,U:U,1,0)),0,1)</f>
        <v>0</v>
      </c>
      <c r="Z230" s="17" t="s">
        <v>1941</v>
      </c>
    </row>
    <row r="231" spans="1:26" x14ac:dyDescent="0.35">
      <c r="A231" s="6" t="s">
        <v>1879</v>
      </c>
      <c r="B231" s="5" t="str">
        <f>IF(ISERROR(VLOOKUP(A231,RDPLP!A231:A256,1,0)),"N","Y")</f>
        <v>N</v>
      </c>
      <c r="C231" s="5" t="str">
        <f>IF(ISERROR(VLOOKUP(A231,'SCINET-PLP'!A:A,1,0)),"N","Y")</f>
        <v>N</v>
      </c>
      <c r="D231" s="5" t="str">
        <f>IF(ISERROR(VLOOKUP(A231,FLEXPLP!A:A,1,0)),"N","Y")</f>
        <v>N</v>
      </c>
      <c r="E231" s="5" t="str">
        <f>IF(ISERROR(VLOOKUP(A231,'ELN PLP'!A:A,1,0)),"N","Y")</f>
        <v>N</v>
      </c>
      <c r="F231" s="26">
        <f t="shared" si="11"/>
        <v>0</v>
      </c>
      <c r="G231" s="8" t="str">
        <f>IF(ISERROR(VLOOKUP(A231,RDPLP!D:D,1,0)),"N","Y")</f>
        <v>N</v>
      </c>
      <c r="H231" s="8" t="str">
        <f>IF(ISERROR(VLOOKUP(A231,'SCINET-PLP'!D:D,1,0)),"N","Y")</f>
        <v>N</v>
      </c>
      <c r="I231" s="8" t="str">
        <f>IF(ISERROR(VLOOKUP(A231,FLEXPLP!D:D,1,0)),"N","Y")</f>
        <v>N</v>
      </c>
      <c r="J231" s="8" t="str">
        <f>IF(ISERROR(VLOOKUP(A231,'ELN PLP'!D:D,1,0)),"N","Y")</f>
        <v>N</v>
      </c>
      <c r="K231" s="29">
        <f t="shared" si="12"/>
        <v>0</v>
      </c>
      <c r="L231" s="52" t="str">
        <f>IF(ISERROR(VLOOKUP(A231,RDPLP!G:G,1,0)),"N","Y")</f>
        <v>N</v>
      </c>
      <c r="M231" s="52" t="str">
        <f>IF(ISERROR(VLOOKUP(A231,'SCINET-PLP'!G:G,1,0)),"N","Y")</f>
        <v>N</v>
      </c>
      <c r="N231" s="52" t="str">
        <f>IF(ISERROR(VLOOKUP(A231,FLEXPLP!G:G,1,0)),"N","Y")</f>
        <v>N</v>
      </c>
      <c r="O231" s="52" t="str">
        <f>IF(ISERROR(VLOOKUP(A231,'ELN PLP'!G:G,1,0)),"N","Y")</f>
        <v>N</v>
      </c>
      <c r="P231" s="53">
        <f t="shared" si="13"/>
        <v>0</v>
      </c>
      <c r="R231" s="21">
        <f>IF(K231+F231&gt;0,1,0)</f>
        <v>0</v>
      </c>
      <c r="S231" s="24">
        <f>IF(ISERROR(VLOOKUP(A231,U:U,1,0)),0,1)</f>
        <v>0</v>
      </c>
      <c r="Z231" s="17" t="s">
        <v>1944</v>
      </c>
    </row>
    <row r="232" spans="1:26" x14ac:dyDescent="0.35">
      <c r="A232" s="6" t="s">
        <v>1883</v>
      </c>
      <c r="B232" s="5" t="str">
        <f>IF(ISERROR(VLOOKUP(A232,RDPLP!A232:A257,1,0)),"N","Y")</f>
        <v>N</v>
      </c>
      <c r="C232" s="5" t="str">
        <f>IF(ISERROR(VLOOKUP(A232,'SCINET-PLP'!A:A,1,0)),"N","Y")</f>
        <v>N</v>
      </c>
      <c r="D232" s="5" t="str">
        <f>IF(ISERROR(VLOOKUP(A232,FLEXPLP!A:A,1,0)),"N","Y")</f>
        <v>N</v>
      </c>
      <c r="E232" s="5" t="str">
        <f>IF(ISERROR(VLOOKUP(A232,'ELN PLP'!A:A,1,0)),"N","Y")</f>
        <v>N</v>
      </c>
      <c r="F232" s="26">
        <f t="shared" si="11"/>
        <v>0</v>
      </c>
      <c r="G232" s="8" t="str">
        <f>IF(ISERROR(VLOOKUP(A232,RDPLP!D:D,1,0)),"N","Y")</f>
        <v>N</v>
      </c>
      <c r="H232" s="8" t="str">
        <f>IF(ISERROR(VLOOKUP(A232,'SCINET-PLP'!D:D,1,0)),"N","Y")</f>
        <v>N</v>
      </c>
      <c r="I232" s="8" t="str">
        <f>IF(ISERROR(VLOOKUP(A232,FLEXPLP!D:D,1,0)),"N","Y")</f>
        <v>N</v>
      </c>
      <c r="J232" s="8" t="str">
        <f>IF(ISERROR(VLOOKUP(A232,'ELN PLP'!D:D,1,0)),"N","Y")</f>
        <v>N</v>
      </c>
      <c r="K232" s="29">
        <f t="shared" si="12"/>
        <v>0</v>
      </c>
      <c r="L232" s="52" t="str">
        <f>IF(ISERROR(VLOOKUP(A232,RDPLP!G:G,1,0)),"N","Y")</f>
        <v>N</v>
      </c>
      <c r="M232" s="52" t="str">
        <f>IF(ISERROR(VLOOKUP(A232,'SCINET-PLP'!G:G,1,0)),"N","Y")</f>
        <v>N</v>
      </c>
      <c r="N232" s="52" t="str">
        <f>IF(ISERROR(VLOOKUP(A232,FLEXPLP!G:G,1,0)),"N","Y")</f>
        <v>N</v>
      </c>
      <c r="O232" s="52" t="str">
        <f>IF(ISERROR(VLOOKUP(A232,'ELN PLP'!G:G,1,0)),"N","Y")</f>
        <v>N</v>
      </c>
      <c r="P232" s="53">
        <f t="shared" si="13"/>
        <v>0</v>
      </c>
      <c r="R232" s="21">
        <f>IF(K232+F232&gt;0,1,0)</f>
        <v>0</v>
      </c>
      <c r="S232" s="24">
        <f>IF(ISERROR(VLOOKUP(A232,U:U,1,0)),0,1)</f>
        <v>0</v>
      </c>
      <c r="Z232" s="17" t="s">
        <v>116</v>
      </c>
    </row>
    <row r="233" spans="1:26" x14ac:dyDescent="0.35">
      <c r="A233" s="6" t="s">
        <v>1890</v>
      </c>
      <c r="B233" s="5" t="str">
        <f>IF(ISERROR(VLOOKUP(A233,RDPLP!A233:A258,1,0)),"N","Y")</f>
        <v>N</v>
      </c>
      <c r="C233" s="5" t="str">
        <f>IF(ISERROR(VLOOKUP(A233,'SCINET-PLP'!A:A,1,0)),"N","Y")</f>
        <v>N</v>
      </c>
      <c r="D233" s="5" t="str">
        <f>IF(ISERROR(VLOOKUP(A233,FLEXPLP!A:A,1,0)),"N","Y")</f>
        <v>N</v>
      </c>
      <c r="E233" s="5" t="str">
        <f>IF(ISERROR(VLOOKUP(A233,'ELN PLP'!A:A,1,0)),"N","Y")</f>
        <v>N</v>
      </c>
      <c r="F233" s="26">
        <f t="shared" si="11"/>
        <v>0</v>
      </c>
      <c r="G233" s="8" t="str">
        <f>IF(ISERROR(VLOOKUP(A233,RDPLP!D:D,1,0)),"N","Y")</f>
        <v>N</v>
      </c>
      <c r="H233" s="8" t="str">
        <f>IF(ISERROR(VLOOKUP(A233,'SCINET-PLP'!D:D,1,0)),"N","Y")</f>
        <v>N</v>
      </c>
      <c r="I233" s="8" t="str">
        <f>IF(ISERROR(VLOOKUP(A233,FLEXPLP!D:D,1,0)),"N","Y")</f>
        <v>N</v>
      </c>
      <c r="J233" s="8" t="str">
        <f>IF(ISERROR(VLOOKUP(A233,'ELN PLP'!D:D,1,0)),"N","Y")</f>
        <v>N</v>
      </c>
      <c r="K233" s="29">
        <f t="shared" si="12"/>
        <v>0</v>
      </c>
      <c r="L233" s="52" t="str">
        <f>IF(ISERROR(VLOOKUP(A233,RDPLP!G:G,1,0)),"N","Y")</f>
        <v>N</v>
      </c>
      <c r="M233" s="52" t="str">
        <f>IF(ISERROR(VLOOKUP(A233,'SCINET-PLP'!G:G,1,0)),"N","Y")</f>
        <v>N</v>
      </c>
      <c r="N233" s="52" t="str">
        <f>IF(ISERROR(VLOOKUP(A233,FLEXPLP!G:G,1,0)),"N","Y")</f>
        <v>N</v>
      </c>
      <c r="O233" s="52" t="str">
        <f>IF(ISERROR(VLOOKUP(A233,'ELN PLP'!G:G,1,0)),"N","Y")</f>
        <v>N</v>
      </c>
      <c r="P233" s="53">
        <f t="shared" si="13"/>
        <v>0</v>
      </c>
      <c r="R233" s="21">
        <f>IF(K233+F233&gt;0,1,0)</f>
        <v>0</v>
      </c>
      <c r="S233" s="24">
        <f>IF(ISERROR(VLOOKUP(A233,U:U,1,0)),0,1)</f>
        <v>0</v>
      </c>
      <c r="Z233" s="17" t="s">
        <v>1949</v>
      </c>
    </row>
    <row r="234" spans="1:26" x14ac:dyDescent="0.35">
      <c r="A234" s="6" t="s">
        <v>1892</v>
      </c>
      <c r="B234" s="5" t="str">
        <f>IF(ISERROR(VLOOKUP(A234,RDPLP!A234:A259,1,0)),"N","Y")</f>
        <v>N</v>
      </c>
      <c r="C234" s="5" t="str">
        <f>IF(ISERROR(VLOOKUP(A234,'SCINET-PLP'!A:A,1,0)),"N","Y")</f>
        <v>N</v>
      </c>
      <c r="D234" s="5" t="str">
        <f>IF(ISERROR(VLOOKUP(A234,FLEXPLP!A:A,1,0)),"N","Y")</f>
        <v>N</v>
      </c>
      <c r="E234" s="5" t="str">
        <f>IF(ISERROR(VLOOKUP(A234,'ELN PLP'!A:A,1,0)),"N","Y")</f>
        <v>N</v>
      </c>
      <c r="F234" s="26">
        <f t="shared" si="11"/>
        <v>0</v>
      </c>
      <c r="G234" s="8" t="str">
        <f>IF(ISERROR(VLOOKUP(A234,RDPLP!D:D,1,0)),"N","Y")</f>
        <v>N</v>
      </c>
      <c r="H234" s="8" t="str">
        <f>IF(ISERROR(VLOOKUP(A234,'SCINET-PLP'!D:D,1,0)),"N","Y")</f>
        <v>N</v>
      </c>
      <c r="I234" s="8" t="str">
        <f>IF(ISERROR(VLOOKUP(A234,FLEXPLP!D:D,1,0)),"N","Y")</f>
        <v>N</v>
      </c>
      <c r="J234" s="8" t="str">
        <f>IF(ISERROR(VLOOKUP(A234,'ELN PLP'!D:D,1,0)),"N","Y")</f>
        <v>N</v>
      </c>
      <c r="K234" s="29">
        <f t="shared" si="12"/>
        <v>0</v>
      </c>
      <c r="L234" s="52" t="str">
        <f>IF(ISERROR(VLOOKUP(A234,RDPLP!G:G,1,0)),"N","Y")</f>
        <v>N</v>
      </c>
      <c r="M234" s="52" t="str">
        <f>IF(ISERROR(VLOOKUP(A234,'SCINET-PLP'!G:G,1,0)),"N","Y")</f>
        <v>N</v>
      </c>
      <c r="N234" s="52" t="str">
        <f>IF(ISERROR(VLOOKUP(A234,FLEXPLP!G:G,1,0)),"N","Y")</f>
        <v>N</v>
      </c>
      <c r="O234" s="52" t="str">
        <f>IF(ISERROR(VLOOKUP(A234,'ELN PLP'!G:G,1,0)),"N","Y")</f>
        <v>N</v>
      </c>
      <c r="P234" s="53">
        <f t="shared" si="13"/>
        <v>0</v>
      </c>
      <c r="R234" s="21">
        <f>IF(K234+F234&gt;0,1,0)</f>
        <v>0</v>
      </c>
      <c r="S234" s="24">
        <f>IF(ISERROR(VLOOKUP(A234,U:U,1,0)),0,1)</f>
        <v>0</v>
      </c>
      <c r="Z234" s="17" t="s">
        <v>1953</v>
      </c>
    </row>
    <row r="235" spans="1:26" x14ac:dyDescent="0.35">
      <c r="A235" s="6" t="s">
        <v>1895</v>
      </c>
      <c r="B235" s="5" t="str">
        <f>IF(ISERROR(VLOOKUP(A235,RDPLP!A235:A260,1,0)),"N","Y")</f>
        <v>N</v>
      </c>
      <c r="C235" s="5" t="str">
        <f>IF(ISERROR(VLOOKUP(A235,'SCINET-PLP'!A:A,1,0)),"N","Y")</f>
        <v>N</v>
      </c>
      <c r="D235" s="5" t="str">
        <f>IF(ISERROR(VLOOKUP(A235,FLEXPLP!A:A,1,0)),"N","Y")</f>
        <v>N</v>
      </c>
      <c r="E235" s="5" t="str">
        <f>IF(ISERROR(VLOOKUP(A235,'ELN PLP'!A:A,1,0)),"N","Y")</f>
        <v>N</v>
      </c>
      <c r="F235" s="26">
        <f t="shared" si="11"/>
        <v>0</v>
      </c>
      <c r="G235" s="8" t="str">
        <f>IF(ISERROR(VLOOKUP(A235,RDPLP!D:D,1,0)),"N","Y")</f>
        <v>N</v>
      </c>
      <c r="H235" s="8" t="str">
        <f>IF(ISERROR(VLOOKUP(A235,'SCINET-PLP'!D:D,1,0)),"N","Y")</f>
        <v>N</v>
      </c>
      <c r="I235" s="8" t="str">
        <f>IF(ISERROR(VLOOKUP(A235,FLEXPLP!D:D,1,0)),"N","Y")</f>
        <v>N</v>
      </c>
      <c r="J235" s="8" t="str">
        <f>IF(ISERROR(VLOOKUP(A235,'ELN PLP'!D:D,1,0)),"N","Y")</f>
        <v>N</v>
      </c>
      <c r="K235" s="29">
        <f t="shared" si="12"/>
        <v>0</v>
      </c>
      <c r="L235" s="52" t="str">
        <f>IF(ISERROR(VLOOKUP(A235,RDPLP!G:G,1,0)),"N","Y")</f>
        <v>N</v>
      </c>
      <c r="M235" s="52" t="str">
        <f>IF(ISERROR(VLOOKUP(A235,'SCINET-PLP'!G:G,1,0)),"N","Y")</f>
        <v>N</v>
      </c>
      <c r="N235" s="52" t="str">
        <f>IF(ISERROR(VLOOKUP(A235,FLEXPLP!G:G,1,0)),"N","Y")</f>
        <v>N</v>
      </c>
      <c r="O235" s="52" t="str">
        <f>IF(ISERROR(VLOOKUP(A235,'ELN PLP'!G:G,1,0)),"N","Y")</f>
        <v>N</v>
      </c>
      <c r="P235" s="53">
        <f t="shared" si="13"/>
        <v>0</v>
      </c>
      <c r="R235" s="21">
        <f>IF(K235+F235&gt;0,1,0)</f>
        <v>0</v>
      </c>
      <c r="S235" s="24">
        <f>IF(ISERROR(VLOOKUP(A235,U:U,1,0)),0,1)</f>
        <v>0</v>
      </c>
      <c r="Z235" s="17" t="s">
        <v>180</v>
      </c>
    </row>
    <row r="236" spans="1:26" x14ac:dyDescent="0.35">
      <c r="A236" s="6" t="s">
        <v>1904</v>
      </c>
      <c r="B236" s="5" t="str">
        <f>IF(ISERROR(VLOOKUP(A236,RDPLP!A236:A261,1,0)),"N","Y")</f>
        <v>N</v>
      </c>
      <c r="C236" s="5" t="str">
        <f>IF(ISERROR(VLOOKUP(A236,'SCINET-PLP'!A:A,1,0)),"N","Y")</f>
        <v>N</v>
      </c>
      <c r="D236" s="5" t="str">
        <f>IF(ISERROR(VLOOKUP(A236,FLEXPLP!A:A,1,0)),"N","Y")</f>
        <v>N</v>
      </c>
      <c r="E236" s="5" t="str">
        <f>IF(ISERROR(VLOOKUP(A236,'ELN PLP'!A:A,1,0)),"N","Y")</f>
        <v>N</v>
      </c>
      <c r="F236" s="26">
        <f t="shared" si="11"/>
        <v>0</v>
      </c>
      <c r="G236" s="8" t="str">
        <f>IF(ISERROR(VLOOKUP(A236,RDPLP!D:D,1,0)),"N","Y")</f>
        <v>N</v>
      </c>
      <c r="H236" s="8" t="str">
        <f>IF(ISERROR(VLOOKUP(A236,'SCINET-PLP'!D:D,1,0)),"N","Y")</f>
        <v>N</v>
      </c>
      <c r="I236" s="8" t="str">
        <f>IF(ISERROR(VLOOKUP(A236,FLEXPLP!D:D,1,0)),"N","Y")</f>
        <v>N</v>
      </c>
      <c r="J236" s="8" t="str">
        <f>IF(ISERROR(VLOOKUP(A236,'ELN PLP'!D:D,1,0)),"N","Y")</f>
        <v>N</v>
      </c>
      <c r="K236" s="29">
        <f t="shared" si="12"/>
        <v>0</v>
      </c>
      <c r="L236" s="52" t="str">
        <f>IF(ISERROR(VLOOKUP(A236,RDPLP!G:G,1,0)),"N","Y")</f>
        <v>N</v>
      </c>
      <c r="M236" s="52" t="str">
        <f>IF(ISERROR(VLOOKUP(A236,'SCINET-PLP'!G:G,1,0)),"N","Y")</f>
        <v>N</v>
      </c>
      <c r="N236" s="52" t="str">
        <f>IF(ISERROR(VLOOKUP(A236,FLEXPLP!G:G,1,0)),"N","Y")</f>
        <v>N</v>
      </c>
      <c r="O236" s="52" t="str">
        <f>IF(ISERROR(VLOOKUP(A236,'ELN PLP'!G:G,1,0)),"N","Y")</f>
        <v>N</v>
      </c>
      <c r="P236" s="53">
        <f t="shared" si="13"/>
        <v>0</v>
      </c>
      <c r="R236" s="21">
        <f>IF(K236+F236&gt;0,1,0)</f>
        <v>0</v>
      </c>
      <c r="S236" s="24">
        <f>IF(ISERROR(VLOOKUP(A236,U:U,1,0)),0,1)</f>
        <v>0</v>
      </c>
      <c r="Z236" s="17" t="s">
        <v>1959</v>
      </c>
    </row>
    <row r="237" spans="1:26" x14ac:dyDescent="0.35">
      <c r="A237" s="6" t="s">
        <v>1908</v>
      </c>
      <c r="B237" s="5" t="str">
        <f>IF(ISERROR(VLOOKUP(A237,RDPLP!A237:A262,1,0)),"N","Y")</f>
        <v>N</v>
      </c>
      <c r="C237" s="5" t="str">
        <f>IF(ISERROR(VLOOKUP(A237,'SCINET-PLP'!A:A,1,0)),"N","Y")</f>
        <v>N</v>
      </c>
      <c r="D237" s="5" t="str">
        <f>IF(ISERROR(VLOOKUP(A237,FLEXPLP!A:A,1,0)),"N","Y")</f>
        <v>N</v>
      </c>
      <c r="E237" s="5" t="str">
        <f>IF(ISERROR(VLOOKUP(A237,'ELN PLP'!A:A,1,0)),"N","Y")</f>
        <v>N</v>
      </c>
      <c r="F237" s="26">
        <f t="shared" si="11"/>
        <v>0</v>
      </c>
      <c r="G237" s="8" t="str">
        <f>IF(ISERROR(VLOOKUP(A237,RDPLP!D:D,1,0)),"N","Y")</f>
        <v>N</v>
      </c>
      <c r="H237" s="8" t="str">
        <f>IF(ISERROR(VLOOKUP(A237,'SCINET-PLP'!D:D,1,0)),"N","Y")</f>
        <v>N</v>
      </c>
      <c r="I237" s="8" t="str">
        <f>IF(ISERROR(VLOOKUP(A237,FLEXPLP!D:D,1,0)),"N","Y")</f>
        <v>N</v>
      </c>
      <c r="J237" s="8" t="str">
        <f>IF(ISERROR(VLOOKUP(A237,'ELN PLP'!D:D,1,0)),"N","Y")</f>
        <v>N</v>
      </c>
      <c r="K237" s="29">
        <f t="shared" si="12"/>
        <v>0</v>
      </c>
      <c r="L237" s="52" t="str">
        <f>IF(ISERROR(VLOOKUP(A237,RDPLP!G:G,1,0)),"N","Y")</f>
        <v>N</v>
      </c>
      <c r="M237" s="52" t="str">
        <f>IF(ISERROR(VLOOKUP(A237,'SCINET-PLP'!G:G,1,0)),"N","Y")</f>
        <v>N</v>
      </c>
      <c r="N237" s="52" t="str">
        <f>IF(ISERROR(VLOOKUP(A237,FLEXPLP!G:G,1,0)),"N","Y")</f>
        <v>N</v>
      </c>
      <c r="O237" s="52" t="str">
        <f>IF(ISERROR(VLOOKUP(A237,'ELN PLP'!G:G,1,0)),"N","Y")</f>
        <v>N</v>
      </c>
      <c r="P237" s="53">
        <f t="shared" si="13"/>
        <v>0</v>
      </c>
      <c r="R237" s="21">
        <f>IF(K237+F237&gt;0,1,0)</f>
        <v>0</v>
      </c>
      <c r="S237" s="24">
        <f>IF(ISERROR(VLOOKUP(A237,U:U,1,0)),0,1)</f>
        <v>0</v>
      </c>
      <c r="Z237" s="17" t="s">
        <v>1961</v>
      </c>
    </row>
    <row r="238" spans="1:26" x14ac:dyDescent="0.35">
      <c r="A238" s="6" t="s">
        <v>1911</v>
      </c>
      <c r="B238" s="5" t="str">
        <f>IF(ISERROR(VLOOKUP(A238,RDPLP!A238:A263,1,0)),"N","Y")</f>
        <v>N</v>
      </c>
      <c r="C238" s="5" t="str">
        <f>IF(ISERROR(VLOOKUP(A238,'SCINET-PLP'!A:A,1,0)),"N","Y")</f>
        <v>N</v>
      </c>
      <c r="D238" s="5" t="str">
        <f>IF(ISERROR(VLOOKUP(A238,FLEXPLP!A:A,1,0)),"N","Y")</f>
        <v>N</v>
      </c>
      <c r="E238" s="5" t="str">
        <f>IF(ISERROR(VLOOKUP(A238,'ELN PLP'!A:A,1,0)),"N","Y")</f>
        <v>N</v>
      </c>
      <c r="F238" s="26">
        <f t="shared" si="11"/>
        <v>0</v>
      </c>
      <c r="G238" s="8" t="str">
        <f>IF(ISERROR(VLOOKUP(A238,RDPLP!D:D,1,0)),"N","Y")</f>
        <v>N</v>
      </c>
      <c r="H238" s="8" t="str">
        <f>IF(ISERROR(VLOOKUP(A238,'SCINET-PLP'!D:D,1,0)),"N","Y")</f>
        <v>N</v>
      </c>
      <c r="I238" s="8" t="str">
        <f>IF(ISERROR(VLOOKUP(A238,FLEXPLP!D:D,1,0)),"N","Y")</f>
        <v>N</v>
      </c>
      <c r="J238" s="8" t="str">
        <f>IF(ISERROR(VLOOKUP(A238,'ELN PLP'!D:D,1,0)),"N","Y")</f>
        <v>N</v>
      </c>
      <c r="K238" s="29">
        <f t="shared" si="12"/>
        <v>0</v>
      </c>
      <c r="L238" s="52" t="str">
        <f>IF(ISERROR(VLOOKUP(A238,RDPLP!G:G,1,0)),"N","Y")</f>
        <v>N</v>
      </c>
      <c r="M238" s="52" t="str">
        <f>IF(ISERROR(VLOOKUP(A238,'SCINET-PLP'!G:G,1,0)),"N","Y")</f>
        <v>N</v>
      </c>
      <c r="N238" s="52" t="str">
        <f>IF(ISERROR(VLOOKUP(A238,FLEXPLP!G:G,1,0)),"N","Y")</f>
        <v>N</v>
      </c>
      <c r="O238" s="52" t="str">
        <f>IF(ISERROR(VLOOKUP(A238,'ELN PLP'!G:G,1,0)),"N","Y")</f>
        <v>N</v>
      </c>
      <c r="P238" s="53">
        <f t="shared" si="13"/>
        <v>0</v>
      </c>
      <c r="R238" s="21">
        <f>IF(K238+F238&gt;0,1,0)</f>
        <v>0</v>
      </c>
      <c r="S238" s="24">
        <f>IF(ISERROR(VLOOKUP(A238,U:U,1,0)),0,1)</f>
        <v>0</v>
      </c>
      <c r="Z238" s="17" t="s">
        <v>164</v>
      </c>
    </row>
    <row r="239" spans="1:26" x14ac:dyDescent="0.35">
      <c r="A239" s="6" t="s">
        <v>1914</v>
      </c>
      <c r="B239" s="5" t="str">
        <f>IF(ISERROR(VLOOKUP(A239,RDPLP!A239:A264,1,0)),"N","Y")</f>
        <v>N</v>
      </c>
      <c r="C239" s="5" t="str">
        <f>IF(ISERROR(VLOOKUP(A239,'SCINET-PLP'!A:A,1,0)),"N","Y")</f>
        <v>N</v>
      </c>
      <c r="D239" s="5" t="str">
        <f>IF(ISERROR(VLOOKUP(A239,FLEXPLP!A:A,1,0)),"N","Y")</f>
        <v>N</v>
      </c>
      <c r="E239" s="5" t="str">
        <f>IF(ISERROR(VLOOKUP(A239,'ELN PLP'!A:A,1,0)),"N","Y")</f>
        <v>N</v>
      </c>
      <c r="F239" s="26">
        <f t="shared" si="11"/>
        <v>0</v>
      </c>
      <c r="G239" s="8" t="str">
        <f>IF(ISERROR(VLOOKUP(A239,RDPLP!D:D,1,0)),"N","Y")</f>
        <v>N</v>
      </c>
      <c r="H239" s="8" t="str">
        <f>IF(ISERROR(VLOOKUP(A239,'SCINET-PLP'!D:D,1,0)),"N","Y")</f>
        <v>N</v>
      </c>
      <c r="I239" s="8" t="str">
        <f>IF(ISERROR(VLOOKUP(A239,FLEXPLP!D:D,1,0)),"N","Y")</f>
        <v>N</v>
      </c>
      <c r="J239" s="8" t="str">
        <f>IF(ISERROR(VLOOKUP(A239,'ELN PLP'!D:D,1,0)),"N","Y")</f>
        <v>N</v>
      </c>
      <c r="K239" s="29">
        <f t="shared" si="12"/>
        <v>0</v>
      </c>
      <c r="L239" s="52" t="str">
        <f>IF(ISERROR(VLOOKUP(A239,RDPLP!G:G,1,0)),"N","Y")</f>
        <v>N</v>
      </c>
      <c r="M239" s="52" t="str">
        <f>IF(ISERROR(VLOOKUP(A239,'SCINET-PLP'!G:G,1,0)),"N","Y")</f>
        <v>N</v>
      </c>
      <c r="N239" s="52" t="str">
        <f>IF(ISERROR(VLOOKUP(A239,FLEXPLP!G:G,1,0)),"N","Y")</f>
        <v>N</v>
      </c>
      <c r="O239" s="52" t="str">
        <f>IF(ISERROR(VLOOKUP(A239,'ELN PLP'!G:G,1,0)),"N","Y")</f>
        <v>N</v>
      </c>
      <c r="P239" s="53">
        <f t="shared" si="13"/>
        <v>0</v>
      </c>
      <c r="R239" s="21">
        <f>IF(K239+F239&gt;0,1,0)</f>
        <v>0</v>
      </c>
      <c r="S239" s="24">
        <f>IF(ISERROR(VLOOKUP(A239,U:U,1,0)),0,1)</f>
        <v>0</v>
      </c>
      <c r="Z239" s="17" t="s">
        <v>150</v>
      </c>
    </row>
    <row r="240" spans="1:26" x14ac:dyDescent="0.35">
      <c r="A240" s="6" t="s">
        <v>1917</v>
      </c>
      <c r="B240" s="5" t="str">
        <f>IF(ISERROR(VLOOKUP(A240,RDPLP!A240:A265,1,0)),"N","Y")</f>
        <v>N</v>
      </c>
      <c r="C240" s="5" t="str">
        <f>IF(ISERROR(VLOOKUP(A240,'SCINET-PLP'!A:A,1,0)),"N","Y")</f>
        <v>N</v>
      </c>
      <c r="D240" s="5" t="str">
        <f>IF(ISERROR(VLOOKUP(A240,FLEXPLP!A:A,1,0)),"N","Y")</f>
        <v>N</v>
      </c>
      <c r="E240" s="5" t="str">
        <f>IF(ISERROR(VLOOKUP(A240,'ELN PLP'!A:A,1,0)),"N","Y")</f>
        <v>N</v>
      </c>
      <c r="F240" s="26">
        <f t="shared" si="11"/>
        <v>0</v>
      </c>
      <c r="G240" s="8" t="str">
        <f>IF(ISERROR(VLOOKUP(A240,RDPLP!D:D,1,0)),"N","Y")</f>
        <v>N</v>
      </c>
      <c r="H240" s="8" t="str">
        <f>IF(ISERROR(VLOOKUP(A240,'SCINET-PLP'!D:D,1,0)),"N","Y")</f>
        <v>N</v>
      </c>
      <c r="I240" s="8" t="str">
        <f>IF(ISERROR(VLOOKUP(A240,FLEXPLP!D:D,1,0)),"N","Y")</f>
        <v>N</v>
      </c>
      <c r="J240" s="8" t="str">
        <f>IF(ISERROR(VLOOKUP(A240,'ELN PLP'!D:D,1,0)),"N","Y")</f>
        <v>N</v>
      </c>
      <c r="K240" s="29">
        <f t="shared" si="12"/>
        <v>0</v>
      </c>
      <c r="L240" s="52" t="str">
        <f>IF(ISERROR(VLOOKUP(A240,RDPLP!G:G,1,0)),"N","Y")</f>
        <v>N</v>
      </c>
      <c r="M240" s="52" t="str">
        <f>IF(ISERROR(VLOOKUP(A240,'SCINET-PLP'!G:G,1,0)),"N","Y")</f>
        <v>N</v>
      </c>
      <c r="N240" s="52" t="str">
        <f>IF(ISERROR(VLOOKUP(A240,FLEXPLP!G:G,1,0)),"N","Y")</f>
        <v>N</v>
      </c>
      <c r="O240" s="52" t="str">
        <f>IF(ISERROR(VLOOKUP(A240,'ELN PLP'!G:G,1,0)),"N","Y")</f>
        <v>N</v>
      </c>
      <c r="P240" s="53">
        <f t="shared" si="13"/>
        <v>0</v>
      </c>
      <c r="R240" s="21">
        <f>IF(K240+F240&gt;0,1,0)</f>
        <v>0</v>
      </c>
      <c r="S240" s="24">
        <f>IF(ISERROR(VLOOKUP(A240,U:U,1,0)),0,1)</f>
        <v>0</v>
      </c>
      <c r="Z240" s="17" t="s">
        <v>1970</v>
      </c>
    </row>
    <row r="241" spans="1:26" x14ac:dyDescent="0.35">
      <c r="A241" s="6" t="s">
        <v>1920</v>
      </c>
      <c r="B241" s="5" t="str">
        <f>IF(ISERROR(VLOOKUP(A241,RDPLP!A241:A266,1,0)),"N","Y")</f>
        <v>N</v>
      </c>
      <c r="C241" s="5" t="str">
        <f>IF(ISERROR(VLOOKUP(A241,'SCINET-PLP'!A:A,1,0)),"N","Y")</f>
        <v>N</v>
      </c>
      <c r="D241" s="5" t="str">
        <f>IF(ISERROR(VLOOKUP(A241,FLEXPLP!A:A,1,0)),"N","Y")</f>
        <v>N</v>
      </c>
      <c r="E241" s="5" t="str">
        <f>IF(ISERROR(VLOOKUP(A241,'ELN PLP'!A:A,1,0)),"N","Y")</f>
        <v>N</v>
      </c>
      <c r="F241" s="26">
        <f t="shared" si="11"/>
        <v>0</v>
      </c>
      <c r="G241" s="8" t="str">
        <f>IF(ISERROR(VLOOKUP(A241,RDPLP!D:D,1,0)),"N","Y")</f>
        <v>N</v>
      </c>
      <c r="H241" s="8" t="str">
        <f>IF(ISERROR(VLOOKUP(A241,'SCINET-PLP'!D:D,1,0)),"N","Y")</f>
        <v>N</v>
      </c>
      <c r="I241" s="8" t="str">
        <f>IF(ISERROR(VLOOKUP(A241,FLEXPLP!D:D,1,0)),"N","Y")</f>
        <v>N</v>
      </c>
      <c r="J241" s="8" t="str">
        <f>IF(ISERROR(VLOOKUP(A241,'ELN PLP'!D:D,1,0)),"N","Y")</f>
        <v>N</v>
      </c>
      <c r="K241" s="29">
        <f t="shared" si="12"/>
        <v>0</v>
      </c>
      <c r="L241" s="52" t="str">
        <f>IF(ISERROR(VLOOKUP(A241,RDPLP!G:G,1,0)),"N","Y")</f>
        <v>N</v>
      </c>
      <c r="M241" s="52" t="str">
        <f>IF(ISERROR(VLOOKUP(A241,'SCINET-PLP'!G:G,1,0)),"N","Y")</f>
        <v>N</v>
      </c>
      <c r="N241" s="52" t="str">
        <f>IF(ISERROR(VLOOKUP(A241,FLEXPLP!G:G,1,0)),"N","Y")</f>
        <v>N</v>
      </c>
      <c r="O241" s="52" t="str">
        <f>IF(ISERROR(VLOOKUP(A241,'ELN PLP'!G:G,1,0)),"N","Y")</f>
        <v>N</v>
      </c>
      <c r="P241" s="53">
        <f t="shared" si="13"/>
        <v>0</v>
      </c>
      <c r="R241" s="21">
        <f>IF(K241+F241&gt;0,1,0)</f>
        <v>0</v>
      </c>
      <c r="S241" s="24">
        <f>IF(ISERROR(VLOOKUP(A241,U:U,1,0)),0,1)</f>
        <v>0</v>
      </c>
      <c r="Z241" s="17" t="s">
        <v>1973</v>
      </c>
    </row>
    <row r="242" spans="1:26" x14ac:dyDescent="0.35">
      <c r="A242" s="6" t="s">
        <v>1924</v>
      </c>
      <c r="B242" s="5" t="str">
        <f>IF(ISERROR(VLOOKUP(A242,RDPLP!A242:A267,1,0)),"N","Y")</f>
        <v>N</v>
      </c>
      <c r="C242" s="5" t="str">
        <f>IF(ISERROR(VLOOKUP(A242,'SCINET-PLP'!A:A,1,0)),"N","Y")</f>
        <v>N</v>
      </c>
      <c r="D242" s="5" t="str">
        <f>IF(ISERROR(VLOOKUP(A242,FLEXPLP!A:A,1,0)),"N","Y")</f>
        <v>N</v>
      </c>
      <c r="E242" s="5" t="str">
        <f>IF(ISERROR(VLOOKUP(A242,'ELN PLP'!A:A,1,0)),"N","Y")</f>
        <v>N</v>
      </c>
      <c r="F242" s="26">
        <f t="shared" si="11"/>
        <v>0</v>
      </c>
      <c r="G242" s="8" t="str">
        <f>IF(ISERROR(VLOOKUP(A242,RDPLP!D:D,1,0)),"N","Y")</f>
        <v>N</v>
      </c>
      <c r="H242" s="8" t="str">
        <f>IF(ISERROR(VLOOKUP(A242,'SCINET-PLP'!D:D,1,0)),"N","Y")</f>
        <v>N</v>
      </c>
      <c r="I242" s="8" t="str">
        <f>IF(ISERROR(VLOOKUP(A242,FLEXPLP!D:D,1,0)),"N","Y")</f>
        <v>N</v>
      </c>
      <c r="J242" s="8" t="str">
        <f>IF(ISERROR(VLOOKUP(A242,'ELN PLP'!D:D,1,0)),"N","Y")</f>
        <v>N</v>
      </c>
      <c r="K242" s="29">
        <f t="shared" si="12"/>
        <v>0</v>
      </c>
      <c r="L242" s="52" t="str">
        <f>IF(ISERROR(VLOOKUP(A242,RDPLP!G:G,1,0)),"N","Y")</f>
        <v>N</v>
      </c>
      <c r="M242" s="52" t="str">
        <f>IF(ISERROR(VLOOKUP(A242,'SCINET-PLP'!G:G,1,0)),"N","Y")</f>
        <v>N</v>
      </c>
      <c r="N242" s="52" t="str">
        <f>IF(ISERROR(VLOOKUP(A242,FLEXPLP!G:G,1,0)),"N","Y")</f>
        <v>N</v>
      </c>
      <c r="O242" s="52" t="str">
        <f>IF(ISERROR(VLOOKUP(A242,'ELN PLP'!G:G,1,0)),"N","Y")</f>
        <v>N</v>
      </c>
      <c r="P242" s="53">
        <f t="shared" si="13"/>
        <v>0</v>
      </c>
      <c r="R242" s="21">
        <f>IF(K242+F242&gt;0,1,0)</f>
        <v>0</v>
      </c>
      <c r="S242" s="24">
        <f>IF(ISERROR(VLOOKUP(A242,U:U,1,0)),0,1)</f>
        <v>0</v>
      </c>
      <c r="Z242" s="17" t="s">
        <v>103</v>
      </c>
    </row>
    <row r="243" spans="1:26" x14ac:dyDescent="0.35">
      <c r="A243" s="6" t="s">
        <v>1930</v>
      </c>
      <c r="B243" s="5" t="str">
        <f>IF(ISERROR(VLOOKUP(A243,RDPLP!A243:A268,1,0)),"N","Y")</f>
        <v>N</v>
      </c>
      <c r="C243" s="5" t="str">
        <f>IF(ISERROR(VLOOKUP(A243,'SCINET-PLP'!A:A,1,0)),"N","Y")</f>
        <v>N</v>
      </c>
      <c r="D243" s="5" t="str">
        <f>IF(ISERROR(VLOOKUP(A243,FLEXPLP!A:A,1,0)),"N","Y")</f>
        <v>N</v>
      </c>
      <c r="E243" s="5" t="str">
        <f>IF(ISERROR(VLOOKUP(A243,'ELN PLP'!A:A,1,0)),"N","Y")</f>
        <v>N</v>
      </c>
      <c r="F243" s="26">
        <f t="shared" si="11"/>
        <v>0</v>
      </c>
      <c r="G243" s="8" t="str">
        <f>IF(ISERROR(VLOOKUP(A243,RDPLP!D:D,1,0)),"N","Y")</f>
        <v>N</v>
      </c>
      <c r="H243" s="8" t="str">
        <f>IF(ISERROR(VLOOKUP(A243,'SCINET-PLP'!D:D,1,0)),"N","Y")</f>
        <v>N</v>
      </c>
      <c r="I243" s="8" t="str">
        <f>IF(ISERROR(VLOOKUP(A243,FLEXPLP!D:D,1,0)),"N","Y")</f>
        <v>N</v>
      </c>
      <c r="J243" s="8" t="str">
        <f>IF(ISERROR(VLOOKUP(A243,'ELN PLP'!D:D,1,0)),"N","Y")</f>
        <v>N</v>
      </c>
      <c r="K243" s="29">
        <f t="shared" si="12"/>
        <v>0</v>
      </c>
      <c r="L243" s="52" t="str">
        <f>IF(ISERROR(VLOOKUP(A243,RDPLP!G:G,1,0)),"N","Y")</f>
        <v>N</v>
      </c>
      <c r="M243" s="52" t="str">
        <f>IF(ISERROR(VLOOKUP(A243,'SCINET-PLP'!G:G,1,0)),"N","Y")</f>
        <v>Y</v>
      </c>
      <c r="N243" s="52" t="str">
        <f>IF(ISERROR(VLOOKUP(A243,FLEXPLP!G:G,1,0)),"N","Y")</f>
        <v>N</v>
      </c>
      <c r="O243" s="52" t="str">
        <f>IF(ISERROR(VLOOKUP(A243,'ELN PLP'!G:G,1,0)),"N","Y")</f>
        <v>N</v>
      </c>
      <c r="P243" s="53">
        <f t="shared" si="13"/>
        <v>1</v>
      </c>
      <c r="R243" s="21">
        <f>IF(K243+F243&gt;0,1,0)</f>
        <v>0</v>
      </c>
      <c r="S243" s="24">
        <f>IF(ISERROR(VLOOKUP(A243,U:U,1,0)),0,1)</f>
        <v>0</v>
      </c>
      <c r="Z243" s="17" t="s">
        <v>106</v>
      </c>
    </row>
    <row r="244" spans="1:26" x14ac:dyDescent="0.35">
      <c r="A244" s="6" t="s">
        <v>1936</v>
      </c>
      <c r="B244" s="5" t="str">
        <f>IF(ISERROR(VLOOKUP(A244,RDPLP!A244:A269,1,0)),"N","Y")</f>
        <v>N</v>
      </c>
      <c r="C244" s="5" t="str">
        <f>IF(ISERROR(VLOOKUP(A244,'SCINET-PLP'!A:A,1,0)),"N","Y")</f>
        <v>N</v>
      </c>
      <c r="D244" s="5" t="str">
        <f>IF(ISERROR(VLOOKUP(A244,FLEXPLP!A:A,1,0)),"N","Y")</f>
        <v>N</v>
      </c>
      <c r="E244" s="5" t="str">
        <f>IF(ISERROR(VLOOKUP(A244,'ELN PLP'!A:A,1,0)),"N","Y")</f>
        <v>N</v>
      </c>
      <c r="F244" s="26">
        <f t="shared" si="11"/>
        <v>0</v>
      </c>
      <c r="G244" s="8" t="str">
        <f>IF(ISERROR(VLOOKUP(A244,RDPLP!D:D,1,0)),"N","Y")</f>
        <v>N</v>
      </c>
      <c r="H244" s="8" t="str">
        <f>IF(ISERROR(VLOOKUP(A244,'SCINET-PLP'!D:D,1,0)),"N","Y")</f>
        <v>N</v>
      </c>
      <c r="I244" s="8" t="str">
        <f>IF(ISERROR(VLOOKUP(A244,FLEXPLP!D:D,1,0)),"N","Y")</f>
        <v>N</v>
      </c>
      <c r="J244" s="8" t="str">
        <f>IF(ISERROR(VLOOKUP(A244,'ELN PLP'!D:D,1,0)),"N","Y")</f>
        <v>N</v>
      </c>
      <c r="K244" s="29">
        <f t="shared" si="12"/>
        <v>0</v>
      </c>
      <c r="L244" s="52" t="str">
        <f>IF(ISERROR(VLOOKUP(A244,RDPLP!G:G,1,0)),"N","Y")</f>
        <v>N</v>
      </c>
      <c r="M244" s="52" t="str">
        <f>IF(ISERROR(VLOOKUP(A244,'SCINET-PLP'!G:G,1,0)),"N","Y")</f>
        <v>N</v>
      </c>
      <c r="N244" s="52" t="str">
        <f>IF(ISERROR(VLOOKUP(A244,FLEXPLP!G:G,1,0)),"N","Y")</f>
        <v>N</v>
      </c>
      <c r="O244" s="52" t="str">
        <f>IF(ISERROR(VLOOKUP(A244,'ELN PLP'!G:G,1,0)),"N","Y")</f>
        <v>N</v>
      </c>
      <c r="P244" s="53">
        <f t="shared" si="13"/>
        <v>0</v>
      </c>
      <c r="R244" s="21">
        <f>IF(K244+F244&gt;0,1,0)</f>
        <v>0</v>
      </c>
      <c r="S244" s="24">
        <f>IF(ISERROR(VLOOKUP(A244,U:U,1,0)),0,1)</f>
        <v>0</v>
      </c>
      <c r="Z244" s="17" t="s">
        <v>1981</v>
      </c>
    </row>
    <row r="245" spans="1:26" x14ac:dyDescent="0.35">
      <c r="A245" s="6" t="s">
        <v>1939</v>
      </c>
      <c r="B245" s="5" t="str">
        <f>IF(ISERROR(VLOOKUP(A245,RDPLP!A245:A270,1,0)),"N","Y")</f>
        <v>N</v>
      </c>
      <c r="C245" s="5" t="str">
        <f>IF(ISERROR(VLOOKUP(A245,'SCINET-PLP'!A:A,1,0)),"N","Y")</f>
        <v>N</v>
      </c>
      <c r="D245" s="5" t="str">
        <f>IF(ISERROR(VLOOKUP(A245,FLEXPLP!A:A,1,0)),"N","Y")</f>
        <v>N</v>
      </c>
      <c r="E245" s="5" t="str">
        <f>IF(ISERROR(VLOOKUP(A245,'ELN PLP'!A:A,1,0)),"N","Y")</f>
        <v>N</v>
      </c>
      <c r="F245" s="26">
        <f t="shared" si="11"/>
        <v>0</v>
      </c>
      <c r="G245" s="8" t="str">
        <f>IF(ISERROR(VLOOKUP(A245,RDPLP!D:D,1,0)),"N","Y")</f>
        <v>N</v>
      </c>
      <c r="H245" s="8" t="str">
        <f>IF(ISERROR(VLOOKUP(A245,'SCINET-PLP'!D:D,1,0)),"N","Y")</f>
        <v>N</v>
      </c>
      <c r="I245" s="8" t="str">
        <f>IF(ISERROR(VLOOKUP(A245,FLEXPLP!D:D,1,0)),"N","Y")</f>
        <v>N</v>
      </c>
      <c r="J245" s="8" t="str">
        <f>IF(ISERROR(VLOOKUP(A245,'ELN PLP'!D:D,1,0)),"N","Y")</f>
        <v>N</v>
      </c>
      <c r="K245" s="29">
        <f t="shared" si="12"/>
        <v>0</v>
      </c>
      <c r="L245" s="52" t="str">
        <f>IF(ISERROR(VLOOKUP(A245,RDPLP!G:G,1,0)),"N","Y")</f>
        <v>N</v>
      </c>
      <c r="M245" s="52" t="str">
        <f>IF(ISERROR(VLOOKUP(A245,'SCINET-PLP'!G:G,1,0)),"N","Y")</f>
        <v>N</v>
      </c>
      <c r="N245" s="52" t="str">
        <f>IF(ISERROR(VLOOKUP(A245,FLEXPLP!G:G,1,0)),"N","Y")</f>
        <v>N</v>
      </c>
      <c r="O245" s="52" t="str">
        <f>IF(ISERROR(VLOOKUP(A245,'ELN PLP'!G:G,1,0)),"N","Y")</f>
        <v>N</v>
      </c>
      <c r="P245" s="53">
        <f t="shared" si="13"/>
        <v>0</v>
      </c>
      <c r="R245" s="21">
        <f>IF(K245+F245&gt;0,1,0)</f>
        <v>0</v>
      </c>
      <c r="S245" s="24">
        <f>IF(ISERROR(VLOOKUP(A245,U:U,1,0)),0,1)</f>
        <v>0</v>
      </c>
      <c r="Z245" s="17" t="s">
        <v>1984</v>
      </c>
    </row>
    <row r="246" spans="1:26" x14ac:dyDescent="0.35">
      <c r="A246" s="6" t="s">
        <v>1942</v>
      </c>
      <c r="B246" s="5" t="str">
        <f>IF(ISERROR(VLOOKUP(A246,RDPLP!A246:A271,1,0)),"N","Y")</f>
        <v>N</v>
      </c>
      <c r="C246" s="5" t="str">
        <f>IF(ISERROR(VLOOKUP(A246,'SCINET-PLP'!A:A,1,0)),"N","Y")</f>
        <v>N</v>
      </c>
      <c r="D246" s="5" t="str">
        <f>IF(ISERROR(VLOOKUP(A246,FLEXPLP!A:A,1,0)),"N","Y")</f>
        <v>N</v>
      </c>
      <c r="E246" s="5" t="str">
        <f>IF(ISERROR(VLOOKUP(A246,'ELN PLP'!A:A,1,0)),"N","Y")</f>
        <v>N</v>
      </c>
      <c r="F246" s="26">
        <f t="shared" si="11"/>
        <v>0</v>
      </c>
      <c r="G246" s="8" t="str">
        <f>IF(ISERROR(VLOOKUP(A246,RDPLP!D:D,1,0)),"N","Y")</f>
        <v>N</v>
      </c>
      <c r="H246" s="8" t="str">
        <f>IF(ISERROR(VLOOKUP(A246,'SCINET-PLP'!D:D,1,0)),"N","Y")</f>
        <v>N</v>
      </c>
      <c r="I246" s="8" t="str">
        <f>IF(ISERROR(VLOOKUP(A246,FLEXPLP!D:D,1,0)),"N","Y")</f>
        <v>N</v>
      </c>
      <c r="J246" s="8" t="str">
        <f>IF(ISERROR(VLOOKUP(A246,'ELN PLP'!D:D,1,0)),"N","Y")</f>
        <v>N</v>
      </c>
      <c r="K246" s="29">
        <f t="shared" si="12"/>
        <v>0</v>
      </c>
      <c r="L246" s="52" t="str">
        <f>IF(ISERROR(VLOOKUP(A246,RDPLP!G:G,1,0)),"N","Y")</f>
        <v>N</v>
      </c>
      <c r="M246" s="52" t="str">
        <f>IF(ISERROR(VLOOKUP(A246,'SCINET-PLP'!G:G,1,0)),"N","Y")</f>
        <v>N</v>
      </c>
      <c r="N246" s="52" t="str">
        <f>IF(ISERROR(VLOOKUP(A246,FLEXPLP!G:G,1,0)),"N","Y")</f>
        <v>N</v>
      </c>
      <c r="O246" s="52" t="str">
        <f>IF(ISERROR(VLOOKUP(A246,'ELN PLP'!G:G,1,0)),"N","Y")</f>
        <v>N</v>
      </c>
      <c r="P246" s="53">
        <f t="shared" si="13"/>
        <v>0</v>
      </c>
      <c r="R246" s="21">
        <f>IF(K246+F246&gt;0,1,0)</f>
        <v>0</v>
      </c>
      <c r="S246" s="24">
        <f>IF(ISERROR(VLOOKUP(A246,U:U,1,0)),0,1)</f>
        <v>0</v>
      </c>
      <c r="Z246" s="17" t="s">
        <v>107</v>
      </c>
    </row>
    <row r="247" spans="1:26" x14ac:dyDescent="0.35">
      <c r="A247" s="6" t="s">
        <v>1946</v>
      </c>
      <c r="B247" s="5" t="str">
        <f>IF(ISERROR(VLOOKUP(A247,RDPLP!A247:A272,1,0)),"N","Y")</f>
        <v>N</v>
      </c>
      <c r="C247" s="5" t="str">
        <f>IF(ISERROR(VLOOKUP(A247,'SCINET-PLP'!A:A,1,0)),"N","Y")</f>
        <v>N</v>
      </c>
      <c r="D247" s="5" t="str">
        <f>IF(ISERROR(VLOOKUP(A247,FLEXPLP!A:A,1,0)),"N","Y")</f>
        <v>N</v>
      </c>
      <c r="E247" s="5" t="str">
        <f>IF(ISERROR(VLOOKUP(A247,'ELN PLP'!A:A,1,0)),"N","Y")</f>
        <v>N</v>
      </c>
      <c r="F247" s="26">
        <f t="shared" si="11"/>
        <v>0</v>
      </c>
      <c r="G247" s="8" t="str">
        <f>IF(ISERROR(VLOOKUP(A247,RDPLP!D:D,1,0)),"N","Y")</f>
        <v>N</v>
      </c>
      <c r="H247" s="8" t="str">
        <f>IF(ISERROR(VLOOKUP(A247,'SCINET-PLP'!D:D,1,0)),"N","Y")</f>
        <v>N</v>
      </c>
      <c r="I247" s="8" t="str">
        <f>IF(ISERROR(VLOOKUP(A247,FLEXPLP!D:D,1,0)),"N","Y")</f>
        <v>N</v>
      </c>
      <c r="J247" s="8" t="str">
        <f>IF(ISERROR(VLOOKUP(A247,'ELN PLP'!D:D,1,0)),"N","Y")</f>
        <v>N</v>
      </c>
      <c r="K247" s="29">
        <f t="shared" si="12"/>
        <v>0</v>
      </c>
      <c r="L247" s="52" t="str">
        <f>IF(ISERROR(VLOOKUP(A247,RDPLP!G:G,1,0)),"N","Y")</f>
        <v>N</v>
      </c>
      <c r="M247" s="52" t="str">
        <f>IF(ISERROR(VLOOKUP(A247,'SCINET-PLP'!G:G,1,0)),"N","Y")</f>
        <v>N</v>
      </c>
      <c r="N247" s="52" t="str">
        <f>IF(ISERROR(VLOOKUP(A247,FLEXPLP!G:G,1,0)),"N","Y")</f>
        <v>N</v>
      </c>
      <c r="O247" s="52" t="str">
        <f>IF(ISERROR(VLOOKUP(A247,'ELN PLP'!G:G,1,0)),"N","Y")</f>
        <v>N</v>
      </c>
      <c r="P247" s="53">
        <f t="shared" si="13"/>
        <v>0</v>
      </c>
      <c r="R247" s="21">
        <f>IF(K247+F247&gt;0,1,0)</f>
        <v>0</v>
      </c>
      <c r="S247" s="24">
        <f>IF(ISERROR(VLOOKUP(A247,U:U,1,0)),0,1)</f>
        <v>0</v>
      </c>
      <c r="Z247" s="17" t="s">
        <v>1988</v>
      </c>
    </row>
    <row r="248" spans="1:26" x14ac:dyDescent="0.35">
      <c r="A248" s="6" t="s">
        <v>1951</v>
      </c>
      <c r="B248" s="5" t="str">
        <f>IF(ISERROR(VLOOKUP(A248,RDPLP!A248:A273,1,0)),"N","Y")</f>
        <v>N</v>
      </c>
      <c r="C248" s="5" t="str">
        <f>IF(ISERROR(VLOOKUP(A248,'SCINET-PLP'!A:A,1,0)),"N","Y")</f>
        <v>N</v>
      </c>
      <c r="D248" s="5" t="str">
        <f>IF(ISERROR(VLOOKUP(A248,FLEXPLP!A:A,1,0)),"N","Y")</f>
        <v>N</v>
      </c>
      <c r="E248" s="5" t="str">
        <f>IF(ISERROR(VLOOKUP(A248,'ELN PLP'!A:A,1,0)),"N","Y")</f>
        <v>N</v>
      </c>
      <c r="F248" s="26">
        <f t="shared" si="11"/>
        <v>0</v>
      </c>
      <c r="G248" s="8" t="str">
        <f>IF(ISERROR(VLOOKUP(A248,RDPLP!D:D,1,0)),"N","Y")</f>
        <v>N</v>
      </c>
      <c r="H248" s="8" t="str">
        <f>IF(ISERROR(VLOOKUP(A248,'SCINET-PLP'!D:D,1,0)),"N","Y")</f>
        <v>N</v>
      </c>
      <c r="I248" s="8" t="str">
        <f>IF(ISERROR(VLOOKUP(A248,FLEXPLP!D:D,1,0)),"N","Y")</f>
        <v>N</v>
      </c>
      <c r="J248" s="8" t="str">
        <f>IF(ISERROR(VLOOKUP(A248,'ELN PLP'!D:D,1,0)),"N","Y")</f>
        <v>N</v>
      </c>
      <c r="K248" s="29">
        <f t="shared" si="12"/>
        <v>0</v>
      </c>
      <c r="L248" s="52" t="str">
        <f>IF(ISERROR(VLOOKUP(A248,RDPLP!G:G,1,0)),"N","Y")</f>
        <v>N</v>
      </c>
      <c r="M248" s="52" t="str">
        <f>IF(ISERROR(VLOOKUP(A248,'SCINET-PLP'!G:G,1,0)),"N","Y")</f>
        <v>N</v>
      </c>
      <c r="N248" s="52" t="str">
        <f>IF(ISERROR(VLOOKUP(A248,FLEXPLP!G:G,1,0)),"N","Y")</f>
        <v>N</v>
      </c>
      <c r="O248" s="52" t="str">
        <f>IF(ISERROR(VLOOKUP(A248,'ELN PLP'!G:G,1,0)),"N","Y")</f>
        <v>N</v>
      </c>
      <c r="P248" s="53">
        <f t="shared" si="13"/>
        <v>0</v>
      </c>
      <c r="R248" s="21">
        <f>IF(K248+F248&gt;0,1,0)</f>
        <v>0</v>
      </c>
      <c r="S248" s="24">
        <f>IF(ISERROR(VLOOKUP(A248,U:U,1,0)),0,1)</f>
        <v>0</v>
      </c>
      <c r="Z248" s="17" t="s">
        <v>88</v>
      </c>
    </row>
    <row r="249" spans="1:26" x14ac:dyDescent="0.35">
      <c r="A249" s="6" t="s">
        <v>1955</v>
      </c>
      <c r="B249" s="5" t="str">
        <f>IF(ISERROR(VLOOKUP(A249,RDPLP!A249:A274,1,0)),"N","Y")</f>
        <v>N</v>
      </c>
      <c r="C249" s="5" t="str">
        <f>IF(ISERROR(VLOOKUP(A249,'SCINET-PLP'!A:A,1,0)),"N","Y")</f>
        <v>N</v>
      </c>
      <c r="D249" s="5" t="str">
        <f>IF(ISERROR(VLOOKUP(A249,FLEXPLP!A:A,1,0)),"N","Y")</f>
        <v>N</v>
      </c>
      <c r="E249" s="5" t="str">
        <f>IF(ISERROR(VLOOKUP(A249,'ELN PLP'!A:A,1,0)),"N","Y")</f>
        <v>N</v>
      </c>
      <c r="F249" s="26">
        <f t="shared" si="11"/>
        <v>0</v>
      </c>
      <c r="G249" s="8" t="str">
        <f>IF(ISERROR(VLOOKUP(A249,RDPLP!D:D,1,0)),"N","Y")</f>
        <v>N</v>
      </c>
      <c r="H249" s="8" t="str">
        <f>IF(ISERROR(VLOOKUP(A249,'SCINET-PLP'!D:D,1,0)),"N","Y")</f>
        <v>N</v>
      </c>
      <c r="I249" s="8" t="str">
        <f>IF(ISERROR(VLOOKUP(A249,FLEXPLP!D:D,1,0)),"N","Y")</f>
        <v>N</v>
      </c>
      <c r="J249" s="8" t="str">
        <f>IF(ISERROR(VLOOKUP(A249,'ELN PLP'!D:D,1,0)),"N","Y")</f>
        <v>N</v>
      </c>
      <c r="K249" s="29">
        <f t="shared" si="12"/>
        <v>0</v>
      </c>
      <c r="L249" s="52" t="str">
        <f>IF(ISERROR(VLOOKUP(A249,RDPLP!G:G,1,0)),"N","Y")</f>
        <v>N</v>
      </c>
      <c r="M249" s="52" t="str">
        <f>IF(ISERROR(VLOOKUP(A249,'SCINET-PLP'!G:G,1,0)),"N","Y")</f>
        <v>N</v>
      </c>
      <c r="N249" s="52" t="str">
        <f>IF(ISERROR(VLOOKUP(A249,FLEXPLP!G:G,1,0)),"N","Y")</f>
        <v>N</v>
      </c>
      <c r="O249" s="52" t="str">
        <f>IF(ISERROR(VLOOKUP(A249,'ELN PLP'!G:G,1,0)),"N","Y")</f>
        <v>N</v>
      </c>
      <c r="P249" s="53">
        <f t="shared" si="13"/>
        <v>0</v>
      </c>
      <c r="R249" s="21">
        <f>IF(K249+F249&gt;0,1,0)</f>
        <v>0</v>
      </c>
      <c r="S249" s="24">
        <f>IF(ISERROR(VLOOKUP(A249,U:U,1,0)),0,1)</f>
        <v>0</v>
      </c>
      <c r="Z249" s="17" t="s">
        <v>1991</v>
      </c>
    </row>
    <row r="250" spans="1:26" x14ac:dyDescent="0.35">
      <c r="A250" s="6" t="s">
        <v>1965</v>
      </c>
      <c r="B250" s="5" t="str">
        <f>IF(ISERROR(VLOOKUP(A250,RDPLP!A250:A275,1,0)),"N","Y")</f>
        <v>N</v>
      </c>
      <c r="C250" s="5" t="str">
        <f>IF(ISERROR(VLOOKUP(A250,'SCINET-PLP'!A:A,1,0)),"N","Y")</f>
        <v>N</v>
      </c>
      <c r="D250" s="5" t="str">
        <f>IF(ISERROR(VLOOKUP(A250,FLEXPLP!A:A,1,0)),"N","Y")</f>
        <v>N</v>
      </c>
      <c r="E250" s="5" t="str">
        <f>IF(ISERROR(VLOOKUP(A250,'ELN PLP'!A:A,1,0)),"N","Y")</f>
        <v>N</v>
      </c>
      <c r="F250" s="26">
        <f t="shared" si="11"/>
        <v>0</v>
      </c>
      <c r="G250" s="8" t="str">
        <f>IF(ISERROR(VLOOKUP(A250,RDPLP!D:D,1,0)),"N","Y")</f>
        <v>N</v>
      </c>
      <c r="H250" s="8" t="str">
        <f>IF(ISERROR(VLOOKUP(A250,'SCINET-PLP'!D:D,1,0)),"N","Y")</f>
        <v>N</v>
      </c>
      <c r="I250" s="8" t="str">
        <f>IF(ISERROR(VLOOKUP(A250,FLEXPLP!D:D,1,0)),"N","Y")</f>
        <v>N</v>
      </c>
      <c r="J250" s="8" t="str">
        <f>IF(ISERROR(VLOOKUP(A250,'ELN PLP'!D:D,1,0)),"N","Y")</f>
        <v>N</v>
      </c>
      <c r="K250" s="29">
        <f t="shared" si="12"/>
        <v>0</v>
      </c>
      <c r="L250" s="52" t="str">
        <f>IF(ISERROR(VLOOKUP(A250,RDPLP!G:G,1,0)),"N","Y")</f>
        <v>N</v>
      </c>
      <c r="M250" s="52" t="str">
        <f>IF(ISERROR(VLOOKUP(A250,'SCINET-PLP'!G:G,1,0)),"N","Y")</f>
        <v>Y</v>
      </c>
      <c r="N250" s="52" t="str">
        <f>IF(ISERROR(VLOOKUP(A250,FLEXPLP!G:G,1,0)),"N","Y")</f>
        <v>N</v>
      </c>
      <c r="O250" s="52" t="str">
        <f>IF(ISERROR(VLOOKUP(A250,'ELN PLP'!G:G,1,0)),"N","Y")</f>
        <v>N</v>
      </c>
      <c r="P250" s="53">
        <f t="shared" si="13"/>
        <v>1</v>
      </c>
      <c r="R250" s="21">
        <f>IF(K250+F250&gt;0,1,0)</f>
        <v>0</v>
      </c>
      <c r="S250" s="24">
        <f>IF(ISERROR(VLOOKUP(A250,U:U,1,0)),0,1)</f>
        <v>0</v>
      </c>
      <c r="Z250" s="17" t="s">
        <v>111</v>
      </c>
    </row>
    <row r="251" spans="1:26" x14ac:dyDescent="0.35">
      <c r="A251" s="6" t="s">
        <v>1968</v>
      </c>
      <c r="B251" s="5" t="str">
        <f>IF(ISERROR(VLOOKUP(A251,RDPLP!A251:A276,1,0)),"N","Y")</f>
        <v>N</v>
      </c>
      <c r="C251" s="5" t="str">
        <f>IF(ISERROR(VLOOKUP(A251,'SCINET-PLP'!A:A,1,0)),"N","Y")</f>
        <v>N</v>
      </c>
      <c r="D251" s="5" t="str">
        <f>IF(ISERROR(VLOOKUP(A251,FLEXPLP!A:A,1,0)),"N","Y")</f>
        <v>N</v>
      </c>
      <c r="E251" s="5" t="str">
        <f>IF(ISERROR(VLOOKUP(A251,'ELN PLP'!A:A,1,0)),"N","Y")</f>
        <v>N</v>
      </c>
      <c r="F251" s="26">
        <f t="shared" si="11"/>
        <v>0</v>
      </c>
      <c r="G251" s="8" t="str">
        <f>IF(ISERROR(VLOOKUP(A251,RDPLP!D:D,1,0)),"N","Y")</f>
        <v>N</v>
      </c>
      <c r="H251" s="8" t="str">
        <f>IF(ISERROR(VLOOKUP(A251,'SCINET-PLP'!D:D,1,0)),"N","Y")</f>
        <v>N</v>
      </c>
      <c r="I251" s="8" t="str">
        <f>IF(ISERROR(VLOOKUP(A251,FLEXPLP!D:D,1,0)),"N","Y")</f>
        <v>N</v>
      </c>
      <c r="J251" s="8" t="str">
        <f>IF(ISERROR(VLOOKUP(A251,'ELN PLP'!D:D,1,0)),"N","Y")</f>
        <v>N</v>
      </c>
      <c r="K251" s="29">
        <f t="shared" si="12"/>
        <v>0</v>
      </c>
      <c r="L251" s="52" t="str">
        <f>IF(ISERROR(VLOOKUP(A251,RDPLP!G:G,1,0)),"N","Y")</f>
        <v>N</v>
      </c>
      <c r="M251" s="52" t="str">
        <f>IF(ISERROR(VLOOKUP(A251,'SCINET-PLP'!G:G,1,0)),"N","Y")</f>
        <v>N</v>
      </c>
      <c r="N251" s="52" t="str">
        <f>IF(ISERROR(VLOOKUP(A251,FLEXPLP!G:G,1,0)),"N","Y")</f>
        <v>N</v>
      </c>
      <c r="O251" s="52" t="str">
        <f>IF(ISERROR(VLOOKUP(A251,'ELN PLP'!G:G,1,0)),"N","Y")</f>
        <v>N</v>
      </c>
      <c r="P251" s="53">
        <f t="shared" si="13"/>
        <v>0</v>
      </c>
      <c r="R251" s="21">
        <f>IF(K251+F251&gt;0,1,0)</f>
        <v>0</v>
      </c>
      <c r="S251" s="24">
        <f>IF(ISERROR(VLOOKUP(A251,U:U,1,0)),0,1)</f>
        <v>0</v>
      </c>
      <c r="Z251" s="17" t="s">
        <v>130</v>
      </c>
    </row>
    <row r="252" spans="1:26" x14ac:dyDescent="0.35">
      <c r="A252" s="6" t="s">
        <v>1971</v>
      </c>
      <c r="B252" s="5" t="str">
        <f>IF(ISERROR(VLOOKUP(A252,RDPLP!A252:A277,1,0)),"N","Y")</f>
        <v>N</v>
      </c>
      <c r="C252" s="5" t="str">
        <f>IF(ISERROR(VLOOKUP(A252,'SCINET-PLP'!A:A,1,0)),"N","Y")</f>
        <v>N</v>
      </c>
      <c r="D252" s="5" t="str">
        <f>IF(ISERROR(VLOOKUP(A252,FLEXPLP!A:A,1,0)),"N","Y")</f>
        <v>N</v>
      </c>
      <c r="E252" s="5" t="str">
        <f>IF(ISERROR(VLOOKUP(A252,'ELN PLP'!A:A,1,0)),"N","Y")</f>
        <v>N</v>
      </c>
      <c r="F252" s="26">
        <f t="shared" si="11"/>
        <v>0</v>
      </c>
      <c r="G252" s="8" t="str">
        <f>IF(ISERROR(VLOOKUP(A252,RDPLP!D:D,1,0)),"N","Y")</f>
        <v>N</v>
      </c>
      <c r="H252" s="8" t="str">
        <f>IF(ISERROR(VLOOKUP(A252,'SCINET-PLP'!D:D,1,0)),"N","Y")</f>
        <v>N</v>
      </c>
      <c r="I252" s="8" t="str">
        <f>IF(ISERROR(VLOOKUP(A252,FLEXPLP!D:D,1,0)),"N","Y")</f>
        <v>N</v>
      </c>
      <c r="J252" s="8" t="str">
        <f>IF(ISERROR(VLOOKUP(A252,'ELN PLP'!D:D,1,0)),"N","Y")</f>
        <v>N</v>
      </c>
      <c r="K252" s="29">
        <f t="shared" si="12"/>
        <v>0</v>
      </c>
      <c r="L252" s="52" t="str">
        <f>IF(ISERROR(VLOOKUP(A252,RDPLP!G:G,1,0)),"N","Y")</f>
        <v>N</v>
      </c>
      <c r="M252" s="52" t="str">
        <f>IF(ISERROR(VLOOKUP(A252,'SCINET-PLP'!G:G,1,0)),"N","Y")</f>
        <v>N</v>
      </c>
      <c r="N252" s="52" t="str">
        <f>IF(ISERROR(VLOOKUP(A252,FLEXPLP!G:G,1,0)),"N","Y")</f>
        <v>N</v>
      </c>
      <c r="O252" s="52" t="str">
        <f>IF(ISERROR(VLOOKUP(A252,'ELN PLP'!G:G,1,0)),"N","Y")</f>
        <v>N</v>
      </c>
      <c r="P252" s="53">
        <f t="shared" si="13"/>
        <v>0</v>
      </c>
      <c r="R252" s="21">
        <f>IF(K252+F252&gt;0,1,0)</f>
        <v>0</v>
      </c>
      <c r="S252" s="24">
        <f>IF(ISERROR(VLOOKUP(A252,U:U,1,0)),0,1)</f>
        <v>0</v>
      </c>
      <c r="Z252" s="17" t="s">
        <v>86</v>
      </c>
    </row>
    <row r="253" spans="1:26" x14ac:dyDescent="0.35">
      <c r="A253" s="6" t="s">
        <v>1979</v>
      </c>
      <c r="B253" s="5" t="str">
        <f>IF(ISERROR(VLOOKUP(A253,RDPLP!A253:A278,1,0)),"N","Y")</f>
        <v>N</v>
      </c>
      <c r="C253" s="5" t="str">
        <f>IF(ISERROR(VLOOKUP(A253,'SCINET-PLP'!A:A,1,0)),"N","Y")</f>
        <v>N</v>
      </c>
      <c r="D253" s="5" t="str">
        <f>IF(ISERROR(VLOOKUP(A253,FLEXPLP!A:A,1,0)),"N","Y")</f>
        <v>N</v>
      </c>
      <c r="E253" s="5" t="str">
        <f>IF(ISERROR(VLOOKUP(A253,'ELN PLP'!A:A,1,0)),"N","Y")</f>
        <v>N</v>
      </c>
      <c r="F253" s="26">
        <f t="shared" ref="F253:F316" si="14">IF(COUNTIF(B253:E253,"Y")&gt;0,1,0)</f>
        <v>0</v>
      </c>
      <c r="G253" s="8" t="str">
        <f>IF(ISERROR(VLOOKUP(A253,RDPLP!D:D,1,0)),"N","Y")</f>
        <v>N</v>
      </c>
      <c r="H253" s="8" t="str">
        <f>IF(ISERROR(VLOOKUP(A253,'SCINET-PLP'!D:D,1,0)),"N","Y")</f>
        <v>N</v>
      </c>
      <c r="I253" s="8" t="str">
        <f>IF(ISERROR(VLOOKUP(A253,FLEXPLP!D:D,1,0)),"N","Y")</f>
        <v>N</v>
      </c>
      <c r="J253" s="8" t="str">
        <f>IF(ISERROR(VLOOKUP(A253,'ELN PLP'!D:D,1,0)),"N","Y")</f>
        <v>N</v>
      </c>
      <c r="K253" s="29">
        <f t="shared" ref="K253:K316" si="15">IF(COUNTIF(G253:J253,"Y")&gt;0,1,0)</f>
        <v>0</v>
      </c>
      <c r="L253" s="52" t="str">
        <f>IF(ISERROR(VLOOKUP(A253,RDPLP!G:G,1,0)),"N","Y")</f>
        <v>N</v>
      </c>
      <c r="M253" s="52" t="str">
        <f>IF(ISERROR(VLOOKUP(A253,'SCINET-PLP'!G:G,1,0)),"N","Y")</f>
        <v>N</v>
      </c>
      <c r="N253" s="52" t="str">
        <f>IF(ISERROR(VLOOKUP(A253,FLEXPLP!G:G,1,0)),"N","Y")</f>
        <v>N</v>
      </c>
      <c r="O253" s="52" t="str">
        <f>IF(ISERROR(VLOOKUP(A253,'ELN PLP'!G:G,1,0)),"N","Y")</f>
        <v>N</v>
      </c>
      <c r="P253" s="53">
        <f t="shared" si="13"/>
        <v>0</v>
      </c>
      <c r="R253" s="21">
        <f>IF(K253+F253&gt;0,1,0)</f>
        <v>0</v>
      </c>
      <c r="S253" s="24">
        <f>IF(ISERROR(VLOOKUP(A253,U:U,1,0)),0,1)</f>
        <v>0</v>
      </c>
      <c r="Z253" s="17" t="s">
        <v>184</v>
      </c>
    </row>
    <row r="254" spans="1:26" x14ac:dyDescent="0.35">
      <c r="A254" s="6" t="s">
        <v>1982</v>
      </c>
      <c r="B254" s="5" t="str">
        <f>IF(ISERROR(VLOOKUP(A254,RDPLP!A254:A279,1,0)),"N","Y")</f>
        <v>N</v>
      </c>
      <c r="C254" s="5" t="str">
        <f>IF(ISERROR(VLOOKUP(A254,'SCINET-PLP'!A:A,1,0)),"N","Y")</f>
        <v>N</v>
      </c>
      <c r="D254" s="5" t="str">
        <f>IF(ISERROR(VLOOKUP(A254,FLEXPLP!A:A,1,0)),"N","Y")</f>
        <v>N</v>
      </c>
      <c r="E254" s="5" t="str">
        <f>IF(ISERROR(VLOOKUP(A254,'ELN PLP'!A:A,1,0)),"N","Y")</f>
        <v>N</v>
      </c>
      <c r="F254" s="26">
        <f t="shared" si="14"/>
        <v>0</v>
      </c>
      <c r="G254" s="8" t="str">
        <f>IF(ISERROR(VLOOKUP(A254,RDPLP!D:D,1,0)),"N","Y")</f>
        <v>N</v>
      </c>
      <c r="H254" s="8" t="str">
        <f>IF(ISERROR(VLOOKUP(A254,'SCINET-PLP'!D:D,1,0)),"N","Y")</f>
        <v>N</v>
      </c>
      <c r="I254" s="8" t="str">
        <f>IF(ISERROR(VLOOKUP(A254,FLEXPLP!D:D,1,0)),"N","Y")</f>
        <v>N</v>
      </c>
      <c r="J254" s="8" t="str">
        <f>IF(ISERROR(VLOOKUP(A254,'ELN PLP'!D:D,1,0)),"N","Y")</f>
        <v>N</v>
      </c>
      <c r="K254" s="29">
        <f t="shared" si="15"/>
        <v>0</v>
      </c>
      <c r="L254" s="52" t="str">
        <f>IF(ISERROR(VLOOKUP(A254,RDPLP!G:G,1,0)),"N","Y")</f>
        <v>N</v>
      </c>
      <c r="M254" s="52" t="str">
        <f>IF(ISERROR(VLOOKUP(A254,'SCINET-PLP'!G:G,1,0)),"N","Y")</f>
        <v>N</v>
      </c>
      <c r="N254" s="52" t="str">
        <f>IF(ISERROR(VLOOKUP(A254,FLEXPLP!G:G,1,0)),"N","Y")</f>
        <v>N</v>
      </c>
      <c r="O254" s="52" t="str">
        <f>IF(ISERROR(VLOOKUP(A254,'ELN PLP'!G:G,1,0)),"N","Y")</f>
        <v>N</v>
      </c>
      <c r="P254" s="53">
        <f t="shared" si="13"/>
        <v>0</v>
      </c>
      <c r="R254" s="21">
        <f>IF(K254+F254&gt;0,1,0)</f>
        <v>0</v>
      </c>
      <c r="S254" s="24">
        <f>IF(ISERROR(VLOOKUP(A254,U:U,1,0)),0,1)</f>
        <v>0</v>
      </c>
      <c r="Z254" s="17" t="s">
        <v>1994</v>
      </c>
    </row>
    <row r="255" spans="1:26" x14ac:dyDescent="0.35">
      <c r="A255" s="6" t="s">
        <v>1987</v>
      </c>
      <c r="B255" s="5" t="str">
        <f>IF(ISERROR(VLOOKUP(A255,RDPLP!A255:A280,1,0)),"N","Y")</f>
        <v>N</v>
      </c>
      <c r="C255" s="5" t="str">
        <f>IF(ISERROR(VLOOKUP(A255,'SCINET-PLP'!A:A,1,0)),"N","Y")</f>
        <v>N</v>
      </c>
      <c r="D255" s="5" t="str">
        <f>IF(ISERROR(VLOOKUP(A255,FLEXPLP!A:A,1,0)),"N","Y")</f>
        <v>N</v>
      </c>
      <c r="E255" s="5" t="str">
        <f>IF(ISERROR(VLOOKUP(A255,'ELN PLP'!A:A,1,0)),"N","Y")</f>
        <v>N</v>
      </c>
      <c r="F255" s="26">
        <f t="shared" si="14"/>
        <v>0</v>
      </c>
      <c r="G255" s="8" t="str">
        <f>IF(ISERROR(VLOOKUP(A255,RDPLP!D:D,1,0)),"N","Y")</f>
        <v>N</v>
      </c>
      <c r="H255" s="8" t="str">
        <f>IF(ISERROR(VLOOKUP(A255,'SCINET-PLP'!D:D,1,0)),"N","Y")</f>
        <v>N</v>
      </c>
      <c r="I255" s="8" t="str">
        <f>IF(ISERROR(VLOOKUP(A255,FLEXPLP!D:D,1,0)),"N","Y")</f>
        <v>N</v>
      </c>
      <c r="J255" s="8" t="str">
        <f>IF(ISERROR(VLOOKUP(A255,'ELN PLP'!D:D,1,0)),"N","Y")</f>
        <v>N</v>
      </c>
      <c r="K255" s="29">
        <f t="shared" si="15"/>
        <v>0</v>
      </c>
      <c r="L255" s="52" t="str">
        <f>IF(ISERROR(VLOOKUP(A255,RDPLP!G:G,1,0)),"N","Y")</f>
        <v>N</v>
      </c>
      <c r="M255" s="52" t="str">
        <f>IF(ISERROR(VLOOKUP(A255,'SCINET-PLP'!G:G,1,0)),"N","Y")</f>
        <v>Y</v>
      </c>
      <c r="N255" s="52" t="str">
        <f>IF(ISERROR(VLOOKUP(A255,FLEXPLP!G:G,1,0)),"N","Y")</f>
        <v>N</v>
      </c>
      <c r="O255" s="52" t="str">
        <f>IF(ISERROR(VLOOKUP(A255,'ELN PLP'!G:G,1,0)),"N","Y")</f>
        <v>N</v>
      </c>
      <c r="P255" s="53">
        <f t="shared" si="13"/>
        <v>1</v>
      </c>
      <c r="R255" s="21">
        <f>IF(K255+F255&gt;0,1,0)</f>
        <v>0</v>
      </c>
      <c r="S255" s="24">
        <f>IF(ISERROR(VLOOKUP(A255,U:U,1,0)),0,1)</f>
        <v>0</v>
      </c>
      <c r="Z255" s="17" t="s">
        <v>153</v>
      </c>
    </row>
    <row r="256" spans="1:26" x14ac:dyDescent="0.35">
      <c r="A256" s="6" t="s">
        <v>1990</v>
      </c>
      <c r="B256" s="5" t="str">
        <f>IF(ISERROR(VLOOKUP(A256,RDPLP!A256:A281,1,0)),"N","Y")</f>
        <v>N</v>
      </c>
      <c r="C256" s="5" t="str">
        <f>IF(ISERROR(VLOOKUP(A256,'SCINET-PLP'!A:A,1,0)),"N","Y")</f>
        <v>N</v>
      </c>
      <c r="D256" s="5" t="str">
        <f>IF(ISERROR(VLOOKUP(A256,FLEXPLP!A:A,1,0)),"N","Y")</f>
        <v>N</v>
      </c>
      <c r="E256" s="5" t="str">
        <f>IF(ISERROR(VLOOKUP(A256,'ELN PLP'!A:A,1,0)),"N","Y")</f>
        <v>N</v>
      </c>
      <c r="F256" s="26">
        <f t="shared" si="14"/>
        <v>0</v>
      </c>
      <c r="G256" s="8" t="str">
        <f>IF(ISERROR(VLOOKUP(A256,RDPLP!D:D,1,0)),"N","Y")</f>
        <v>N</v>
      </c>
      <c r="H256" s="8" t="str">
        <f>IF(ISERROR(VLOOKUP(A256,'SCINET-PLP'!D:D,1,0)),"N","Y")</f>
        <v>N</v>
      </c>
      <c r="I256" s="8" t="str">
        <f>IF(ISERROR(VLOOKUP(A256,FLEXPLP!D:D,1,0)),"N","Y")</f>
        <v>N</v>
      </c>
      <c r="J256" s="8" t="str">
        <f>IF(ISERROR(VLOOKUP(A256,'ELN PLP'!D:D,1,0)),"N","Y")</f>
        <v>N</v>
      </c>
      <c r="K256" s="29">
        <f t="shared" si="15"/>
        <v>0</v>
      </c>
      <c r="L256" s="52" t="str">
        <f>IF(ISERROR(VLOOKUP(A256,RDPLP!G:G,1,0)),"N","Y")</f>
        <v>N</v>
      </c>
      <c r="M256" s="52" t="str">
        <f>IF(ISERROR(VLOOKUP(A256,'SCINET-PLP'!G:G,1,0)),"N","Y")</f>
        <v>N</v>
      </c>
      <c r="N256" s="52" t="str">
        <f>IF(ISERROR(VLOOKUP(A256,FLEXPLP!G:G,1,0)),"N","Y")</f>
        <v>N</v>
      </c>
      <c r="O256" s="52" t="str">
        <f>IF(ISERROR(VLOOKUP(A256,'ELN PLP'!G:G,1,0)),"N","Y")</f>
        <v>N</v>
      </c>
      <c r="P256" s="53">
        <f t="shared" si="13"/>
        <v>0</v>
      </c>
      <c r="R256" s="21">
        <f>IF(K256+F256&gt;0,1,0)</f>
        <v>0</v>
      </c>
      <c r="S256" s="24">
        <f>IF(ISERROR(VLOOKUP(A256,U:U,1,0)),0,1)</f>
        <v>0</v>
      </c>
      <c r="Z256" s="17" t="s">
        <v>178</v>
      </c>
    </row>
    <row r="257" spans="1:26" x14ac:dyDescent="0.35">
      <c r="A257" s="18" t="s">
        <v>1837</v>
      </c>
      <c r="B257" s="5" t="str">
        <f>IF(ISERROR(VLOOKUP(A257,RDPLP!A257:A282,1,0)),"N","Y")</f>
        <v>N</v>
      </c>
      <c r="C257" s="5" t="str">
        <f>IF(ISERROR(VLOOKUP(A257,'SCINET-PLP'!A:A,1,0)),"N","Y")</f>
        <v>N</v>
      </c>
      <c r="D257" s="5" t="str">
        <f>IF(ISERROR(VLOOKUP(A257,FLEXPLP!A:A,1,0)),"N","Y")</f>
        <v>N</v>
      </c>
      <c r="E257" s="5" t="str">
        <f>IF(ISERROR(VLOOKUP(A257,'ELN PLP'!A:A,1,0)),"N","Y")</f>
        <v>N</v>
      </c>
      <c r="F257" s="26">
        <f t="shared" si="14"/>
        <v>0</v>
      </c>
      <c r="G257" s="8" t="str">
        <f>IF(ISERROR(VLOOKUP(A257,RDPLP!D:D,1,0)),"N","Y")</f>
        <v>N</v>
      </c>
      <c r="H257" s="8" t="str">
        <f>IF(ISERROR(VLOOKUP(A257,'SCINET-PLP'!D:D,1,0)),"N","Y")</f>
        <v>N</v>
      </c>
      <c r="I257" s="8" t="str">
        <f>IF(ISERROR(VLOOKUP(A257,FLEXPLP!D:D,1,0)),"N","Y")</f>
        <v>N</v>
      </c>
      <c r="J257" s="8" t="str">
        <f>IF(ISERROR(VLOOKUP(A257,'ELN PLP'!D:D,1,0)),"N","Y")</f>
        <v>N</v>
      </c>
      <c r="K257" s="29">
        <f t="shared" si="15"/>
        <v>0</v>
      </c>
      <c r="L257" s="52" t="str">
        <f>IF(ISERROR(VLOOKUP(A257,RDPLP!G:G,1,0)),"N","Y")</f>
        <v>N</v>
      </c>
      <c r="M257" s="52" t="str">
        <f>IF(ISERROR(VLOOKUP(A257,'SCINET-PLP'!G:G,1,0)),"N","Y")</f>
        <v>N</v>
      </c>
      <c r="N257" s="52" t="str">
        <f>IF(ISERROR(VLOOKUP(A257,FLEXPLP!G:G,1,0)),"N","Y")</f>
        <v>N</v>
      </c>
      <c r="O257" s="52" t="str">
        <f>IF(ISERROR(VLOOKUP(A257,'ELN PLP'!G:G,1,0)),"N","Y")</f>
        <v>N</v>
      </c>
      <c r="P257" s="53">
        <f t="shared" si="13"/>
        <v>0</v>
      </c>
      <c r="R257" s="21">
        <f>IF(K257+F257&gt;0,1,0)</f>
        <v>0</v>
      </c>
      <c r="S257" s="24">
        <f>IF(ISERROR(VLOOKUP(A257,U:U,1,0)),0,1)</f>
        <v>0</v>
      </c>
      <c r="Z257" s="17" t="s">
        <v>182</v>
      </c>
    </row>
    <row r="258" spans="1:26" x14ac:dyDescent="0.35">
      <c r="A258" s="18" t="s">
        <v>1840</v>
      </c>
      <c r="B258" s="5" t="str">
        <f>IF(ISERROR(VLOOKUP(A258,RDPLP!A258:A283,1,0)),"N","Y")</f>
        <v>N</v>
      </c>
      <c r="C258" s="5" t="str">
        <f>IF(ISERROR(VLOOKUP(A258,'SCINET-PLP'!A:A,1,0)),"N","Y")</f>
        <v>N</v>
      </c>
      <c r="D258" s="5" t="str">
        <f>IF(ISERROR(VLOOKUP(A258,FLEXPLP!A:A,1,0)),"N","Y")</f>
        <v>N</v>
      </c>
      <c r="E258" s="5" t="str">
        <f>IF(ISERROR(VLOOKUP(A258,'ELN PLP'!A:A,1,0)),"N","Y")</f>
        <v>N</v>
      </c>
      <c r="F258" s="26">
        <f t="shared" si="14"/>
        <v>0</v>
      </c>
      <c r="G258" s="8" t="str">
        <f>IF(ISERROR(VLOOKUP(A258,RDPLP!D:D,1,0)),"N","Y")</f>
        <v>N</v>
      </c>
      <c r="H258" s="8" t="str">
        <f>IF(ISERROR(VLOOKUP(A258,'SCINET-PLP'!D:D,1,0)),"N","Y")</f>
        <v>N</v>
      </c>
      <c r="I258" s="8" t="str">
        <f>IF(ISERROR(VLOOKUP(A258,FLEXPLP!D:D,1,0)),"N","Y")</f>
        <v>N</v>
      </c>
      <c r="J258" s="8" t="str">
        <f>IF(ISERROR(VLOOKUP(A258,'ELN PLP'!D:D,1,0)),"N","Y")</f>
        <v>N</v>
      </c>
      <c r="K258" s="29">
        <f t="shared" si="15"/>
        <v>0</v>
      </c>
      <c r="L258" s="52" t="str">
        <f>IF(ISERROR(VLOOKUP(A258,RDPLP!G:G,1,0)),"N","Y")</f>
        <v>N</v>
      </c>
      <c r="M258" s="52" t="str">
        <f>IF(ISERROR(VLOOKUP(A258,'SCINET-PLP'!G:G,1,0)),"N","Y")</f>
        <v>N</v>
      </c>
      <c r="N258" s="52" t="str">
        <f>IF(ISERROR(VLOOKUP(A258,FLEXPLP!G:G,1,0)),"N","Y")</f>
        <v>N</v>
      </c>
      <c r="O258" s="52" t="str">
        <f>IF(ISERROR(VLOOKUP(A258,'ELN PLP'!G:G,1,0)),"N","Y")</f>
        <v>N</v>
      </c>
      <c r="P258" s="53">
        <f t="shared" si="13"/>
        <v>0</v>
      </c>
      <c r="R258" s="21">
        <f>IF(K258+F258&gt;0,1,0)</f>
        <v>0</v>
      </c>
      <c r="S258" s="24">
        <f>IF(ISERROR(VLOOKUP(A258,U:U,1,0)),0,1)</f>
        <v>0</v>
      </c>
      <c r="Z258" s="17" t="s">
        <v>1998</v>
      </c>
    </row>
    <row r="259" spans="1:26" x14ac:dyDescent="0.35">
      <c r="A259" s="18" t="s">
        <v>1842</v>
      </c>
      <c r="B259" s="5" t="str">
        <f>IF(ISERROR(VLOOKUP(A259,RDPLP!A259:A284,1,0)),"N","Y")</f>
        <v>N</v>
      </c>
      <c r="C259" s="5" t="str">
        <f>IF(ISERROR(VLOOKUP(A259,'SCINET-PLP'!A:A,1,0)),"N","Y")</f>
        <v>N</v>
      </c>
      <c r="D259" s="5" t="str">
        <f>IF(ISERROR(VLOOKUP(A259,FLEXPLP!A:A,1,0)),"N","Y")</f>
        <v>N</v>
      </c>
      <c r="E259" s="5" t="str">
        <f>IF(ISERROR(VLOOKUP(A259,'ELN PLP'!A:A,1,0)),"N","Y")</f>
        <v>N</v>
      </c>
      <c r="F259" s="26">
        <f t="shared" si="14"/>
        <v>0</v>
      </c>
      <c r="G259" s="8" t="str">
        <f>IF(ISERROR(VLOOKUP(A259,RDPLP!D:D,1,0)),"N","Y")</f>
        <v>N</v>
      </c>
      <c r="H259" s="8" t="str">
        <f>IF(ISERROR(VLOOKUP(A259,'SCINET-PLP'!D:D,1,0)),"N","Y")</f>
        <v>N</v>
      </c>
      <c r="I259" s="8" t="str">
        <f>IF(ISERROR(VLOOKUP(A259,FLEXPLP!D:D,1,0)),"N","Y")</f>
        <v>N</v>
      </c>
      <c r="J259" s="8" t="str">
        <f>IF(ISERROR(VLOOKUP(A259,'ELN PLP'!D:D,1,0)),"N","Y")</f>
        <v>N</v>
      </c>
      <c r="K259" s="29">
        <f t="shared" si="15"/>
        <v>0</v>
      </c>
      <c r="L259" s="52" t="str">
        <f>IF(ISERROR(VLOOKUP(A259,RDPLP!G:G,1,0)),"N","Y")</f>
        <v>N</v>
      </c>
      <c r="M259" s="52" t="str">
        <f>IF(ISERROR(VLOOKUP(A259,'SCINET-PLP'!G:G,1,0)),"N","Y")</f>
        <v>N</v>
      </c>
      <c r="N259" s="52" t="str">
        <f>IF(ISERROR(VLOOKUP(A259,FLEXPLP!G:G,1,0)),"N","Y")</f>
        <v>N</v>
      </c>
      <c r="O259" s="52" t="str">
        <f>IF(ISERROR(VLOOKUP(A259,'ELN PLP'!G:G,1,0)),"N","Y")</f>
        <v>N</v>
      </c>
      <c r="P259" s="53">
        <f t="shared" si="13"/>
        <v>0</v>
      </c>
      <c r="R259" s="21">
        <f>IF(K259+F259&gt;0,1,0)</f>
        <v>0</v>
      </c>
      <c r="S259" s="24">
        <f>IF(ISERROR(VLOOKUP(A259,U:U,1,0)),0,1)</f>
        <v>0</v>
      </c>
      <c r="Z259" s="17" t="s">
        <v>1999</v>
      </c>
    </row>
    <row r="260" spans="1:26" x14ac:dyDescent="0.35">
      <c r="A260" s="18" t="s">
        <v>1845</v>
      </c>
      <c r="B260" s="5" t="str">
        <f>IF(ISERROR(VLOOKUP(A260,RDPLP!A260:A285,1,0)),"N","Y")</f>
        <v>N</v>
      </c>
      <c r="C260" s="5" t="str">
        <f>IF(ISERROR(VLOOKUP(A260,'SCINET-PLP'!A:A,1,0)),"N","Y")</f>
        <v>N</v>
      </c>
      <c r="D260" s="5" t="str">
        <f>IF(ISERROR(VLOOKUP(A260,FLEXPLP!A:A,1,0)),"N","Y")</f>
        <v>N</v>
      </c>
      <c r="E260" s="5" t="str">
        <f>IF(ISERROR(VLOOKUP(A260,'ELN PLP'!A:A,1,0)),"N","Y")</f>
        <v>N</v>
      </c>
      <c r="F260" s="26">
        <f t="shared" si="14"/>
        <v>0</v>
      </c>
      <c r="G260" s="8" t="str">
        <f>IF(ISERROR(VLOOKUP(A260,RDPLP!D:D,1,0)),"N","Y")</f>
        <v>N</v>
      </c>
      <c r="H260" s="8" t="str">
        <f>IF(ISERROR(VLOOKUP(A260,'SCINET-PLP'!D:D,1,0)),"N","Y")</f>
        <v>N</v>
      </c>
      <c r="I260" s="8" t="str">
        <f>IF(ISERROR(VLOOKUP(A260,FLEXPLP!D:D,1,0)),"N","Y")</f>
        <v>N</v>
      </c>
      <c r="J260" s="8" t="str">
        <f>IF(ISERROR(VLOOKUP(A260,'ELN PLP'!D:D,1,0)),"N","Y")</f>
        <v>N</v>
      </c>
      <c r="K260" s="29">
        <f t="shared" si="15"/>
        <v>0</v>
      </c>
      <c r="L260" s="52" t="str">
        <f>IF(ISERROR(VLOOKUP(A260,RDPLP!G:G,1,0)),"N","Y")</f>
        <v>N</v>
      </c>
      <c r="M260" s="52" t="str">
        <f>IF(ISERROR(VLOOKUP(A260,'SCINET-PLP'!G:G,1,0)),"N","Y")</f>
        <v>N</v>
      </c>
      <c r="N260" s="52" t="str">
        <f>IF(ISERROR(VLOOKUP(A260,FLEXPLP!G:G,1,0)),"N","Y")</f>
        <v>N</v>
      </c>
      <c r="O260" s="52" t="str">
        <f>IF(ISERROR(VLOOKUP(A260,'ELN PLP'!G:G,1,0)),"N","Y")</f>
        <v>N</v>
      </c>
      <c r="P260" s="53">
        <f t="shared" ref="P260:P323" si="16">IF(COUNTIF(L260:O260,"Y")&gt;0,1,0)</f>
        <v>0</v>
      </c>
      <c r="R260" s="21">
        <f>IF(K260+F260&gt;0,1,0)</f>
        <v>0</v>
      </c>
      <c r="S260" s="24">
        <f>IF(ISERROR(VLOOKUP(A260,U:U,1,0)),0,1)</f>
        <v>0</v>
      </c>
      <c r="Z260" s="17" t="s">
        <v>2000</v>
      </c>
    </row>
    <row r="261" spans="1:26" x14ac:dyDescent="0.35">
      <c r="A261" s="18" t="s">
        <v>1848</v>
      </c>
      <c r="B261" s="5" t="str">
        <f>IF(ISERROR(VLOOKUP(A261,RDPLP!A261:A286,1,0)),"N","Y")</f>
        <v>N</v>
      </c>
      <c r="C261" s="5" t="str">
        <f>IF(ISERROR(VLOOKUP(A261,'SCINET-PLP'!A:A,1,0)),"N","Y")</f>
        <v>N</v>
      </c>
      <c r="D261" s="5" t="str">
        <f>IF(ISERROR(VLOOKUP(A261,FLEXPLP!A:A,1,0)),"N","Y")</f>
        <v>N</v>
      </c>
      <c r="E261" s="5" t="str">
        <f>IF(ISERROR(VLOOKUP(A261,'ELN PLP'!A:A,1,0)),"N","Y")</f>
        <v>N</v>
      </c>
      <c r="F261" s="26">
        <f t="shared" si="14"/>
        <v>0</v>
      </c>
      <c r="G261" s="8" t="str">
        <f>IF(ISERROR(VLOOKUP(A261,RDPLP!D:D,1,0)),"N","Y")</f>
        <v>N</v>
      </c>
      <c r="H261" s="8" t="str">
        <f>IF(ISERROR(VLOOKUP(A261,'SCINET-PLP'!D:D,1,0)),"N","Y")</f>
        <v>N</v>
      </c>
      <c r="I261" s="8" t="str">
        <f>IF(ISERROR(VLOOKUP(A261,FLEXPLP!D:D,1,0)),"N","Y")</f>
        <v>N</v>
      </c>
      <c r="J261" s="8" t="str">
        <f>IF(ISERROR(VLOOKUP(A261,'ELN PLP'!D:D,1,0)),"N","Y")</f>
        <v>N</v>
      </c>
      <c r="K261" s="29">
        <f t="shared" si="15"/>
        <v>0</v>
      </c>
      <c r="L261" s="52" t="str">
        <f>IF(ISERROR(VLOOKUP(A261,RDPLP!G:G,1,0)),"N","Y")</f>
        <v>N</v>
      </c>
      <c r="M261" s="52" t="str">
        <f>IF(ISERROR(VLOOKUP(A261,'SCINET-PLP'!G:G,1,0)),"N","Y")</f>
        <v>N</v>
      </c>
      <c r="N261" s="52" t="str">
        <f>IF(ISERROR(VLOOKUP(A261,FLEXPLP!G:G,1,0)),"N","Y")</f>
        <v>N</v>
      </c>
      <c r="O261" s="52" t="str">
        <f>IF(ISERROR(VLOOKUP(A261,'ELN PLP'!G:G,1,0)),"N","Y")</f>
        <v>N</v>
      </c>
      <c r="P261" s="53">
        <f t="shared" si="16"/>
        <v>0</v>
      </c>
      <c r="R261" s="21">
        <f>IF(K261+F261&gt;0,1,0)</f>
        <v>0</v>
      </c>
      <c r="S261" s="24">
        <f>IF(ISERROR(VLOOKUP(A261,U:U,1,0)),0,1)</f>
        <v>0</v>
      </c>
      <c r="Z261" s="17" t="s">
        <v>84</v>
      </c>
    </row>
    <row r="262" spans="1:26" x14ac:dyDescent="0.35">
      <c r="A262" s="18" t="s">
        <v>1849</v>
      </c>
      <c r="B262" s="5" t="str">
        <f>IF(ISERROR(VLOOKUP(A262,RDPLP!A262:A287,1,0)),"N","Y")</f>
        <v>N</v>
      </c>
      <c r="C262" s="5" t="str">
        <f>IF(ISERROR(VLOOKUP(A262,'SCINET-PLP'!A:A,1,0)),"N","Y")</f>
        <v>N</v>
      </c>
      <c r="D262" s="5" t="str">
        <f>IF(ISERROR(VLOOKUP(A262,FLEXPLP!A:A,1,0)),"N","Y")</f>
        <v>N</v>
      </c>
      <c r="E262" s="5" t="str">
        <f>IF(ISERROR(VLOOKUP(A262,'ELN PLP'!A:A,1,0)),"N","Y")</f>
        <v>N</v>
      </c>
      <c r="F262" s="26">
        <f t="shared" si="14"/>
        <v>0</v>
      </c>
      <c r="G262" s="8" t="str">
        <f>IF(ISERROR(VLOOKUP(A262,RDPLP!D:D,1,0)),"N","Y")</f>
        <v>N</v>
      </c>
      <c r="H262" s="8" t="str">
        <f>IF(ISERROR(VLOOKUP(A262,'SCINET-PLP'!D:D,1,0)),"N","Y")</f>
        <v>N</v>
      </c>
      <c r="I262" s="8" t="str">
        <f>IF(ISERROR(VLOOKUP(A262,FLEXPLP!D:D,1,0)),"N","Y")</f>
        <v>N</v>
      </c>
      <c r="J262" s="8" t="str">
        <f>IF(ISERROR(VLOOKUP(A262,'ELN PLP'!D:D,1,0)),"N","Y")</f>
        <v>N</v>
      </c>
      <c r="K262" s="29">
        <f t="shared" si="15"/>
        <v>0</v>
      </c>
      <c r="L262" s="52" t="str">
        <f>IF(ISERROR(VLOOKUP(A262,RDPLP!G:G,1,0)),"N","Y")</f>
        <v>N</v>
      </c>
      <c r="M262" s="52" t="str">
        <f>IF(ISERROR(VLOOKUP(A262,'SCINET-PLP'!G:G,1,0)),"N","Y")</f>
        <v>N</v>
      </c>
      <c r="N262" s="52" t="str">
        <f>IF(ISERROR(VLOOKUP(A262,FLEXPLP!G:G,1,0)),"N","Y")</f>
        <v>N</v>
      </c>
      <c r="O262" s="52" t="str">
        <f>IF(ISERROR(VLOOKUP(A262,'ELN PLP'!G:G,1,0)),"N","Y")</f>
        <v>N</v>
      </c>
      <c r="P262" s="53">
        <f t="shared" si="16"/>
        <v>0</v>
      </c>
      <c r="R262" s="21">
        <f>IF(K262+F262&gt;0,1,0)</f>
        <v>0</v>
      </c>
      <c r="S262" s="24">
        <f>IF(ISERROR(VLOOKUP(A262,U:U,1,0)),0,1)</f>
        <v>0</v>
      </c>
      <c r="Z262" s="17" t="s">
        <v>109</v>
      </c>
    </row>
    <row r="263" spans="1:26" x14ac:dyDescent="0.35">
      <c r="A263" s="18" t="s">
        <v>1855</v>
      </c>
      <c r="B263" s="5" t="str">
        <f>IF(ISERROR(VLOOKUP(A263,RDPLP!A263:A288,1,0)),"N","Y")</f>
        <v>N</v>
      </c>
      <c r="C263" s="5" t="str">
        <f>IF(ISERROR(VLOOKUP(A263,'SCINET-PLP'!A:A,1,0)),"N","Y")</f>
        <v>N</v>
      </c>
      <c r="D263" s="5" t="str">
        <f>IF(ISERROR(VLOOKUP(A263,FLEXPLP!A:A,1,0)),"N","Y")</f>
        <v>N</v>
      </c>
      <c r="E263" s="5" t="str">
        <f>IF(ISERROR(VLOOKUP(A263,'ELN PLP'!A:A,1,0)),"N","Y")</f>
        <v>N</v>
      </c>
      <c r="F263" s="26">
        <f t="shared" si="14"/>
        <v>0</v>
      </c>
      <c r="G263" s="8" t="str">
        <f>IF(ISERROR(VLOOKUP(A263,RDPLP!D:D,1,0)),"N","Y")</f>
        <v>N</v>
      </c>
      <c r="H263" s="8" t="str">
        <f>IF(ISERROR(VLOOKUP(A263,'SCINET-PLP'!D:D,1,0)),"N","Y")</f>
        <v>N</v>
      </c>
      <c r="I263" s="8" t="str">
        <f>IF(ISERROR(VLOOKUP(A263,FLEXPLP!D:D,1,0)),"N","Y")</f>
        <v>N</v>
      </c>
      <c r="J263" s="8" t="str">
        <f>IF(ISERROR(VLOOKUP(A263,'ELN PLP'!D:D,1,0)),"N","Y")</f>
        <v>N</v>
      </c>
      <c r="K263" s="29">
        <f t="shared" si="15"/>
        <v>0</v>
      </c>
      <c r="L263" s="52" t="str">
        <f>IF(ISERROR(VLOOKUP(A263,RDPLP!G:G,1,0)),"N","Y")</f>
        <v>N</v>
      </c>
      <c r="M263" s="52" t="str">
        <f>IF(ISERROR(VLOOKUP(A263,'SCINET-PLP'!G:G,1,0)),"N","Y")</f>
        <v>N</v>
      </c>
      <c r="N263" s="52" t="str">
        <f>IF(ISERROR(VLOOKUP(A263,FLEXPLP!G:G,1,0)),"N","Y")</f>
        <v>N</v>
      </c>
      <c r="O263" s="52" t="str">
        <f>IF(ISERROR(VLOOKUP(A263,'ELN PLP'!G:G,1,0)),"N","Y")</f>
        <v>N</v>
      </c>
      <c r="P263" s="53">
        <f t="shared" si="16"/>
        <v>0</v>
      </c>
      <c r="R263" s="21">
        <f>IF(K263+F263&gt;0,1,0)</f>
        <v>0</v>
      </c>
      <c r="S263" s="24">
        <f>IF(ISERROR(VLOOKUP(A263,U:U,1,0)),0,1)</f>
        <v>0</v>
      </c>
      <c r="Z263" s="17" t="s">
        <v>2001</v>
      </c>
    </row>
    <row r="264" spans="1:26" x14ac:dyDescent="0.35">
      <c r="A264" s="18" t="s">
        <v>1857</v>
      </c>
      <c r="B264" s="5" t="str">
        <f>IF(ISERROR(VLOOKUP(A264,RDPLP!A264:A289,1,0)),"N","Y")</f>
        <v>N</v>
      </c>
      <c r="C264" s="5" t="str">
        <f>IF(ISERROR(VLOOKUP(A264,'SCINET-PLP'!A:A,1,0)),"N","Y")</f>
        <v>N</v>
      </c>
      <c r="D264" s="5" t="str">
        <f>IF(ISERROR(VLOOKUP(A264,FLEXPLP!A:A,1,0)),"N","Y")</f>
        <v>N</v>
      </c>
      <c r="E264" s="5" t="str">
        <f>IF(ISERROR(VLOOKUP(A264,'ELN PLP'!A:A,1,0)),"N","Y")</f>
        <v>N</v>
      </c>
      <c r="F264" s="26">
        <f t="shared" si="14"/>
        <v>0</v>
      </c>
      <c r="G264" s="8" t="str">
        <f>IF(ISERROR(VLOOKUP(A264,RDPLP!D:D,1,0)),"N","Y")</f>
        <v>N</v>
      </c>
      <c r="H264" s="8" t="str">
        <f>IF(ISERROR(VLOOKUP(A264,'SCINET-PLP'!D:D,1,0)),"N","Y")</f>
        <v>N</v>
      </c>
      <c r="I264" s="8" t="str">
        <f>IF(ISERROR(VLOOKUP(A264,FLEXPLP!D:D,1,0)),"N","Y")</f>
        <v>N</v>
      </c>
      <c r="J264" s="8" t="str">
        <f>IF(ISERROR(VLOOKUP(A264,'ELN PLP'!D:D,1,0)),"N","Y")</f>
        <v>N</v>
      </c>
      <c r="K264" s="29">
        <f t="shared" si="15"/>
        <v>0</v>
      </c>
      <c r="L264" s="52" t="str">
        <f>IF(ISERROR(VLOOKUP(A264,RDPLP!G:G,1,0)),"N","Y")</f>
        <v>N</v>
      </c>
      <c r="M264" s="52" t="str">
        <f>IF(ISERROR(VLOOKUP(A264,'SCINET-PLP'!G:G,1,0)),"N","Y")</f>
        <v>N</v>
      </c>
      <c r="N264" s="52" t="str">
        <f>IF(ISERROR(VLOOKUP(A264,FLEXPLP!G:G,1,0)),"N","Y")</f>
        <v>N</v>
      </c>
      <c r="O264" s="52" t="str">
        <f>IF(ISERROR(VLOOKUP(A264,'ELN PLP'!G:G,1,0)),"N","Y")</f>
        <v>N</v>
      </c>
      <c r="P264" s="53">
        <f t="shared" si="16"/>
        <v>0</v>
      </c>
      <c r="R264" s="21">
        <f>IF(K264+F264&gt;0,1,0)</f>
        <v>0</v>
      </c>
      <c r="S264" s="24">
        <f>IF(ISERROR(VLOOKUP(A264,U:U,1,0)),0,1)</f>
        <v>0</v>
      </c>
      <c r="Z264" s="17" t="s">
        <v>2002</v>
      </c>
    </row>
    <row r="265" spans="1:26" x14ac:dyDescent="0.35">
      <c r="A265" s="18" t="s">
        <v>1860</v>
      </c>
      <c r="B265" s="5" t="str">
        <f>IF(ISERROR(VLOOKUP(A265,RDPLP!A265:A290,1,0)),"N","Y")</f>
        <v>N</v>
      </c>
      <c r="C265" s="5" t="str">
        <f>IF(ISERROR(VLOOKUP(A265,'SCINET-PLP'!A:A,1,0)),"N","Y")</f>
        <v>N</v>
      </c>
      <c r="D265" s="5" t="str">
        <f>IF(ISERROR(VLOOKUP(A265,FLEXPLP!A:A,1,0)),"N","Y")</f>
        <v>N</v>
      </c>
      <c r="E265" s="5" t="str">
        <f>IF(ISERROR(VLOOKUP(A265,'ELN PLP'!A:A,1,0)),"N","Y")</f>
        <v>N</v>
      </c>
      <c r="F265" s="26">
        <f t="shared" si="14"/>
        <v>0</v>
      </c>
      <c r="G265" s="8" t="str">
        <f>IF(ISERROR(VLOOKUP(A265,RDPLP!D:D,1,0)),"N","Y")</f>
        <v>N</v>
      </c>
      <c r="H265" s="8" t="str">
        <f>IF(ISERROR(VLOOKUP(A265,'SCINET-PLP'!D:D,1,0)),"N","Y")</f>
        <v>N</v>
      </c>
      <c r="I265" s="8" t="str">
        <f>IF(ISERROR(VLOOKUP(A265,FLEXPLP!D:D,1,0)),"N","Y")</f>
        <v>N</v>
      </c>
      <c r="J265" s="8" t="str">
        <f>IF(ISERROR(VLOOKUP(A265,'ELN PLP'!D:D,1,0)),"N","Y")</f>
        <v>N</v>
      </c>
      <c r="K265" s="29">
        <f t="shared" si="15"/>
        <v>0</v>
      </c>
      <c r="L265" s="52" t="str">
        <f>IF(ISERROR(VLOOKUP(A265,RDPLP!G:G,1,0)),"N","Y")</f>
        <v>N</v>
      </c>
      <c r="M265" s="52" t="str">
        <f>IF(ISERROR(VLOOKUP(A265,'SCINET-PLP'!G:G,1,0)),"N","Y")</f>
        <v>N</v>
      </c>
      <c r="N265" s="52" t="str">
        <f>IF(ISERROR(VLOOKUP(A265,FLEXPLP!G:G,1,0)),"N","Y")</f>
        <v>N</v>
      </c>
      <c r="O265" s="52" t="str">
        <f>IF(ISERROR(VLOOKUP(A265,'ELN PLP'!G:G,1,0)),"N","Y")</f>
        <v>N</v>
      </c>
      <c r="P265" s="53">
        <f t="shared" si="16"/>
        <v>0</v>
      </c>
      <c r="R265" s="21">
        <f>IF(K265+F265&gt;0,1,0)</f>
        <v>0</v>
      </c>
      <c r="S265" s="24">
        <f>IF(ISERROR(VLOOKUP(A265,U:U,1,0)),0,1)</f>
        <v>0</v>
      </c>
      <c r="Z265" s="17" t="s">
        <v>139</v>
      </c>
    </row>
    <row r="266" spans="1:26" x14ac:dyDescent="0.35">
      <c r="A266" s="18" t="s">
        <v>1863</v>
      </c>
      <c r="B266" s="5" t="str">
        <f>IF(ISERROR(VLOOKUP(A266,RDPLP!A266:A291,1,0)),"N","Y")</f>
        <v>N</v>
      </c>
      <c r="C266" s="5" t="str">
        <f>IF(ISERROR(VLOOKUP(A266,'SCINET-PLP'!A:A,1,0)),"N","Y")</f>
        <v>N</v>
      </c>
      <c r="D266" s="5" t="str">
        <f>IF(ISERROR(VLOOKUP(A266,FLEXPLP!A:A,1,0)),"N","Y")</f>
        <v>N</v>
      </c>
      <c r="E266" s="5" t="str">
        <f>IF(ISERROR(VLOOKUP(A266,'ELN PLP'!A:A,1,0)),"N","Y")</f>
        <v>N</v>
      </c>
      <c r="F266" s="26">
        <f t="shared" si="14"/>
        <v>0</v>
      </c>
      <c r="G266" s="8" t="str">
        <f>IF(ISERROR(VLOOKUP(A266,RDPLP!D:D,1,0)),"N","Y")</f>
        <v>N</v>
      </c>
      <c r="H266" s="8" t="str">
        <f>IF(ISERROR(VLOOKUP(A266,'SCINET-PLP'!D:D,1,0)),"N","Y")</f>
        <v>N</v>
      </c>
      <c r="I266" s="8" t="str">
        <f>IF(ISERROR(VLOOKUP(A266,FLEXPLP!D:D,1,0)),"N","Y")</f>
        <v>N</v>
      </c>
      <c r="J266" s="8" t="str">
        <f>IF(ISERROR(VLOOKUP(A266,'ELN PLP'!D:D,1,0)),"N","Y")</f>
        <v>N</v>
      </c>
      <c r="K266" s="29">
        <f t="shared" si="15"/>
        <v>0</v>
      </c>
      <c r="L266" s="52" t="str">
        <f>IF(ISERROR(VLOOKUP(A266,RDPLP!G:G,1,0)),"N","Y")</f>
        <v>N</v>
      </c>
      <c r="M266" s="52" t="str">
        <f>IF(ISERROR(VLOOKUP(A266,'SCINET-PLP'!G:G,1,0)),"N","Y")</f>
        <v>N</v>
      </c>
      <c r="N266" s="52" t="str">
        <f>IF(ISERROR(VLOOKUP(A266,FLEXPLP!G:G,1,0)),"N","Y")</f>
        <v>N</v>
      </c>
      <c r="O266" s="52" t="str">
        <f>IF(ISERROR(VLOOKUP(A266,'ELN PLP'!G:G,1,0)),"N","Y")</f>
        <v>N</v>
      </c>
      <c r="P266" s="53">
        <f t="shared" si="16"/>
        <v>0</v>
      </c>
      <c r="R266" s="21">
        <f>IF(K266+F266&gt;0,1,0)</f>
        <v>0</v>
      </c>
      <c r="S266" s="24">
        <f>IF(ISERROR(VLOOKUP(A266,U:U,1,0)),0,1)</f>
        <v>0</v>
      </c>
      <c r="Z266" s="17" t="s">
        <v>113</v>
      </c>
    </row>
    <row r="267" spans="1:26" x14ac:dyDescent="0.35">
      <c r="A267" s="18" t="s">
        <v>1865</v>
      </c>
      <c r="B267" s="5" t="str">
        <f>IF(ISERROR(VLOOKUP(A267,RDPLP!A267:A292,1,0)),"N","Y")</f>
        <v>N</v>
      </c>
      <c r="C267" s="5" t="str">
        <f>IF(ISERROR(VLOOKUP(A267,'SCINET-PLP'!A:A,1,0)),"N","Y")</f>
        <v>N</v>
      </c>
      <c r="D267" s="5" t="str">
        <f>IF(ISERROR(VLOOKUP(A267,FLEXPLP!A:A,1,0)),"N","Y")</f>
        <v>N</v>
      </c>
      <c r="E267" s="5" t="str">
        <f>IF(ISERROR(VLOOKUP(A267,'ELN PLP'!A:A,1,0)),"N","Y")</f>
        <v>N</v>
      </c>
      <c r="F267" s="26">
        <f t="shared" si="14"/>
        <v>0</v>
      </c>
      <c r="G267" s="8" t="str">
        <f>IF(ISERROR(VLOOKUP(A267,RDPLP!D:D,1,0)),"N","Y")</f>
        <v>N</v>
      </c>
      <c r="H267" s="8" t="str">
        <f>IF(ISERROR(VLOOKUP(A267,'SCINET-PLP'!D:D,1,0)),"N","Y")</f>
        <v>N</v>
      </c>
      <c r="I267" s="8" t="str">
        <f>IF(ISERROR(VLOOKUP(A267,FLEXPLP!D:D,1,0)),"N","Y")</f>
        <v>N</v>
      </c>
      <c r="J267" s="8" t="str">
        <f>IF(ISERROR(VLOOKUP(A267,'ELN PLP'!D:D,1,0)),"N","Y")</f>
        <v>N</v>
      </c>
      <c r="K267" s="29">
        <f t="shared" si="15"/>
        <v>0</v>
      </c>
      <c r="L267" s="52" t="str">
        <f>IF(ISERROR(VLOOKUP(A267,RDPLP!G:G,1,0)),"N","Y")</f>
        <v>N</v>
      </c>
      <c r="M267" s="52" t="str">
        <f>IF(ISERROR(VLOOKUP(A267,'SCINET-PLP'!G:G,1,0)),"N","Y")</f>
        <v>N</v>
      </c>
      <c r="N267" s="52" t="str">
        <f>IF(ISERROR(VLOOKUP(A267,FLEXPLP!G:G,1,0)),"N","Y")</f>
        <v>N</v>
      </c>
      <c r="O267" s="52" t="str">
        <f>IF(ISERROR(VLOOKUP(A267,'ELN PLP'!G:G,1,0)),"N","Y")</f>
        <v>N</v>
      </c>
      <c r="P267" s="53">
        <f t="shared" si="16"/>
        <v>0</v>
      </c>
      <c r="R267" s="21">
        <f>IF(K267+F267&gt;0,1,0)</f>
        <v>0</v>
      </c>
      <c r="S267" s="24">
        <f>IF(ISERROR(VLOOKUP(A267,U:U,1,0)),0,1)</f>
        <v>0</v>
      </c>
      <c r="Z267" s="17" t="s">
        <v>2003</v>
      </c>
    </row>
    <row r="268" spans="1:26" x14ac:dyDescent="0.35">
      <c r="A268" s="18" t="s">
        <v>1868</v>
      </c>
      <c r="B268" s="5" t="str">
        <f>IF(ISERROR(VLOOKUP(A268,RDPLP!A268:A293,1,0)),"N","Y")</f>
        <v>N</v>
      </c>
      <c r="C268" s="5" t="str">
        <f>IF(ISERROR(VLOOKUP(A268,'SCINET-PLP'!A:A,1,0)),"N","Y")</f>
        <v>N</v>
      </c>
      <c r="D268" s="5" t="str">
        <f>IF(ISERROR(VLOOKUP(A268,FLEXPLP!A:A,1,0)),"N","Y")</f>
        <v>N</v>
      </c>
      <c r="E268" s="5" t="str">
        <f>IF(ISERROR(VLOOKUP(A268,'ELN PLP'!A:A,1,0)),"N","Y")</f>
        <v>N</v>
      </c>
      <c r="F268" s="26">
        <f t="shared" si="14"/>
        <v>0</v>
      </c>
      <c r="G268" s="8" t="str">
        <f>IF(ISERROR(VLOOKUP(A268,RDPLP!D:D,1,0)),"N","Y")</f>
        <v>N</v>
      </c>
      <c r="H268" s="8" t="str">
        <f>IF(ISERROR(VLOOKUP(A268,'SCINET-PLP'!D:D,1,0)),"N","Y")</f>
        <v>N</v>
      </c>
      <c r="I268" s="8" t="str">
        <f>IF(ISERROR(VLOOKUP(A268,FLEXPLP!D:D,1,0)),"N","Y")</f>
        <v>N</v>
      </c>
      <c r="J268" s="8" t="str">
        <f>IF(ISERROR(VLOOKUP(A268,'ELN PLP'!D:D,1,0)),"N","Y")</f>
        <v>N</v>
      </c>
      <c r="K268" s="29">
        <f t="shared" si="15"/>
        <v>0</v>
      </c>
      <c r="L268" s="52" t="str">
        <f>IF(ISERROR(VLOOKUP(A268,RDPLP!G:G,1,0)),"N","Y")</f>
        <v>N</v>
      </c>
      <c r="M268" s="52" t="str">
        <f>IF(ISERROR(VLOOKUP(A268,'SCINET-PLP'!G:G,1,0)),"N","Y")</f>
        <v>N</v>
      </c>
      <c r="N268" s="52" t="str">
        <f>IF(ISERROR(VLOOKUP(A268,FLEXPLP!G:G,1,0)),"N","Y")</f>
        <v>N</v>
      </c>
      <c r="O268" s="52" t="str">
        <f>IF(ISERROR(VLOOKUP(A268,'ELN PLP'!G:G,1,0)),"N","Y")</f>
        <v>N</v>
      </c>
      <c r="P268" s="53">
        <f t="shared" si="16"/>
        <v>0</v>
      </c>
      <c r="R268" s="21">
        <f>IF(K268+F268&gt;0,1,0)</f>
        <v>0</v>
      </c>
      <c r="S268" s="24">
        <f>IF(ISERROR(VLOOKUP(A268,U:U,1,0)),0,1)</f>
        <v>0</v>
      </c>
      <c r="Z268" s="17" t="s">
        <v>2004</v>
      </c>
    </row>
    <row r="269" spans="1:26" x14ac:dyDescent="0.35">
      <c r="A269" s="18" t="s">
        <v>1871</v>
      </c>
      <c r="B269" s="5" t="str">
        <f>IF(ISERROR(VLOOKUP(A269,RDPLP!A269:A294,1,0)),"N","Y")</f>
        <v>N</v>
      </c>
      <c r="C269" s="5" t="str">
        <f>IF(ISERROR(VLOOKUP(A269,'SCINET-PLP'!A:A,1,0)),"N","Y")</f>
        <v>N</v>
      </c>
      <c r="D269" s="5" t="str">
        <f>IF(ISERROR(VLOOKUP(A269,FLEXPLP!A:A,1,0)),"N","Y")</f>
        <v>N</v>
      </c>
      <c r="E269" s="5" t="str">
        <f>IF(ISERROR(VLOOKUP(A269,'ELN PLP'!A:A,1,0)),"N","Y")</f>
        <v>N</v>
      </c>
      <c r="F269" s="26">
        <f t="shared" si="14"/>
        <v>0</v>
      </c>
      <c r="G269" s="8" t="str">
        <f>IF(ISERROR(VLOOKUP(A269,RDPLP!D:D,1,0)),"N","Y")</f>
        <v>N</v>
      </c>
      <c r="H269" s="8" t="str">
        <f>IF(ISERROR(VLOOKUP(A269,'SCINET-PLP'!D:D,1,0)),"N","Y")</f>
        <v>N</v>
      </c>
      <c r="I269" s="8" t="str">
        <f>IF(ISERROR(VLOOKUP(A269,FLEXPLP!D:D,1,0)),"N","Y")</f>
        <v>N</v>
      </c>
      <c r="J269" s="8" t="str">
        <f>IF(ISERROR(VLOOKUP(A269,'ELN PLP'!D:D,1,0)),"N","Y")</f>
        <v>N</v>
      </c>
      <c r="K269" s="29">
        <f t="shared" si="15"/>
        <v>0</v>
      </c>
      <c r="L269" s="52" t="str">
        <f>IF(ISERROR(VLOOKUP(A269,RDPLP!G:G,1,0)),"N","Y")</f>
        <v>N</v>
      </c>
      <c r="M269" s="52" t="str">
        <f>IF(ISERROR(VLOOKUP(A269,'SCINET-PLP'!G:G,1,0)),"N","Y")</f>
        <v>N</v>
      </c>
      <c r="N269" s="52" t="str">
        <f>IF(ISERROR(VLOOKUP(A269,FLEXPLP!G:G,1,0)),"N","Y")</f>
        <v>N</v>
      </c>
      <c r="O269" s="52" t="str">
        <f>IF(ISERROR(VLOOKUP(A269,'ELN PLP'!G:G,1,0)),"N","Y")</f>
        <v>N</v>
      </c>
      <c r="P269" s="53">
        <f t="shared" si="16"/>
        <v>0</v>
      </c>
      <c r="R269" s="21">
        <f>IF(K269+F269&gt;0,1,0)</f>
        <v>0</v>
      </c>
      <c r="S269" s="24">
        <f>IF(ISERROR(VLOOKUP(A269,U:U,1,0)),0,1)</f>
        <v>0</v>
      </c>
      <c r="Z269" s="17" t="s">
        <v>2005</v>
      </c>
    </row>
    <row r="270" spans="1:26" x14ac:dyDescent="0.35">
      <c r="A270" s="18" t="s">
        <v>1874</v>
      </c>
      <c r="B270" s="5" t="str">
        <f>IF(ISERROR(VLOOKUP(A270,RDPLP!A270:A295,1,0)),"N","Y")</f>
        <v>N</v>
      </c>
      <c r="C270" s="5" t="str">
        <f>IF(ISERROR(VLOOKUP(A270,'SCINET-PLP'!A:A,1,0)),"N","Y")</f>
        <v>N</v>
      </c>
      <c r="D270" s="5" t="str">
        <f>IF(ISERROR(VLOOKUP(A270,FLEXPLP!A:A,1,0)),"N","Y")</f>
        <v>N</v>
      </c>
      <c r="E270" s="5" t="str">
        <f>IF(ISERROR(VLOOKUP(A270,'ELN PLP'!A:A,1,0)),"N","Y")</f>
        <v>N</v>
      </c>
      <c r="F270" s="26">
        <f t="shared" si="14"/>
        <v>0</v>
      </c>
      <c r="G270" s="8" t="str">
        <f>IF(ISERROR(VLOOKUP(A270,RDPLP!D:D,1,0)),"N","Y")</f>
        <v>N</v>
      </c>
      <c r="H270" s="8" t="str">
        <f>IF(ISERROR(VLOOKUP(A270,'SCINET-PLP'!D:D,1,0)),"N","Y")</f>
        <v>N</v>
      </c>
      <c r="I270" s="8" t="str">
        <f>IF(ISERROR(VLOOKUP(A270,FLEXPLP!D:D,1,0)),"N","Y")</f>
        <v>N</v>
      </c>
      <c r="J270" s="8" t="str">
        <f>IF(ISERROR(VLOOKUP(A270,'ELN PLP'!D:D,1,0)),"N","Y")</f>
        <v>N</v>
      </c>
      <c r="K270" s="29">
        <f t="shared" si="15"/>
        <v>0</v>
      </c>
      <c r="L270" s="52" t="str">
        <f>IF(ISERROR(VLOOKUP(A270,RDPLP!G:G,1,0)),"N","Y")</f>
        <v>N</v>
      </c>
      <c r="M270" s="52" t="str">
        <f>IF(ISERROR(VLOOKUP(A270,'SCINET-PLP'!G:G,1,0)),"N","Y")</f>
        <v>N</v>
      </c>
      <c r="N270" s="52" t="str">
        <f>IF(ISERROR(VLOOKUP(A270,FLEXPLP!G:G,1,0)),"N","Y")</f>
        <v>N</v>
      </c>
      <c r="O270" s="52" t="str">
        <f>IF(ISERROR(VLOOKUP(A270,'ELN PLP'!G:G,1,0)),"N","Y")</f>
        <v>N</v>
      </c>
      <c r="P270" s="53">
        <f t="shared" si="16"/>
        <v>0</v>
      </c>
      <c r="R270" s="21">
        <f>IF(K270+F270&gt;0,1,0)</f>
        <v>0</v>
      </c>
      <c r="S270" s="24">
        <f>IF(ISERROR(VLOOKUP(A270,U:U,1,0)),0,1)</f>
        <v>0</v>
      </c>
      <c r="Z270" s="17" t="s">
        <v>2006</v>
      </c>
    </row>
    <row r="271" spans="1:26" x14ac:dyDescent="0.35">
      <c r="A271" s="18" t="s">
        <v>1878</v>
      </c>
      <c r="B271" s="5" t="str">
        <f>IF(ISERROR(VLOOKUP(A271,RDPLP!A271:A296,1,0)),"N","Y")</f>
        <v>N</v>
      </c>
      <c r="C271" s="5" t="str">
        <f>IF(ISERROR(VLOOKUP(A271,'SCINET-PLP'!A:A,1,0)),"N","Y")</f>
        <v>N</v>
      </c>
      <c r="D271" s="5" t="str">
        <f>IF(ISERROR(VLOOKUP(A271,FLEXPLP!A:A,1,0)),"N","Y")</f>
        <v>N</v>
      </c>
      <c r="E271" s="5" t="str">
        <f>IF(ISERROR(VLOOKUP(A271,'ELN PLP'!A:A,1,0)),"N","Y")</f>
        <v>N</v>
      </c>
      <c r="F271" s="26">
        <f t="shared" si="14"/>
        <v>0</v>
      </c>
      <c r="G271" s="8" t="str">
        <f>IF(ISERROR(VLOOKUP(A271,RDPLP!D:D,1,0)),"N","Y")</f>
        <v>N</v>
      </c>
      <c r="H271" s="8" t="str">
        <f>IF(ISERROR(VLOOKUP(A271,'SCINET-PLP'!D:D,1,0)),"N","Y")</f>
        <v>N</v>
      </c>
      <c r="I271" s="8" t="str">
        <f>IF(ISERROR(VLOOKUP(A271,FLEXPLP!D:D,1,0)),"N","Y")</f>
        <v>N</v>
      </c>
      <c r="J271" s="8" t="str">
        <f>IF(ISERROR(VLOOKUP(A271,'ELN PLP'!D:D,1,0)),"N","Y")</f>
        <v>N</v>
      </c>
      <c r="K271" s="29">
        <f t="shared" si="15"/>
        <v>0</v>
      </c>
      <c r="L271" s="52" t="str">
        <f>IF(ISERROR(VLOOKUP(A271,RDPLP!G:G,1,0)),"N","Y")</f>
        <v>N</v>
      </c>
      <c r="M271" s="52" t="str">
        <f>IF(ISERROR(VLOOKUP(A271,'SCINET-PLP'!G:G,1,0)),"N","Y")</f>
        <v>N</v>
      </c>
      <c r="N271" s="52" t="str">
        <f>IF(ISERROR(VLOOKUP(A271,FLEXPLP!G:G,1,0)),"N","Y")</f>
        <v>N</v>
      </c>
      <c r="O271" s="52" t="str">
        <f>IF(ISERROR(VLOOKUP(A271,'ELN PLP'!G:G,1,0)),"N","Y")</f>
        <v>N</v>
      </c>
      <c r="P271" s="53">
        <f t="shared" si="16"/>
        <v>0</v>
      </c>
      <c r="R271" s="21">
        <f>IF(K271+F271&gt;0,1,0)</f>
        <v>0</v>
      </c>
      <c r="S271" s="24">
        <f>IF(ISERROR(VLOOKUP(A271,U:U,1,0)),0,1)</f>
        <v>0</v>
      </c>
      <c r="Z271" s="17" t="s">
        <v>2007</v>
      </c>
    </row>
    <row r="272" spans="1:26" x14ac:dyDescent="0.35">
      <c r="A272" s="18" t="s">
        <v>1880</v>
      </c>
      <c r="B272" s="5" t="str">
        <f>IF(ISERROR(VLOOKUP(A272,RDPLP!A272:A297,1,0)),"N","Y")</f>
        <v>N</v>
      </c>
      <c r="C272" s="5" t="str">
        <f>IF(ISERROR(VLOOKUP(A272,'SCINET-PLP'!A:A,1,0)),"N","Y")</f>
        <v>N</v>
      </c>
      <c r="D272" s="5" t="str">
        <f>IF(ISERROR(VLOOKUP(A272,FLEXPLP!A:A,1,0)),"N","Y")</f>
        <v>N</v>
      </c>
      <c r="E272" s="5" t="str">
        <f>IF(ISERROR(VLOOKUP(A272,'ELN PLP'!A:A,1,0)),"N","Y")</f>
        <v>N</v>
      </c>
      <c r="F272" s="26">
        <f t="shared" si="14"/>
        <v>0</v>
      </c>
      <c r="G272" s="8" t="str">
        <f>IF(ISERROR(VLOOKUP(A272,RDPLP!D:D,1,0)),"N","Y")</f>
        <v>N</v>
      </c>
      <c r="H272" s="8" t="str">
        <f>IF(ISERROR(VLOOKUP(A272,'SCINET-PLP'!D:D,1,0)),"N","Y")</f>
        <v>N</v>
      </c>
      <c r="I272" s="8" t="str">
        <f>IF(ISERROR(VLOOKUP(A272,FLEXPLP!D:D,1,0)),"N","Y")</f>
        <v>N</v>
      </c>
      <c r="J272" s="8" t="str">
        <f>IF(ISERROR(VLOOKUP(A272,'ELN PLP'!D:D,1,0)),"N","Y")</f>
        <v>N</v>
      </c>
      <c r="K272" s="29">
        <f t="shared" si="15"/>
        <v>0</v>
      </c>
      <c r="L272" s="52" t="str">
        <f>IF(ISERROR(VLOOKUP(A272,RDPLP!G:G,1,0)),"N","Y")</f>
        <v>N</v>
      </c>
      <c r="M272" s="52" t="str">
        <f>IF(ISERROR(VLOOKUP(A272,'SCINET-PLP'!G:G,1,0)),"N","Y")</f>
        <v>N</v>
      </c>
      <c r="N272" s="52" t="str">
        <f>IF(ISERROR(VLOOKUP(A272,FLEXPLP!G:G,1,0)),"N","Y")</f>
        <v>N</v>
      </c>
      <c r="O272" s="52" t="str">
        <f>IF(ISERROR(VLOOKUP(A272,'ELN PLP'!G:G,1,0)),"N","Y")</f>
        <v>N</v>
      </c>
      <c r="P272" s="53">
        <f t="shared" si="16"/>
        <v>0</v>
      </c>
      <c r="R272" s="21">
        <f>IF(K272+F272&gt;0,1,0)</f>
        <v>0</v>
      </c>
      <c r="S272" s="24">
        <f>IF(ISERROR(VLOOKUP(A272,U:U,1,0)),0,1)</f>
        <v>0</v>
      </c>
      <c r="Z272" s="17" t="s">
        <v>92</v>
      </c>
    </row>
    <row r="273" spans="1:26" x14ac:dyDescent="0.35">
      <c r="A273" s="18" t="s">
        <v>1884</v>
      </c>
      <c r="B273" s="5" t="str">
        <f>IF(ISERROR(VLOOKUP(A273,RDPLP!A273:A298,1,0)),"N","Y")</f>
        <v>N</v>
      </c>
      <c r="C273" s="5" t="str">
        <f>IF(ISERROR(VLOOKUP(A273,'SCINET-PLP'!A:A,1,0)),"N","Y")</f>
        <v>N</v>
      </c>
      <c r="D273" s="5" t="str">
        <f>IF(ISERROR(VLOOKUP(A273,FLEXPLP!A:A,1,0)),"N","Y")</f>
        <v>N</v>
      </c>
      <c r="E273" s="5" t="str">
        <f>IF(ISERROR(VLOOKUP(A273,'ELN PLP'!A:A,1,0)),"N","Y")</f>
        <v>N</v>
      </c>
      <c r="F273" s="26">
        <f t="shared" si="14"/>
        <v>0</v>
      </c>
      <c r="G273" s="8" t="str">
        <f>IF(ISERROR(VLOOKUP(A273,RDPLP!D:D,1,0)),"N","Y")</f>
        <v>N</v>
      </c>
      <c r="H273" s="8" t="str">
        <f>IF(ISERROR(VLOOKUP(A273,'SCINET-PLP'!D:D,1,0)),"N","Y")</f>
        <v>N</v>
      </c>
      <c r="I273" s="8" t="str">
        <f>IF(ISERROR(VLOOKUP(A273,FLEXPLP!D:D,1,0)),"N","Y")</f>
        <v>N</v>
      </c>
      <c r="J273" s="8" t="str">
        <f>IF(ISERROR(VLOOKUP(A273,'ELN PLP'!D:D,1,0)),"N","Y")</f>
        <v>N</v>
      </c>
      <c r="K273" s="29">
        <f t="shared" si="15"/>
        <v>0</v>
      </c>
      <c r="L273" s="52" t="str">
        <f>IF(ISERROR(VLOOKUP(A273,RDPLP!G:G,1,0)),"N","Y")</f>
        <v>N</v>
      </c>
      <c r="M273" s="52" t="str">
        <f>IF(ISERROR(VLOOKUP(A273,'SCINET-PLP'!G:G,1,0)),"N","Y")</f>
        <v>N</v>
      </c>
      <c r="N273" s="52" t="str">
        <f>IF(ISERROR(VLOOKUP(A273,FLEXPLP!G:G,1,0)),"N","Y")</f>
        <v>N</v>
      </c>
      <c r="O273" s="52" t="str">
        <f>IF(ISERROR(VLOOKUP(A273,'ELN PLP'!G:G,1,0)),"N","Y")</f>
        <v>N</v>
      </c>
      <c r="P273" s="53">
        <f t="shared" si="16"/>
        <v>0</v>
      </c>
      <c r="R273" s="21">
        <f>IF(K273+F273&gt;0,1,0)</f>
        <v>0</v>
      </c>
      <c r="S273" s="24">
        <f>IF(ISERROR(VLOOKUP(A273,U:U,1,0)),0,1)</f>
        <v>0</v>
      </c>
      <c r="Z273" s="17" t="s">
        <v>2008</v>
      </c>
    </row>
    <row r="274" spans="1:26" x14ac:dyDescent="0.35">
      <c r="A274" s="18" t="s">
        <v>1887</v>
      </c>
      <c r="B274" s="5" t="str">
        <f>IF(ISERROR(VLOOKUP(A274,RDPLP!A274:A299,1,0)),"N","Y")</f>
        <v>N</v>
      </c>
      <c r="C274" s="5" t="str">
        <f>IF(ISERROR(VLOOKUP(A274,'SCINET-PLP'!A:A,1,0)),"N","Y")</f>
        <v>N</v>
      </c>
      <c r="D274" s="5" t="str">
        <f>IF(ISERROR(VLOOKUP(A274,FLEXPLP!A:A,1,0)),"N","Y")</f>
        <v>N</v>
      </c>
      <c r="E274" s="5" t="str">
        <f>IF(ISERROR(VLOOKUP(A274,'ELN PLP'!A:A,1,0)),"N","Y")</f>
        <v>N</v>
      </c>
      <c r="F274" s="26">
        <f t="shared" si="14"/>
        <v>0</v>
      </c>
      <c r="G274" s="8" t="str">
        <f>IF(ISERROR(VLOOKUP(A274,RDPLP!D:D,1,0)),"N","Y")</f>
        <v>N</v>
      </c>
      <c r="H274" s="8" t="str">
        <f>IF(ISERROR(VLOOKUP(A274,'SCINET-PLP'!D:D,1,0)),"N","Y")</f>
        <v>N</v>
      </c>
      <c r="I274" s="8" t="str">
        <f>IF(ISERROR(VLOOKUP(A274,FLEXPLP!D:D,1,0)),"N","Y")</f>
        <v>N</v>
      </c>
      <c r="J274" s="8" t="str">
        <f>IF(ISERROR(VLOOKUP(A274,'ELN PLP'!D:D,1,0)),"N","Y")</f>
        <v>N</v>
      </c>
      <c r="K274" s="29">
        <f t="shared" si="15"/>
        <v>0</v>
      </c>
      <c r="L274" s="52" t="str">
        <f>IF(ISERROR(VLOOKUP(A274,RDPLP!G:G,1,0)),"N","Y")</f>
        <v>N</v>
      </c>
      <c r="M274" s="52" t="str">
        <f>IF(ISERROR(VLOOKUP(A274,'SCINET-PLP'!G:G,1,0)),"N","Y")</f>
        <v>N</v>
      </c>
      <c r="N274" s="52" t="str">
        <f>IF(ISERROR(VLOOKUP(A274,FLEXPLP!G:G,1,0)),"N","Y")</f>
        <v>N</v>
      </c>
      <c r="O274" s="52" t="str">
        <f>IF(ISERROR(VLOOKUP(A274,'ELN PLP'!G:G,1,0)),"N","Y")</f>
        <v>N</v>
      </c>
      <c r="P274" s="53">
        <f t="shared" si="16"/>
        <v>0</v>
      </c>
      <c r="R274" s="21">
        <f>IF(K274+F274&gt;0,1,0)</f>
        <v>0</v>
      </c>
      <c r="S274" s="24">
        <f>IF(ISERROR(VLOOKUP(A274,U:U,1,0)),0,1)</f>
        <v>0</v>
      </c>
      <c r="Z274" s="17" t="s">
        <v>2009</v>
      </c>
    </row>
    <row r="275" spans="1:26" x14ac:dyDescent="0.35">
      <c r="A275" s="18" t="s">
        <v>1889</v>
      </c>
      <c r="B275" s="5" t="str">
        <f>IF(ISERROR(VLOOKUP(A275,RDPLP!A275:A300,1,0)),"N","Y")</f>
        <v>N</v>
      </c>
      <c r="C275" s="5" t="str">
        <f>IF(ISERROR(VLOOKUP(A275,'SCINET-PLP'!A:A,1,0)),"N","Y")</f>
        <v>N</v>
      </c>
      <c r="D275" s="5" t="str">
        <f>IF(ISERROR(VLOOKUP(A275,FLEXPLP!A:A,1,0)),"N","Y")</f>
        <v>N</v>
      </c>
      <c r="E275" s="5" t="str">
        <f>IF(ISERROR(VLOOKUP(A275,'ELN PLP'!A:A,1,0)),"N","Y")</f>
        <v>N</v>
      </c>
      <c r="F275" s="26">
        <f t="shared" si="14"/>
        <v>0</v>
      </c>
      <c r="G275" s="8" t="str">
        <f>IF(ISERROR(VLOOKUP(A275,RDPLP!D:D,1,0)),"N","Y")</f>
        <v>N</v>
      </c>
      <c r="H275" s="8" t="str">
        <f>IF(ISERROR(VLOOKUP(A275,'SCINET-PLP'!D:D,1,0)),"N","Y")</f>
        <v>N</v>
      </c>
      <c r="I275" s="8" t="str">
        <f>IF(ISERROR(VLOOKUP(A275,FLEXPLP!D:D,1,0)),"N","Y")</f>
        <v>N</v>
      </c>
      <c r="J275" s="8" t="str">
        <f>IF(ISERROR(VLOOKUP(A275,'ELN PLP'!D:D,1,0)),"N","Y")</f>
        <v>N</v>
      </c>
      <c r="K275" s="29">
        <f t="shared" si="15"/>
        <v>0</v>
      </c>
      <c r="L275" s="52" t="str">
        <f>IF(ISERROR(VLOOKUP(A275,RDPLP!G:G,1,0)),"N","Y")</f>
        <v>N</v>
      </c>
      <c r="M275" s="52" t="str">
        <f>IF(ISERROR(VLOOKUP(A275,'SCINET-PLP'!G:G,1,0)),"N","Y")</f>
        <v>N</v>
      </c>
      <c r="N275" s="52" t="str">
        <f>IF(ISERROR(VLOOKUP(A275,FLEXPLP!G:G,1,0)),"N","Y")</f>
        <v>N</v>
      </c>
      <c r="O275" s="52" t="str">
        <f>IF(ISERROR(VLOOKUP(A275,'ELN PLP'!G:G,1,0)),"N","Y")</f>
        <v>N</v>
      </c>
      <c r="P275" s="53">
        <f t="shared" si="16"/>
        <v>0</v>
      </c>
      <c r="R275" s="21">
        <f>IF(K275+F275&gt;0,1,0)</f>
        <v>0</v>
      </c>
      <c r="S275" s="24">
        <f>IF(ISERROR(VLOOKUP(A275,U:U,1,0)),0,1)</f>
        <v>0</v>
      </c>
      <c r="Z275" s="17" t="s">
        <v>2010</v>
      </c>
    </row>
    <row r="276" spans="1:26" x14ac:dyDescent="0.35">
      <c r="A276" s="18" t="s">
        <v>1891</v>
      </c>
      <c r="B276" s="5" t="str">
        <f>IF(ISERROR(VLOOKUP(A276,RDPLP!A276:A301,1,0)),"N","Y")</f>
        <v>N</v>
      </c>
      <c r="C276" s="5" t="str">
        <f>IF(ISERROR(VLOOKUP(A276,'SCINET-PLP'!A:A,1,0)),"N","Y")</f>
        <v>N</v>
      </c>
      <c r="D276" s="5" t="str">
        <f>IF(ISERROR(VLOOKUP(A276,FLEXPLP!A:A,1,0)),"N","Y")</f>
        <v>N</v>
      </c>
      <c r="E276" s="5" t="str">
        <f>IF(ISERROR(VLOOKUP(A276,'ELN PLP'!A:A,1,0)),"N","Y")</f>
        <v>N</v>
      </c>
      <c r="F276" s="26">
        <f t="shared" si="14"/>
        <v>0</v>
      </c>
      <c r="G276" s="8" t="str">
        <f>IF(ISERROR(VLOOKUP(A276,RDPLP!D:D,1,0)),"N","Y")</f>
        <v>N</v>
      </c>
      <c r="H276" s="8" t="str">
        <f>IF(ISERROR(VLOOKUP(A276,'SCINET-PLP'!D:D,1,0)),"N","Y")</f>
        <v>N</v>
      </c>
      <c r="I276" s="8" t="str">
        <f>IF(ISERROR(VLOOKUP(A276,FLEXPLP!D:D,1,0)),"N","Y")</f>
        <v>N</v>
      </c>
      <c r="J276" s="8" t="str">
        <f>IF(ISERROR(VLOOKUP(A276,'ELN PLP'!D:D,1,0)),"N","Y")</f>
        <v>N</v>
      </c>
      <c r="K276" s="29">
        <f t="shared" si="15"/>
        <v>0</v>
      </c>
      <c r="L276" s="52" t="str">
        <f>IF(ISERROR(VLOOKUP(A276,RDPLP!G:G,1,0)),"N","Y")</f>
        <v>N</v>
      </c>
      <c r="M276" s="52" t="str">
        <f>IF(ISERROR(VLOOKUP(A276,'SCINET-PLP'!G:G,1,0)),"N","Y")</f>
        <v>N</v>
      </c>
      <c r="N276" s="52" t="str">
        <f>IF(ISERROR(VLOOKUP(A276,FLEXPLP!G:G,1,0)),"N","Y")</f>
        <v>N</v>
      </c>
      <c r="O276" s="52" t="str">
        <f>IF(ISERROR(VLOOKUP(A276,'ELN PLP'!G:G,1,0)),"N","Y")</f>
        <v>N</v>
      </c>
      <c r="P276" s="53">
        <f t="shared" si="16"/>
        <v>0</v>
      </c>
      <c r="R276" s="21">
        <f>IF(K276+F276&gt;0,1,0)</f>
        <v>0</v>
      </c>
      <c r="S276" s="24">
        <f>IF(ISERROR(VLOOKUP(A276,U:U,1,0)),0,1)</f>
        <v>0</v>
      </c>
      <c r="Z276" s="17" t="s">
        <v>2011</v>
      </c>
    </row>
    <row r="277" spans="1:26" x14ac:dyDescent="0.35">
      <c r="A277" s="18" t="s">
        <v>1893</v>
      </c>
      <c r="B277" s="5" t="str">
        <f>IF(ISERROR(VLOOKUP(A277,RDPLP!A277:A302,1,0)),"N","Y")</f>
        <v>N</v>
      </c>
      <c r="C277" s="5" t="str">
        <f>IF(ISERROR(VLOOKUP(A277,'SCINET-PLP'!A:A,1,0)),"N","Y")</f>
        <v>N</v>
      </c>
      <c r="D277" s="5" t="str">
        <f>IF(ISERROR(VLOOKUP(A277,FLEXPLP!A:A,1,0)),"N","Y")</f>
        <v>N</v>
      </c>
      <c r="E277" s="5" t="str">
        <f>IF(ISERROR(VLOOKUP(A277,'ELN PLP'!A:A,1,0)),"N","Y")</f>
        <v>N</v>
      </c>
      <c r="F277" s="26">
        <f t="shared" si="14"/>
        <v>0</v>
      </c>
      <c r="G277" s="8" t="str">
        <f>IF(ISERROR(VLOOKUP(A277,RDPLP!D:D,1,0)),"N","Y")</f>
        <v>N</v>
      </c>
      <c r="H277" s="8" t="str">
        <f>IF(ISERROR(VLOOKUP(A277,'SCINET-PLP'!D:D,1,0)),"N","Y")</f>
        <v>N</v>
      </c>
      <c r="I277" s="8" t="str">
        <f>IF(ISERROR(VLOOKUP(A277,FLEXPLP!D:D,1,0)),"N","Y")</f>
        <v>N</v>
      </c>
      <c r="J277" s="8" t="str">
        <f>IF(ISERROR(VLOOKUP(A277,'ELN PLP'!D:D,1,0)),"N","Y")</f>
        <v>N</v>
      </c>
      <c r="K277" s="29">
        <f t="shared" si="15"/>
        <v>0</v>
      </c>
      <c r="L277" s="52" t="str">
        <f>IF(ISERROR(VLOOKUP(A277,RDPLP!G:G,1,0)),"N","Y")</f>
        <v>N</v>
      </c>
      <c r="M277" s="52" t="str">
        <f>IF(ISERROR(VLOOKUP(A277,'SCINET-PLP'!G:G,1,0)),"N","Y")</f>
        <v>N</v>
      </c>
      <c r="N277" s="52" t="str">
        <f>IF(ISERROR(VLOOKUP(A277,FLEXPLP!G:G,1,0)),"N","Y")</f>
        <v>N</v>
      </c>
      <c r="O277" s="52" t="str">
        <f>IF(ISERROR(VLOOKUP(A277,'ELN PLP'!G:G,1,0)),"N","Y")</f>
        <v>N</v>
      </c>
      <c r="P277" s="53">
        <f t="shared" si="16"/>
        <v>0</v>
      </c>
      <c r="R277" s="21">
        <f>IF(K277+F277&gt;0,1,0)</f>
        <v>0</v>
      </c>
      <c r="S277" s="24">
        <f>IF(ISERROR(VLOOKUP(A277,U:U,1,0)),0,1)</f>
        <v>0</v>
      </c>
      <c r="Z277" s="17" t="s">
        <v>2012</v>
      </c>
    </row>
    <row r="278" spans="1:26" x14ac:dyDescent="0.35">
      <c r="A278" s="18" t="s">
        <v>1896</v>
      </c>
      <c r="B278" s="5" t="str">
        <f>IF(ISERROR(VLOOKUP(A278,RDPLP!A278:A303,1,0)),"N","Y")</f>
        <v>N</v>
      </c>
      <c r="C278" s="5" t="str">
        <f>IF(ISERROR(VLOOKUP(A278,'SCINET-PLP'!A:A,1,0)),"N","Y")</f>
        <v>N</v>
      </c>
      <c r="D278" s="5" t="str">
        <f>IF(ISERROR(VLOOKUP(A278,FLEXPLP!A:A,1,0)),"N","Y")</f>
        <v>N</v>
      </c>
      <c r="E278" s="5" t="str">
        <f>IF(ISERROR(VLOOKUP(A278,'ELN PLP'!A:A,1,0)),"N","Y")</f>
        <v>N</v>
      </c>
      <c r="F278" s="26">
        <f t="shared" si="14"/>
        <v>0</v>
      </c>
      <c r="G278" s="8" t="str">
        <f>IF(ISERROR(VLOOKUP(A278,RDPLP!D:D,1,0)),"N","Y")</f>
        <v>N</v>
      </c>
      <c r="H278" s="8" t="str">
        <f>IF(ISERROR(VLOOKUP(A278,'SCINET-PLP'!D:D,1,0)),"N","Y")</f>
        <v>N</v>
      </c>
      <c r="I278" s="8" t="str">
        <f>IF(ISERROR(VLOOKUP(A278,FLEXPLP!D:D,1,0)),"N","Y")</f>
        <v>N</v>
      </c>
      <c r="J278" s="8" t="str">
        <f>IF(ISERROR(VLOOKUP(A278,'ELN PLP'!D:D,1,0)),"N","Y")</f>
        <v>N</v>
      </c>
      <c r="K278" s="29">
        <f t="shared" si="15"/>
        <v>0</v>
      </c>
      <c r="L278" s="52" t="str">
        <f>IF(ISERROR(VLOOKUP(A278,RDPLP!G:G,1,0)),"N","Y")</f>
        <v>N</v>
      </c>
      <c r="M278" s="52" t="str">
        <f>IF(ISERROR(VLOOKUP(A278,'SCINET-PLP'!G:G,1,0)),"N","Y")</f>
        <v>N</v>
      </c>
      <c r="N278" s="52" t="str">
        <f>IF(ISERROR(VLOOKUP(A278,FLEXPLP!G:G,1,0)),"N","Y")</f>
        <v>N</v>
      </c>
      <c r="O278" s="52" t="str">
        <f>IF(ISERROR(VLOOKUP(A278,'ELN PLP'!G:G,1,0)),"N","Y")</f>
        <v>N</v>
      </c>
      <c r="P278" s="53">
        <f t="shared" si="16"/>
        <v>0</v>
      </c>
      <c r="R278" s="21">
        <f>IF(K278+F278&gt;0,1,0)</f>
        <v>0</v>
      </c>
      <c r="S278" s="24">
        <f>IF(ISERROR(VLOOKUP(A278,U:U,1,0)),0,1)</f>
        <v>0</v>
      </c>
      <c r="Z278" s="17" t="s">
        <v>2013</v>
      </c>
    </row>
    <row r="279" spans="1:26" x14ac:dyDescent="0.35">
      <c r="A279" s="18" t="s">
        <v>1898</v>
      </c>
      <c r="B279" s="5" t="str">
        <f>IF(ISERROR(VLOOKUP(A279,RDPLP!A279:A304,1,0)),"N","Y")</f>
        <v>N</v>
      </c>
      <c r="C279" s="5" t="str">
        <f>IF(ISERROR(VLOOKUP(A279,'SCINET-PLP'!A:A,1,0)),"N","Y")</f>
        <v>N</v>
      </c>
      <c r="D279" s="5" t="str">
        <f>IF(ISERROR(VLOOKUP(A279,FLEXPLP!A:A,1,0)),"N","Y")</f>
        <v>N</v>
      </c>
      <c r="E279" s="5" t="str">
        <f>IF(ISERROR(VLOOKUP(A279,'ELN PLP'!A:A,1,0)),"N","Y")</f>
        <v>N</v>
      </c>
      <c r="F279" s="26">
        <f t="shared" si="14"/>
        <v>0</v>
      </c>
      <c r="G279" s="8" t="str">
        <f>IF(ISERROR(VLOOKUP(A279,RDPLP!D:D,1,0)),"N","Y")</f>
        <v>N</v>
      </c>
      <c r="H279" s="8" t="str">
        <f>IF(ISERROR(VLOOKUP(A279,'SCINET-PLP'!D:D,1,0)),"N","Y")</f>
        <v>N</v>
      </c>
      <c r="I279" s="8" t="str">
        <f>IF(ISERROR(VLOOKUP(A279,FLEXPLP!D:D,1,0)),"N","Y")</f>
        <v>N</v>
      </c>
      <c r="J279" s="8" t="str">
        <f>IF(ISERROR(VLOOKUP(A279,'ELN PLP'!D:D,1,0)),"N","Y")</f>
        <v>N</v>
      </c>
      <c r="K279" s="29">
        <f t="shared" si="15"/>
        <v>0</v>
      </c>
      <c r="L279" s="52" t="str">
        <f>IF(ISERROR(VLOOKUP(A279,RDPLP!G:G,1,0)),"N","Y")</f>
        <v>N</v>
      </c>
      <c r="M279" s="52" t="str">
        <f>IF(ISERROR(VLOOKUP(A279,'SCINET-PLP'!G:G,1,0)),"N","Y")</f>
        <v>N</v>
      </c>
      <c r="N279" s="52" t="str">
        <f>IF(ISERROR(VLOOKUP(A279,FLEXPLP!G:G,1,0)),"N","Y")</f>
        <v>N</v>
      </c>
      <c r="O279" s="52" t="str">
        <f>IF(ISERROR(VLOOKUP(A279,'ELN PLP'!G:G,1,0)),"N","Y")</f>
        <v>N</v>
      </c>
      <c r="P279" s="53">
        <f t="shared" si="16"/>
        <v>0</v>
      </c>
      <c r="R279" s="21">
        <f>IF(K279+F279&gt;0,1,0)</f>
        <v>0</v>
      </c>
      <c r="S279" s="24">
        <f>IF(ISERROR(VLOOKUP(A279,U:U,1,0)),0,1)</f>
        <v>0</v>
      </c>
      <c r="Z279" s="17" t="s">
        <v>2014</v>
      </c>
    </row>
    <row r="280" spans="1:26" x14ac:dyDescent="0.35">
      <c r="A280" s="18" t="s">
        <v>1900</v>
      </c>
      <c r="B280" s="5" t="str">
        <f>IF(ISERROR(VLOOKUP(A280,RDPLP!A280:A305,1,0)),"N","Y")</f>
        <v>N</v>
      </c>
      <c r="C280" s="5" t="str">
        <f>IF(ISERROR(VLOOKUP(A280,'SCINET-PLP'!A:A,1,0)),"N","Y")</f>
        <v>N</v>
      </c>
      <c r="D280" s="5" t="str">
        <f>IF(ISERROR(VLOOKUP(A280,FLEXPLP!A:A,1,0)),"N","Y")</f>
        <v>N</v>
      </c>
      <c r="E280" s="5" t="str">
        <f>IF(ISERROR(VLOOKUP(A280,'ELN PLP'!A:A,1,0)),"N","Y")</f>
        <v>N</v>
      </c>
      <c r="F280" s="26">
        <f t="shared" si="14"/>
        <v>0</v>
      </c>
      <c r="G280" s="8" t="str">
        <f>IF(ISERROR(VLOOKUP(A280,RDPLP!D:D,1,0)),"N","Y")</f>
        <v>N</v>
      </c>
      <c r="H280" s="8" t="str">
        <f>IF(ISERROR(VLOOKUP(A280,'SCINET-PLP'!D:D,1,0)),"N","Y")</f>
        <v>N</v>
      </c>
      <c r="I280" s="8" t="str">
        <f>IF(ISERROR(VLOOKUP(A280,FLEXPLP!D:D,1,0)),"N","Y")</f>
        <v>N</v>
      </c>
      <c r="J280" s="8" t="str">
        <f>IF(ISERROR(VLOOKUP(A280,'ELN PLP'!D:D,1,0)),"N","Y")</f>
        <v>N</v>
      </c>
      <c r="K280" s="29">
        <f t="shared" si="15"/>
        <v>0</v>
      </c>
      <c r="L280" s="52" t="str">
        <f>IF(ISERROR(VLOOKUP(A280,RDPLP!G:G,1,0)),"N","Y")</f>
        <v>N</v>
      </c>
      <c r="M280" s="52" t="str">
        <f>IF(ISERROR(VLOOKUP(A280,'SCINET-PLP'!G:G,1,0)),"N","Y")</f>
        <v>N</v>
      </c>
      <c r="N280" s="52" t="str">
        <f>IF(ISERROR(VLOOKUP(A280,FLEXPLP!G:G,1,0)),"N","Y")</f>
        <v>N</v>
      </c>
      <c r="O280" s="52" t="str">
        <f>IF(ISERROR(VLOOKUP(A280,'ELN PLP'!G:G,1,0)),"N","Y")</f>
        <v>N</v>
      </c>
      <c r="P280" s="53">
        <f t="shared" si="16"/>
        <v>0</v>
      </c>
      <c r="R280" s="21">
        <f>IF(K280+F280&gt;0,1,0)</f>
        <v>0</v>
      </c>
      <c r="S280" s="24">
        <f>IF(ISERROR(VLOOKUP(A280,U:U,1,0)),0,1)</f>
        <v>0</v>
      </c>
      <c r="Z280" s="16"/>
    </row>
    <row r="281" spans="1:26" x14ac:dyDescent="0.35">
      <c r="A281" s="18" t="s">
        <v>1902</v>
      </c>
      <c r="B281" s="5" t="str">
        <f>IF(ISERROR(VLOOKUP(A281,RDPLP!A281:A306,1,0)),"N","Y")</f>
        <v>N</v>
      </c>
      <c r="C281" s="5" t="str">
        <f>IF(ISERROR(VLOOKUP(A281,'SCINET-PLP'!A:A,1,0)),"N","Y")</f>
        <v>N</v>
      </c>
      <c r="D281" s="5" t="str">
        <f>IF(ISERROR(VLOOKUP(A281,FLEXPLP!A:A,1,0)),"N","Y")</f>
        <v>N</v>
      </c>
      <c r="E281" s="5" t="str">
        <f>IF(ISERROR(VLOOKUP(A281,'ELN PLP'!A:A,1,0)),"N","Y")</f>
        <v>N</v>
      </c>
      <c r="F281" s="26">
        <f t="shared" si="14"/>
        <v>0</v>
      </c>
      <c r="G281" s="8" t="str">
        <f>IF(ISERROR(VLOOKUP(A281,RDPLP!D:D,1,0)),"N","Y")</f>
        <v>N</v>
      </c>
      <c r="H281" s="8" t="str">
        <f>IF(ISERROR(VLOOKUP(A281,'SCINET-PLP'!D:D,1,0)),"N","Y")</f>
        <v>N</v>
      </c>
      <c r="I281" s="8" t="str">
        <f>IF(ISERROR(VLOOKUP(A281,FLEXPLP!D:D,1,0)),"N","Y")</f>
        <v>N</v>
      </c>
      <c r="J281" s="8" t="str">
        <f>IF(ISERROR(VLOOKUP(A281,'ELN PLP'!D:D,1,0)),"N","Y")</f>
        <v>N</v>
      </c>
      <c r="K281" s="29">
        <f t="shared" si="15"/>
        <v>0</v>
      </c>
      <c r="L281" s="52" t="str">
        <f>IF(ISERROR(VLOOKUP(A281,RDPLP!G:G,1,0)),"N","Y")</f>
        <v>N</v>
      </c>
      <c r="M281" s="52" t="str">
        <f>IF(ISERROR(VLOOKUP(A281,'SCINET-PLP'!G:G,1,0)),"N","Y")</f>
        <v>N</v>
      </c>
      <c r="N281" s="52" t="str">
        <f>IF(ISERROR(VLOOKUP(A281,FLEXPLP!G:G,1,0)),"N","Y")</f>
        <v>N</v>
      </c>
      <c r="O281" s="52" t="str">
        <f>IF(ISERROR(VLOOKUP(A281,'ELN PLP'!G:G,1,0)),"N","Y")</f>
        <v>N</v>
      </c>
      <c r="P281" s="53">
        <f t="shared" si="16"/>
        <v>0</v>
      </c>
      <c r="R281" s="21">
        <f>IF(K281+F281&gt;0,1,0)</f>
        <v>0</v>
      </c>
      <c r="S281" s="24">
        <f>IF(ISERROR(VLOOKUP(A281,U:U,1,0)),0,1)</f>
        <v>0</v>
      </c>
      <c r="Z281" s="16"/>
    </row>
    <row r="282" spans="1:26" x14ac:dyDescent="0.35">
      <c r="A282" s="18" t="s">
        <v>1905</v>
      </c>
      <c r="B282" s="5" t="str">
        <f>IF(ISERROR(VLOOKUP(A282,RDPLP!A282:A307,1,0)),"N","Y")</f>
        <v>N</v>
      </c>
      <c r="C282" s="5" t="str">
        <f>IF(ISERROR(VLOOKUP(A282,'SCINET-PLP'!A:A,1,0)),"N","Y")</f>
        <v>N</v>
      </c>
      <c r="D282" s="5" t="str">
        <f>IF(ISERROR(VLOOKUP(A282,FLEXPLP!A:A,1,0)),"N","Y")</f>
        <v>N</v>
      </c>
      <c r="E282" s="5" t="str">
        <f>IF(ISERROR(VLOOKUP(A282,'ELN PLP'!A:A,1,0)),"N","Y")</f>
        <v>N</v>
      </c>
      <c r="F282" s="26">
        <f t="shared" si="14"/>
        <v>0</v>
      </c>
      <c r="G282" s="8" t="str">
        <f>IF(ISERROR(VLOOKUP(A282,RDPLP!D:D,1,0)),"N","Y")</f>
        <v>N</v>
      </c>
      <c r="H282" s="8" t="str">
        <f>IF(ISERROR(VLOOKUP(A282,'SCINET-PLP'!D:D,1,0)),"N","Y")</f>
        <v>N</v>
      </c>
      <c r="I282" s="8" t="str">
        <f>IF(ISERROR(VLOOKUP(A282,FLEXPLP!D:D,1,0)),"N","Y")</f>
        <v>N</v>
      </c>
      <c r="J282" s="8" t="str">
        <f>IF(ISERROR(VLOOKUP(A282,'ELN PLP'!D:D,1,0)),"N","Y")</f>
        <v>N</v>
      </c>
      <c r="K282" s="29">
        <f t="shared" si="15"/>
        <v>0</v>
      </c>
      <c r="L282" s="52" t="str">
        <f>IF(ISERROR(VLOOKUP(A282,RDPLP!G:G,1,0)),"N","Y")</f>
        <v>N</v>
      </c>
      <c r="M282" s="52" t="str">
        <f>IF(ISERROR(VLOOKUP(A282,'SCINET-PLP'!G:G,1,0)),"N","Y")</f>
        <v>N</v>
      </c>
      <c r="N282" s="52" t="str">
        <f>IF(ISERROR(VLOOKUP(A282,FLEXPLP!G:G,1,0)),"N","Y")</f>
        <v>N</v>
      </c>
      <c r="O282" s="52" t="str">
        <f>IF(ISERROR(VLOOKUP(A282,'ELN PLP'!G:G,1,0)),"N","Y")</f>
        <v>N</v>
      </c>
      <c r="P282" s="53">
        <f t="shared" si="16"/>
        <v>0</v>
      </c>
      <c r="R282" s="21">
        <f>IF(K282+F282&gt;0,1,0)</f>
        <v>0</v>
      </c>
      <c r="S282" s="24">
        <f>IF(ISERROR(VLOOKUP(A282,U:U,1,0)),0,1)</f>
        <v>0</v>
      </c>
      <c r="Z282" s="16"/>
    </row>
    <row r="283" spans="1:26" x14ac:dyDescent="0.35">
      <c r="A283" s="18" t="s">
        <v>1909</v>
      </c>
      <c r="B283" s="5" t="str">
        <f>IF(ISERROR(VLOOKUP(A283,RDPLP!A283:A308,1,0)),"N","Y")</f>
        <v>N</v>
      </c>
      <c r="C283" s="5" t="str">
        <f>IF(ISERROR(VLOOKUP(A283,'SCINET-PLP'!A:A,1,0)),"N","Y")</f>
        <v>N</v>
      </c>
      <c r="D283" s="5" t="str">
        <f>IF(ISERROR(VLOOKUP(A283,FLEXPLP!A:A,1,0)),"N","Y")</f>
        <v>N</v>
      </c>
      <c r="E283" s="5" t="str">
        <f>IF(ISERROR(VLOOKUP(A283,'ELN PLP'!A:A,1,0)),"N","Y")</f>
        <v>N</v>
      </c>
      <c r="F283" s="26">
        <f t="shared" si="14"/>
        <v>0</v>
      </c>
      <c r="G283" s="8" t="str">
        <f>IF(ISERROR(VLOOKUP(A283,RDPLP!D:D,1,0)),"N","Y")</f>
        <v>N</v>
      </c>
      <c r="H283" s="8" t="str">
        <f>IF(ISERROR(VLOOKUP(A283,'SCINET-PLP'!D:D,1,0)),"N","Y")</f>
        <v>N</v>
      </c>
      <c r="I283" s="8" t="str">
        <f>IF(ISERROR(VLOOKUP(A283,FLEXPLP!D:D,1,0)),"N","Y")</f>
        <v>N</v>
      </c>
      <c r="J283" s="8" t="str">
        <f>IF(ISERROR(VLOOKUP(A283,'ELN PLP'!D:D,1,0)),"N","Y")</f>
        <v>N</v>
      </c>
      <c r="K283" s="29">
        <f t="shared" si="15"/>
        <v>0</v>
      </c>
      <c r="L283" s="52" t="str">
        <f>IF(ISERROR(VLOOKUP(A283,RDPLP!G:G,1,0)),"N","Y")</f>
        <v>N</v>
      </c>
      <c r="M283" s="52" t="str">
        <f>IF(ISERROR(VLOOKUP(A283,'SCINET-PLP'!G:G,1,0)),"N","Y")</f>
        <v>N</v>
      </c>
      <c r="N283" s="52" t="str">
        <f>IF(ISERROR(VLOOKUP(A283,FLEXPLP!G:G,1,0)),"N","Y")</f>
        <v>N</v>
      </c>
      <c r="O283" s="52" t="str">
        <f>IF(ISERROR(VLOOKUP(A283,'ELN PLP'!G:G,1,0)),"N","Y")</f>
        <v>N</v>
      </c>
      <c r="P283" s="53">
        <f t="shared" si="16"/>
        <v>0</v>
      </c>
      <c r="R283" s="21">
        <f>IF(K283+F283&gt;0,1,0)</f>
        <v>0</v>
      </c>
      <c r="S283" s="24">
        <f>IF(ISERROR(VLOOKUP(A283,U:U,1,0)),0,1)</f>
        <v>0</v>
      </c>
      <c r="Z283" s="16"/>
    </row>
    <row r="284" spans="1:26" x14ac:dyDescent="0.35">
      <c r="A284" s="18" t="s">
        <v>1912</v>
      </c>
      <c r="B284" s="5" t="str">
        <f>IF(ISERROR(VLOOKUP(A284,RDPLP!A284:A309,1,0)),"N","Y")</f>
        <v>N</v>
      </c>
      <c r="C284" s="5" t="str">
        <f>IF(ISERROR(VLOOKUP(A284,'SCINET-PLP'!A:A,1,0)),"N","Y")</f>
        <v>N</v>
      </c>
      <c r="D284" s="5" t="str">
        <f>IF(ISERROR(VLOOKUP(A284,FLEXPLP!A:A,1,0)),"N","Y")</f>
        <v>N</v>
      </c>
      <c r="E284" s="5" t="str">
        <f>IF(ISERROR(VLOOKUP(A284,'ELN PLP'!A:A,1,0)),"N","Y")</f>
        <v>N</v>
      </c>
      <c r="F284" s="26">
        <f t="shared" si="14"/>
        <v>0</v>
      </c>
      <c r="G284" s="8" t="str">
        <f>IF(ISERROR(VLOOKUP(A284,RDPLP!D:D,1,0)),"N","Y")</f>
        <v>N</v>
      </c>
      <c r="H284" s="8" t="str">
        <f>IF(ISERROR(VLOOKUP(A284,'SCINET-PLP'!D:D,1,0)),"N","Y")</f>
        <v>N</v>
      </c>
      <c r="I284" s="8" t="str">
        <f>IF(ISERROR(VLOOKUP(A284,FLEXPLP!D:D,1,0)),"N","Y")</f>
        <v>N</v>
      </c>
      <c r="J284" s="8" t="str">
        <f>IF(ISERROR(VLOOKUP(A284,'ELN PLP'!D:D,1,0)),"N","Y")</f>
        <v>N</v>
      </c>
      <c r="K284" s="29">
        <f t="shared" si="15"/>
        <v>0</v>
      </c>
      <c r="L284" s="52" t="str">
        <f>IF(ISERROR(VLOOKUP(A284,RDPLP!G:G,1,0)),"N","Y")</f>
        <v>N</v>
      </c>
      <c r="M284" s="52" t="str">
        <f>IF(ISERROR(VLOOKUP(A284,'SCINET-PLP'!G:G,1,0)),"N","Y")</f>
        <v>N</v>
      </c>
      <c r="N284" s="52" t="str">
        <f>IF(ISERROR(VLOOKUP(A284,FLEXPLP!G:G,1,0)),"N","Y")</f>
        <v>N</v>
      </c>
      <c r="O284" s="52" t="str">
        <f>IF(ISERROR(VLOOKUP(A284,'ELN PLP'!G:G,1,0)),"N","Y")</f>
        <v>N</v>
      </c>
      <c r="P284" s="53">
        <f t="shared" si="16"/>
        <v>0</v>
      </c>
      <c r="R284" s="21">
        <f>IF(K284+F284&gt;0,1,0)</f>
        <v>0</v>
      </c>
      <c r="S284" s="24">
        <f>IF(ISERROR(VLOOKUP(A284,U:U,1,0)),0,1)</f>
        <v>0</v>
      </c>
      <c r="Z284" s="16"/>
    </row>
    <row r="285" spans="1:26" x14ac:dyDescent="0.35">
      <c r="A285" s="18" t="s">
        <v>1915</v>
      </c>
      <c r="B285" s="5" t="str">
        <f>IF(ISERROR(VLOOKUP(A285,RDPLP!A285:A310,1,0)),"N","Y")</f>
        <v>N</v>
      </c>
      <c r="C285" s="5" t="str">
        <f>IF(ISERROR(VLOOKUP(A285,'SCINET-PLP'!A:A,1,0)),"N","Y")</f>
        <v>N</v>
      </c>
      <c r="D285" s="5" t="str">
        <f>IF(ISERROR(VLOOKUP(A285,FLEXPLP!A:A,1,0)),"N","Y")</f>
        <v>N</v>
      </c>
      <c r="E285" s="5" t="str">
        <f>IF(ISERROR(VLOOKUP(A285,'ELN PLP'!A:A,1,0)),"N","Y")</f>
        <v>N</v>
      </c>
      <c r="F285" s="26">
        <f t="shared" si="14"/>
        <v>0</v>
      </c>
      <c r="G285" s="8" t="str">
        <f>IF(ISERROR(VLOOKUP(A285,RDPLP!D:D,1,0)),"N","Y")</f>
        <v>N</v>
      </c>
      <c r="H285" s="8" t="str">
        <f>IF(ISERROR(VLOOKUP(A285,'SCINET-PLP'!D:D,1,0)),"N","Y")</f>
        <v>N</v>
      </c>
      <c r="I285" s="8" t="str">
        <f>IF(ISERROR(VLOOKUP(A285,FLEXPLP!D:D,1,0)),"N","Y")</f>
        <v>N</v>
      </c>
      <c r="J285" s="8" t="str">
        <f>IF(ISERROR(VLOOKUP(A285,'ELN PLP'!D:D,1,0)),"N","Y")</f>
        <v>N</v>
      </c>
      <c r="K285" s="29">
        <f t="shared" si="15"/>
        <v>0</v>
      </c>
      <c r="L285" s="52" t="str">
        <f>IF(ISERROR(VLOOKUP(A285,RDPLP!G:G,1,0)),"N","Y")</f>
        <v>N</v>
      </c>
      <c r="M285" s="52" t="str">
        <f>IF(ISERROR(VLOOKUP(A285,'SCINET-PLP'!G:G,1,0)),"N","Y")</f>
        <v>N</v>
      </c>
      <c r="N285" s="52" t="str">
        <f>IF(ISERROR(VLOOKUP(A285,FLEXPLP!G:G,1,0)),"N","Y")</f>
        <v>N</v>
      </c>
      <c r="O285" s="52" t="str">
        <f>IF(ISERROR(VLOOKUP(A285,'ELN PLP'!G:G,1,0)),"N","Y")</f>
        <v>N</v>
      </c>
      <c r="P285" s="53">
        <f t="shared" si="16"/>
        <v>0</v>
      </c>
      <c r="R285" s="21">
        <f>IF(K285+F285&gt;0,1,0)</f>
        <v>0</v>
      </c>
      <c r="S285" s="24">
        <f>IF(ISERROR(VLOOKUP(A285,U:U,1,0)),0,1)</f>
        <v>0</v>
      </c>
      <c r="Z285" s="16"/>
    </row>
    <row r="286" spans="1:26" x14ac:dyDescent="0.35">
      <c r="A286" s="18" t="s">
        <v>1918</v>
      </c>
      <c r="B286" s="5" t="str">
        <f>IF(ISERROR(VLOOKUP(A286,RDPLP!A286:A311,1,0)),"N","Y")</f>
        <v>N</v>
      </c>
      <c r="C286" s="5" t="str">
        <f>IF(ISERROR(VLOOKUP(A286,'SCINET-PLP'!A:A,1,0)),"N","Y")</f>
        <v>N</v>
      </c>
      <c r="D286" s="5" t="str">
        <f>IF(ISERROR(VLOOKUP(A286,FLEXPLP!A:A,1,0)),"N","Y")</f>
        <v>N</v>
      </c>
      <c r="E286" s="5" t="str">
        <f>IF(ISERROR(VLOOKUP(A286,'ELN PLP'!A:A,1,0)),"N","Y")</f>
        <v>N</v>
      </c>
      <c r="F286" s="26">
        <f t="shared" si="14"/>
        <v>0</v>
      </c>
      <c r="G286" s="8" t="str">
        <f>IF(ISERROR(VLOOKUP(A286,RDPLP!D:D,1,0)),"N","Y")</f>
        <v>N</v>
      </c>
      <c r="H286" s="8" t="str">
        <f>IF(ISERROR(VLOOKUP(A286,'SCINET-PLP'!D:D,1,0)),"N","Y")</f>
        <v>N</v>
      </c>
      <c r="I286" s="8" t="str">
        <f>IF(ISERROR(VLOOKUP(A286,FLEXPLP!D:D,1,0)),"N","Y")</f>
        <v>N</v>
      </c>
      <c r="J286" s="8" t="str">
        <f>IF(ISERROR(VLOOKUP(A286,'ELN PLP'!D:D,1,0)),"N","Y")</f>
        <v>N</v>
      </c>
      <c r="K286" s="29">
        <f t="shared" si="15"/>
        <v>0</v>
      </c>
      <c r="L286" s="52" t="str">
        <f>IF(ISERROR(VLOOKUP(A286,RDPLP!G:G,1,0)),"N","Y")</f>
        <v>N</v>
      </c>
      <c r="M286" s="52" t="str">
        <f>IF(ISERROR(VLOOKUP(A286,'SCINET-PLP'!G:G,1,0)),"N","Y")</f>
        <v>N</v>
      </c>
      <c r="N286" s="52" t="str">
        <f>IF(ISERROR(VLOOKUP(A286,FLEXPLP!G:G,1,0)),"N","Y")</f>
        <v>N</v>
      </c>
      <c r="O286" s="52" t="str">
        <f>IF(ISERROR(VLOOKUP(A286,'ELN PLP'!G:G,1,0)),"N","Y")</f>
        <v>N</v>
      </c>
      <c r="P286" s="53">
        <f t="shared" si="16"/>
        <v>0</v>
      </c>
      <c r="R286" s="21">
        <f>IF(K286+F286&gt;0,1,0)</f>
        <v>0</v>
      </c>
      <c r="S286" s="24">
        <f>IF(ISERROR(VLOOKUP(A286,U:U,1,0)),0,1)</f>
        <v>0</v>
      </c>
      <c r="Z286" s="16"/>
    </row>
    <row r="287" spans="1:26" x14ac:dyDescent="0.35">
      <c r="A287" s="18" t="s">
        <v>1921</v>
      </c>
      <c r="B287" s="5" t="str">
        <f>IF(ISERROR(VLOOKUP(A287,RDPLP!A287:A312,1,0)),"N","Y")</f>
        <v>N</v>
      </c>
      <c r="C287" s="5" t="str">
        <f>IF(ISERROR(VLOOKUP(A287,'SCINET-PLP'!A:A,1,0)),"N","Y")</f>
        <v>N</v>
      </c>
      <c r="D287" s="5" t="str">
        <f>IF(ISERROR(VLOOKUP(A287,FLEXPLP!A:A,1,0)),"N","Y")</f>
        <v>N</v>
      </c>
      <c r="E287" s="5" t="str">
        <f>IF(ISERROR(VLOOKUP(A287,'ELN PLP'!A:A,1,0)),"N","Y")</f>
        <v>N</v>
      </c>
      <c r="F287" s="26">
        <f t="shared" si="14"/>
        <v>0</v>
      </c>
      <c r="G287" s="8" t="str">
        <f>IF(ISERROR(VLOOKUP(A287,RDPLP!D:D,1,0)),"N","Y")</f>
        <v>N</v>
      </c>
      <c r="H287" s="8" t="str">
        <f>IF(ISERROR(VLOOKUP(A287,'SCINET-PLP'!D:D,1,0)),"N","Y")</f>
        <v>N</v>
      </c>
      <c r="I287" s="8" t="str">
        <f>IF(ISERROR(VLOOKUP(A287,FLEXPLP!D:D,1,0)),"N","Y")</f>
        <v>N</v>
      </c>
      <c r="J287" s="8" t="str">
        <f>IF(ISERROR(VLOOKUP(A287,'ELN PLP'!D:D,1,0)),"N","Y")</f>
        <v>N</v>
      </c>
      <c r="K287" s="29">
        <f t="shared" si="15"/>
        <v>0</v>
      </c>
      <c r="L287" s="52" t="str">
        <f>IF(ISERROR(VLOOKUP(A287,RDPLP!G:G,1,0)),"N","Y")</f>
        <v>N</v>
      </c>
      <c r="M287" s="52" t="str">
        <f>IF(ISERROR(VLOOKUP(A287,'SCINET-PLP'!G:G,1,0)),"N","Y")</f>
        <v>N</v>
      </c>
      <c r="N287" s="52" t="str">
        <f>IF(ISERROR(VLOOKUP(A287,FLEXPLP!G:G,1,0)),"N","Y")</f>
        <v>N</v>
      </c>
      <c r="O287" s="52" t="str">
        <f>IF(ISERROR(VLOOKUP(A287,'ELN PLP'!G:G,1,0)),"N","Y")</f>
        <v>N</v>
      </c>
      <c r="P287" s="53">
        <f t="shared" si="16"/>
        <v>0</v>
      </c>
      <c r="R287" s="21">
        <f>IF(K287+F287&gt;0,1,0)</f>
        <v>0</v>
      </c>
      <c r="S287" s="24">
        <f>IF(ISERROR(VLOOKUP(A287,U:U,1,0)),0,1)</f>
        <v>0</v>
      </c>
      <c r="Z287" s="16"/>
    </row>
    <row r="288" spans="1:26" x14ac:dyDescent="0.35">
      <c r="A288" s="18" t="s">
        <v>1925</v>
      </c>
      <c r="B288" s="5" t="str">
        <f>IF(ISERROR(VLOOKUP(A288,RDPLP!A288:A313,1,0)),"N","Y")</f>
        <v>N</v>
      </c>
      <c r="C288" s="5" t="str">
        <f>IF(ISERROR(VLOOKUP(A288,'SCINET-PLP'!A:A,1,0)),"N","Y")</f>
        <v>N</v>
      </c>
      <c r="D288" s="5" t="str">
        <f>IF(ISERROR(VLOOKUP(A288,FLEXPLP!A:A,1,0)),"N","Y")</f>
        <v>N</v>
      </c>
      <c r="E288" s="5" t="str">
        <f>IF(ISERROR(VLOOKUP(A288,'ELN PLP'!A:A,1,0)),"N","Y")</f>
        <v>N</v>
      </c>
      <c r="F288" s="26">
        <f t="shared" si="14"/>
        <v>0</v>
      </c>
      <c r="G288" s="8" t="str">
        <f>IF(ISERROR(VLOOKUP(A288,RDPLP!D:D,1,0)),"N","Y")</f>
        <v>N</v>
      </c>
      <c r="H288" s="8" t="str">
        <f>IF(ISERROR(VLOOKUP(A288,'SCINET-PLP'!D:D,1,0)),"N","Y")</f>
        <v>N</v>
      </c>
      <c r="I288" s="8" t="str">
        <f>IF(ISERROR(VLOOKUP(A288,FLEXPLP!D:D,1,0)),"N","Y")</f>
        <v>N</v>
      </c>
      <c r="J288" s="8" t="str">
        <f>IF(ISERROR(VLOOKUP(A288,'ELN PLP'!D:D,1,0)),"N","Y")</f>
        <v>N</v>
      </c>
      <c r="K288" s="29">
        <f t="shared" si="15"/>
        <v>0</v>
      </c>
      <c r="L288" s="52" t="str">
        <f>IF(ISERROR(VLOOKUP(A288,RDPLP!G:G,1,0)),"N","Y")</f>
        <v>N</v>
      </c>
      <c r="M288" s="52" t="str">
        <f>IF(ISERROR(VLOOKUP(A288,'SCINET-PLP'!G:G,1,0)),"N","Y")</f>
        <v>N</v>
      </c>
      <c r="N288" s="52" t="str">
        <f>IF(ISERROR(VLOOKUP(A288,FLEXPLP!G:G,1,0)),"N","Y")</f>
        <v>N</v>
      </c>
      <c r="O288" s="52" t="str">
        <f>IF(ISERROR(VLOOKUP(A288,'ELN PLP'!G:G,1,0)),"N","Y")</f>
        <v>N</v>
      </c>
      <c r="P288" s="53">
        <f t="shared" si="16"/>
        <v>0</v>
      </c>
      <c r="R288" s="21">
        <f>IF(K288+F288&gt;0,1,0)</f>
        <v>0</v>
      </c>
      <c r="S288" s="24">
        <f>IF(ISERROR(VLOOKUP(A288,U:U,1,0)),0,1)</f>
        <v>0</v>
      </c>
      <c r="Z288" s="16"/>
    </row>
    <row r="289" spans="1:26" x14ac:dyDescent="0.35">
      <c r="A289" s="18" t="s">
        <v>1927</v>
      </c>
      <c r="B289" s="5" t="str">
        <f>IF(ISERROR(VLOOKUP(A289,RDPLP!A289:A314,1,0)),"N","Y")</f>
        <v>N</v>
      </c>
      <c r="C289" s="5" t="str">
        <f>IF(ISERROR(VLOOKUP(A289,'SCINET-PLP'!A:A,1,0)),"N","Y")</f>
        <v>N</v>
      </c>
      <c r="D289" s="5" t="str">
        <f>IF(ISERROR(VLOOKUP(A289,FLEXPLP!A:A,1,0)),"N","Y")</f>
        <v>N</v>
      </c>
      <c r="E289" s="5" t="str">
        <f>IF(ISERROR(VLOOKUP(A289,'ELN PLP'!A:A,1,0)),"N","Y")</f>
        <v>N</v>
      </c>
      <c r="F289" s="26">
        <f t="shared" si="14"/>
        <v>0</v>
      </c>
      <c r="G289" s="8" t="str">
        <f>IF(ISERROR(VLOOKUP(A289,RDPLP!D:D,1,0)),"N","Y")</f>
        <v>N</v>
      </c>
      <c r="H289" s="8" t="str">
        <f>IF(ISERROR(VLOOKUP(A289,'SCINET-PLP'!D:D,1,0)),"N","Y")</f>
        <v>N</v>
      </c>
      <c r="I289" s="8" t="str">
        <f>IF(ISERROR(VLOOKUP(A289,FLEXPLP!D:D,1,0)),"N","Y")</f>
        <v>N</v>
      </c>
      <c r="J289" s="8" t="str">
        <f>IF(ISERROR(VLOOKUP(A289,'ELN PLP'!D:D,1,0)),"N","Y")</f>
        <v>N</v>
      </c>
      <c r="K289" s="29">
        <f t="shared" si="15"/>
        <v>0</v>
      </c>
      <c r="L289" s="52" t="str">
        <f>IF(ISERROR(VLOOKUP(A289,RDPLP!G:G,1,0)),"N","Y")</f>
        <v>N</v>
      </c>
      <c r="M289" s="52" t="str">
        <f>IF(ISERROR(VLOOKUP(A289,'SCINET-PLP'!G:G,1,0)),"N","Y")</f>
        <v>N</v>
      </c>
      <c r="N289" s="52" t="str">
        <f>IF(ISERROR(VLOOKUP(A289,FLEXPLP!G:G,1,0)),"N","Y")</f>
        <v>N</v>
      </c>
      <c r="O289" s="52" t="str">
        <f>IF(ISERROR(VLOOKUP(A289,'ELN PLP'!G:G,1,0)),"N","Y")</f>
        <v>N</v>
      </c>
      <c r="P289" s="53">
        <f t="shared" si="16"/>
        <v>0</v>
      </c>
      <c r="R289" s="21">
        <f>IF(K289+F289&gt;0,1,0)</f>
        <v>0</v>
      </c>
      <c r="S289" s="24">
        <f>IF(ISERROR(VLOOKUP(A289,U:U,1,0)),0,1)</f>
        <v>0</v>
      </c>
      <c r="Z289" s="16"/>
    </row>
    <row r="290" spans="1:26" x14ac:dyDescent="0.35">
      <c r="A290" s="18" t="s">
        <v>1931</v>
      </c>
      <c r="B290" s="5" t="str">
        <f>IF(ISERROR(VLOOKUP(A290,RDPLP!A290:A315,1,0)),"N","Y")</f>
        <v>N</v>
      </c>
      <c r="C290" s="5" t="str">
        <f>IF(ISERROR(VLOOKUP(A290,'SCINET-PLP'!A:A,1,0)),"N","Y")</f>
        <v>N</v>
      </c>
      <c r="D290" s="5" t="str">
        <f>IF(ISERROR(VLOOKUP(A290,FLEXPLP!A:A,1,0)),"N","Y")</f>
        <v>N</v>
      </c>
      <c r="E290" s="5" t="str">
        <f>IF(ISERROR(VLOOKUP(A290,'ELN PLP'!A:A,1,0)),"N","Y")</f>
        <v>N</v>
      </c>
      <c r="F290" s="26">
        <f t="shared" si="14"/>
        <v>0</v>
      </c>
      <c r="G290" s="8" t="str">
        <f>IF(ISERROR(VLOOKUP(A290,RDPLP!D:D,1,0)),"N","Y")</f>
        <v>N</v>
      </c>
      <c r="H290" s="8" t="str">
        <f>IF(ISERROR(VLOOKUP(A290,'SCINET-PLP'!D:D,1,0)),"N","Y")</f>
        <v>N</v>
      </c>
      <c r="I290" s="8" t="str">
        <f>IF(ISERROR(VLOOKUP(A290,FLEXPLP!D:D,1,0)),"N","Y")</f>
        <v>N</v>
      </c>
      <c r="J290" s="8" t="str">
        <f>IF(ISERROR(VLOOKUP(A290,'ELN PLP'!D:D,1,0)),"N","Y")</f>
        <v>N</v>
      </c>
      <c r="K290" s="29">
        <f t="shared" si="15"/>
        <v>0</v>
      </c>
      <c r="L290" s="52" t="str">
        <f>IF(ISERROR(VLOOKUP(A290,RDPLP!G:G,1,0)),"N","Y")</f>
        <v>N</v>
      </c>
      <c r="M290" s="52" t="str">
        <f>IF(ISERROR(VLOOKUP(A290,'SCINET-PLP'!G:G,1,0)),"N","Y")</f>
        <v>N</v>
      </c>
      <c r="N290" s="52" t="str">
        <f>IF(ISERROR(VLOOKUP(A290,FLEXPLP!G:G,1,0)),"N","Y")</f>
        <v>N</v>
      </c>
      <c r="O290" s="52" t="str">
        <f>IF(ISERROR(VLOOKUP(A290,'ELN PLP'!G:G,1,0)),"N","Y")</f>
        <v>N</v>
      </c>
      <c r="P290" s="53">
        <f t="shared" si="16"/>
        <v>0</v>
      </c>
      <c r="R290" s="21">
        <f>IF(K290+F290&gt;0,1,0)</f>
        <v>0</v>
      </c>
      <c r="S290" s="24">
        <f>IF(ISERROR(VLOOKUP(A290,U:U,1,0)),0,1)</f>
        <v>0</v>
      </c>
      <c r="Z290" s="16"/>
    </row>
    <row r="291" spans="1:26" x14ac:dyDescent="0.35">
      <c r="A291" s="18" t="s">
        <v>1932</v>
      </c>
      <c r="B291" s="5" t="str">
        <f>IF(ISERROR(VLOOKUP(A291,RDPLP!A291:A316,1,0)),"N","Y")</f>
        <v>N</v>
      </c>
      <c r="C291" s="5" t="str">
        <f>IF(ISERROR(VLOOKUP(A291,'SCINET-PLP'!A:A,1,0)),"N","Y")</f>
        <v>N</v>
      </c>
      <c r="D291" s="5" t="str">
        <f>IF(ISERROR(VLOOKUP(A291,FLEXPLP!A:A,1,0)),"N","Y")</f>
        <v>N</v>
      </c>
      <c r="E291" s="5" t="str">
        <f>IF(ISERROR(VLOOKUP(A291,'ELN PLP'!A:A,1,0)),"N","Y")</f>
        <v>N</v>
      </c>
      <c r="F291" s="26">
        <f t="shared" si="14"/>
        <v>0</v>
      </c>
      <c r="G291" s="8" t="str">
        <f>IF(ISERROR(VLOOKUP(A291,RDPLP!D:D,1,0)),"N","Y")</f>
        <v>N</v>
      </c>
      <c r="H291" s="8" t="str">
        <f>IF(ISERROR(VLOOKUP(A291,'SCINET-PLP'!D:D,1,0)),"N","Y")</f>
        <v>N</v>
      </c>
      <c r="I291" s="8" t="str">
        <f>IF(ISERROR(VLOOKUP(A291,FLEXPLP!D:D,1,0)),"N","Y")</f>
        <v>N</v>
      </c>
      <c r="J291" s="8" t="str">
        <f>IF(ISERROR(VLOOKUP(A291,'ELN PLP'!D:D,1,0)),"N","Y")</f>
        <v>N</v>
      </c>
      <c r="K291" s="29">
        <f t="shared" si="15"/>
        <v>0</v>
      </c>
      <c r="L291" s="52" t="str">
        <f>IF(ISERROR(VLOOKUP(A291,RDPLP!G:G,1,0)),"N","Y")</f>
        <v>N</v>
      </c>
      <c r="M291" s="52" t="str">
        <f>IF(ISERROR(VLOOKUP(A291,'SCINET-PLP'!G:G,1,0)),"N","Y")</f>
        <v>N</v>
      </c>
      <c r="N291" s="52" t="str">
        <f>IF(ISERROR(VLOOKUP(A291,FLEXPLP!G:G,1,0)),"N","Y")</f>
        <v>N</v>
      </c>
      <c r="O291" s="52" t="str">
        <f>IF(ISERROR(VLOOKUP(A291,'ELN PLP'!G:G,1,0)),"N","Y")</f>
        <v>N</v>
      </c>
      <c r="P291" s="53">
        <f t="shared" si="16"/>
        <v>0</v>
      </c>
      <c r="R291" s="21">
        <f>IF(K291+F291&gt;0,1,0)</f>
        <v>0</v>
      </c>
      <c r="S291" s="24">
        <f>IF(ISERROR(VLOOKUP(A291,U:U,1,0)),0,1)</f>
        <v>0</v>
      </c>
      <c r="Z291" s="16"/>
    </row>
    <row r="292" spans="1:26" x14ac:dyDescent="0.35">
      <c r="A292" s="18" t="s">
        <v>1937</v>
      </c>
      <c r="B292" s="5" t="str">
        <f>IF(ISERROR(VLOOKUP(A292,RDPLP!A292:A317,1,0)),"N","Y")</f>
        <v>N</v>
      </c>
      <c r="C292" s="5" t="str">
        <f>IF(ISERROR(VLOOKUP(A292,'SCINET-PLP'!A:A,1,0)),"N","Y")</f>
        <v>N</v>
      </c>
      <c r="D292" s="5" t="str">
        <f>IF(ISERROR(VLOOKUP(A292,FLEXPLP!A:A,1,0)),"N","Y")</f>
        <v>N</v>
      </c>
      <c r="E292" s="5" t="str">
        <f>IF(ISERROR(VLOOKUP(A292,'ELN PLP'!A:A,1,0)),"N","Y")</f>
        <v>N</v>
      </c>
      <c r="F292" s="26">
        <f t="shared" si="14"/>
        <v>0</v>
      </c>
      <c r="G292" s="8" t="str">
        <f>IF(ISERROR(VLOOKUP(A292,RDPLP!D:D,1,0)),"N","Y")</f>
        <v>N</v>
      </c>
      <c r="H292" s="8" t="str">
        <f>IF(ISERROR(VLOOKUP(A292,'SCINET-PLP'!D:D,1,0)),"N","Y")</f>
        <v>N</v>
      </c>
      <c r="I292" s="8" t="str">
        <f>IF(ISERROR(VLOOKUP(A292,FLEXPLP!D:D,1,0)),"N","Y")</f>
        <v>N</v>
      </c>
      <c r="J292" s="8" t="str">
        <f>IF(ISERROR(VLOOKUP(A292,'ELN PLP'!D:D,1,0)),"N","Y")</f>
        <v>N</v>
      </c>
      <c r="K292" s="29">
        <f t="shared" si="15"/>
        <v>0</v>
      </c>
      <c r="L292" s="52" t="str">
        <f>IF(ISERROR(VLOOKUP(A292,RDPLP!G:G,1,0)),"N","Y")</f>
        <v>N</v>
      </c>
      <c r="M292" s="52" t="str">
        <f>IF(ISERROR(VLOOKUP(A292,'SCINET-PLP'!G:G,1,0)),"N","Y")</f>
        <v>N</v>
      </c>
      <c r="N292" s="52" t="str">
        <f>IF(ISERROR(VLOOKUP(A292,FLEXPLP!G:G,1,0)),"N","Y")</f>
        <v>N</v>
      </c>
      <c r="O292" s="52" t="str">
        <f>IF(ISERROR(VLOOKUP(A292,'ELN PLP'!G:G,1,0)),"N","Y")</f>
        <v>N</v>
      </c>
      <c r="P292" s="53">
        <f t="shared" si="16"/>
        <v>0</v>
      </c>
      <c r="R292" s="21">
        <f>IF(K292+F292&gt;0,1,0)</f>
        <v>0</v>
      </c>
      <c r="S292" s="24">
        <f>IF(ISERROR(VLOOKUP(A292,U:U,1,0)),0,1)</f>
        <v>0</v>
      </c>
      <c r="Z292" s="16"/>
    </row>
    <row r="293" spans="1:26" x14ac:dyDescent="0.35">
      <c r="A293" s="18" t="s">
        <v>1940</v>
      </c>
      <c r="B293" s="5" t="str">
        <f>IF(ISERROR(VLOOKUP(A293,RDPLP!A293:A318,1,0)),"N","Y")</f>
        <v>N</v>
      </c>
      <c r="C293" s="5" t="str">
        <f>IF(ISERROR(VLOOKUP(A293,'SCINET-PLP'!A:A,1,0)),"N","Y")</f>
        <v>N</v>
      </c>
      <c r="D293" s="5" t="str">
        <f>IF(ISERROR(VLOOKUP(A293,FLEXPLP!A:A,1,0)),"N","Y")</f>
        <v>N</v>
      </c>
      <c r="E293" s="5" t="str">
        <f>IF(ISERROR(VLOOKUP(A293,'ELN PLP'!A:A,1,0)),"N","Y")</f>
        <v>N</v>
      </c>
      <c r="F293" s="26">
        <f t="shared" si="14"/>
        <v>0</v>
      </c>
      <c r="G293" s="8" t="str">
        <f>IF(ISERROR(VLOOKUP(A293,RDPLP!D:D,1,0)),"N","Y")</f>
        <v>N</v>
      </c>
      <c r="H293" s="8" t="str">
        <f>IF(ISERROR(VLOOKUP(A293,'SCINET-PLP'!D:D,1,0)),"N","Y")</f>
        <v>N</v>
      </c>
      <c r="I293" s="8" t="str">
        <f>IF(ISERROR(VLOOKUP(A293,FLEXPLP!D:D,1,0)),"N","Y")</f>
        <v>N</v>
      </c>
      <c r="J293" s="8" t="str">
        <f>IF(ISERROR(VLOOKUP(A293,'ELN PLP'!D:D,1,0)),"N","Y")</f>
        <v>N</v>
      </c>
      <c r="K293" s="29">
        <f t="shared" si="15"/>
        <v>0</v>
      </c>
      <c r="L293" s="52" t="str">
        <f>IF(ISERROR(VLOOKUP(A293,RDPLP!G:G,1,0)),"N","Y")</f>
        <v>N</v>
      </c>
      <c r="M293" s="52" t="str">
        <f>IF(ISERROR(VLOOKUP(A293,'SCINET-PLP'!G:G,1,0)),"N","Y")</f>
        <v>N</v>
      </c>
      <c r="N293" s="52" t="str">
        <f>IF(ISERROR(VLOOKUP(A293,FLEXPLP!G:G,1,0)),"N","Y")</f>
        <v>N</v>
      </c>
      <c r="O293" s="52" t="str">
        <f>IF(ISERROR(VLOOKUP(A293,'ELN PLP'!G:G,1,0)),"N","Y")</f>
        <v>N</v>
      </c>
      <c r="P293" s="53">
        <f t="shared" si="16"/>
        <v>0</v>
      </c>
      <c r="R293" s="21">
        <f>IF(K293+F293&gt;0,1,0)</f>
        <v>0</v>
      </c>
      <c r="S293" s="24">
        <f>IF(ISERROR(VLOOKUP(A293,U:U,1,0)),0,1)</f>
        <v>0</v>
      </c>
      <c r="Z293" s="16"/>
    </row>
    <row r="294" spans="1:26" x14ac:dyDescent="0.35">
      <c r="A294" s="18" t="s">
        <v>1943</v>
      </c>
      <c r="B294" s="5" t="str">
        <f>IF(ISERROR(VLOOKUP(A294,RDPLP!A294:A319,1,0)),"N","Y")</f>
        <v>N</v>
      </c>
      <c r="C294" s="5" t="str">
        <f>IF(ISERROR(VLOOKUP(A294,'SCINET-PLP'!A:A,1,0)),"N","Y")</f>
        <v>N</v>
      </c>
      <c r="D294" s="5" t="str">
        <f>IF(ISERROR(VLOOKUP(A294,FLEXPLP!A:A,1,0)),"N","Y")</f>
        <v>N</v>
      </c>
      <c r="E294" s="5" t="str">
        <f>IF(ISERROR(VLOOKUP(A294,'ELN PLP'!A:A,1,0)),"N","Y")</f>
        <v>N</v>
      </c>
      <c r="F294" s="26">
        <f t="shared" si="14"/>
        <v>0</v>
      </c>
      <c r="G294" s="8" t="str">
        <f>IF(ISERROR(VLOOKUP(A294,RDPLP!D:D,1,0)),"N","Y")</f>
        <v>N</v>
      </c>
      <c r="H294" s="8" t="str">
        <f>IF(ISERROR(VLOOKUP(A294,'SCINET-PLP'!D:D,1,0)),"N","Y")</f>
        <v>N</v>
      </c>
      <c r="I294" s="8" t="str">
        <f>IF(ISERROR(VLOOKUP(A294,FLEXPLP!D:D,1,0)),"N","Y")</f>
        <v>N</v>
      </c>
      <c r="J294" s="8" t="str">
        <f>IF(ISERROR(VLOOKUP(A294,'ELN PLP'!D:D,1,0)),"N","Y")</f>
        <v>N</v>
      </c>
      <c r="K294" s="29">
        <f t="shared" si="15"/>
        <v>0</v>
      </c>
      <c r="L294" s="52" t="str">
        <f>IF(ISERROR(VLOOKUP(A294,RDPLP!G:G,1,0)),"N","Y")</f>
        <v>N</v>
      </c>
      <c r="M294" s="52" t="str">
        <f>IF(ISERROR(VLOOKUP(A294,'SCINET-PLP'!G:G,1,0)),"N","Y")</f>
        <v>N</v>
      </c>
      <c r="N294" s="52" t="str">
        <f>IF(ISERROR(VLOOKUP(A294,FLEXPLP!G:G,1,0)),"N","Y")</f>
        <v>N</v>
      </c>
      <c r="O294" s="52" t="str">
        <f>IF(ISERROR(VLOOKUP(A294,'ELN PLP'!G:G,1,0)),"N","Y")</f>
        <v>N</v>
      </c>
      <c r="P294" s="53">
        <f t="shared" si="16"/>
        <v>0</v>
      </c>
      <c r="R294" s="21">
        <f>IF(K294+F294&gt;0,1,0)</f>
        <v>0</v>
      </c>
      <c r="S294" s="24">
        <f>IF(ISERROR(VLOOKUP(A294,U:U,1,0)),0,1)</f>
        <v>0</v>
      </c>
      <c r="Z294" s="16"/>
    </row>
    <row r="295" spans="1:26" x14ac:dyDescent="0.35">
      <c r="A295" s="18" t="s">
        <v>1952</v>
      </c>
      <c r="B295" s="5" t="str">
        <f>IF(ISERROR(VLOOKUP(A295,RDPLP!A295:A320,1,0)),"N","Y")</f>
        <v>N</v>
      </c>
      <c r="C295" s="5" t="str">
        <f>IF(ISERROR(VLOOKUP(A295,'SCINET-PLP'!A:A,1,0)),"N","Y")</f>
        <v>N</v>
      </c>
      <c r="D295" s="5" t="str">
        <f>IF(ISERROR(VLOOKUP(A295,FLEXPLP!A:A,1,0)),"N","Y")</f>
        <v>N</v>
      </c>
      <c r="E295" s="5" t="str">
        <f>IF(ISERROR(VLOOKUP(A295,'ELN PLP'!A:A,1,0)),"N","Y")</f>
        <v>N</v>
      </c>
      <c r="F295" s="26">
        <f t="shared" si="14"/>
        <v>0</v>
      </c>
      <c r="G295" s="8" t="str">
        <f>IF(ISERROR(VLOOKUP(A295,RDPLP!D:D,1,0)),"N","Y")</f>
        <v>N</v>
      </c>
      <c r="H295" s="8" t="str">
        <f>IF(ISERROR(VLOOKUP(A295,'SCINET-PLP'!D:D,1,0)),"N","Y")</f>
        <v>N</v>
      </c>
      <c r="I295" s="8" t="str">
        <f>IF(ISERROR(VLOOKUP(A295,FLEXPLP!D:D,1,0)),"N","Y")</f>
        <v>N</v>
      </c>
      <c r="J295" s="8" t="str">
        <f>IF(ISERROR(VLOOKUP(A295,'ELN PLP'!D:D,1,0)),"N","Y")</f>
        <v>N</v>
      </c>
      <c r="K295" s="29">
        <f t="shared" si="15"/>
        <v>0</v>
      </c>
      <c r="L295" s="52" t="str">
        <f>IF(ISERROR(VLOOKUP(A295,RDPLP!G:G,1,0)),"N","Y")</f>
        <v>N</v>
      </c>
      <c r="M295" s="52" t="str">
        <f>IF(ISERROR(VLOOKUP(A295,'SCINET-PLP'!G:G,1,0)),"N","Y")</f>
        <v>N</v>
      </c>
      <c r="N295" s="52" t="str">
        <f>IF(ISERROR(VLOOKUP(A295,FLEXPLP!G:G,1,0)),"N","Y")</f>
        <v>N</v>
      </c>
      <c r="O295" s="52" t="str">
        <f>IF(ISERROR(VLOOKUP(A295,'ELN PLP'!G:G,1,0)),"N","Y")</f>
        <v>N</v>
      </c>
      <c r="P295" s="53">
        <f t="shared" si="16"/>
        <v>0</v>
      </c>
      <c r="R295" s="21">
        <f>IF(K295+F295&gt;0,1,0)</f>
        <v>0</v>
      </c>
      <c r="S295" s="24">
        <f>IF(ISERROR(VLOOKUP(A295,U:U,1,0)),0,1)</f>
        <v>0</v>
      </c>
      <c r="Z295" s="16"/>
    </row>
    <row r="296" spans="1:26" x14ac:dyDescent="0.35">
      <c r="A296" s="18" t="s">
        <v>1956</v>
      </c>
      <c r="B296" s="5" t="str">
        <f>IF(ISERROR(VLOOKUP(A296,RDPLP!A296:A321,1,0)),"N","Y")</f>
        <v>N</v>
      </c>
      <c r="C296" s="5" t="str">
        <f>IF(ISERROR(VLOOKUP(A296,'SCINET-PLP'!A:A,1,0)),"N","Y")</f>
        <v>N</v>
      </c>
      <c r="D296" s="5" t="str">
        <f>IF(ISERROR(VLOOKUP(A296,FLEXPLP!A:A,1,0)),"N","Y")</f>
        <v>N</v>
      </c>
      <c r="E296" s="5" t="str">
        <f>IF(ISERROR(VLOOKUP(A296,'ELN PLP'!A:A,1,0)),"N","Y")</f>
        <v>N</v>
      </c>
      <c r="F296" s="26">
        <f t="shared" si="14"/>
        <v>0</v>
      </c>
      <c r="G296" s="8" t="str">
        <f>IF(ISERROR(VLOOKUP(A296,RDPLP!D:D,1,0)),"N","Y")</f>
        <v>N</v>
      </c>
      <c r="H296" s="8" t="str">
        <f>IF(ISERROR(VLOOKUP(A296,'SCINET-PLP'!D:D,1,0)),"N","Y")</f>
        <v>N</v>
      </c>
      <c r="I296" s="8" t="str">
        <f>IF(ISERROR(VLOOKUP(A296,FLEXPLP!D:D,1,0)),"N","Y")</f>
        <v>N</v>
      </c>
      <c r="J296" s="8" t="str">
        <f>IF(ISERROR(VLOOKUP(A296,'ELN PLP'!D:D,1,0)),"N","Y")</f>
        <v>N</v>
      </c>
      <c r="K296" s="29">
        <f t="shared" si="15"/>
        <v>0</v>
      </c>
      <c r="L296" s="52" t="str">
        <f>IF(ISERROR(VLOOKUP(A296,RDPLP!G:G,1,0)),"N","Y")</f>
        <v>N</v>
      </c>
      <c r="M296" s="52" t="str">
        <f>IF(ISERROR(VLOOKUP(A296,'SCINET-PLP'!G:G,1,0)),"N","Y")</f>
        <v>N</v>
      </c>
      <c r="N296" s="52" t="str">
        <f>IF(ISERROR(VLOOKUP(A296,FLEXPLP!G:G,1,0)),"N","Y")</f>
        <v>N</v>
      </c>
      <c r="O296" s="52" t="str">
        <f>IF(ISERROR(VLOOKUP(A296,'ELN PLP'!G:G,1,0)),"N","Y")</f>
        <v>N</v>
      </c>
      <c r="P296" s="53">
        <f t="shared" si="16"/>
        <v>0</v>
      </c>
      <c r="R296" s="21">
        <f>IF(K296+F296&gt;0,1,0)</f>
        <v>0</v>
      </c>
      <c r="S296" s="24">
        <f>IF(ISERROR(VLOOKUP(A296,U:U,1,0)),0,1)</f>
        <v>0</v>
      </c>
      <c r="Z296" s="16"/>
    </row>
    <row r="297" spans="1:26" x14ac:dyDescent="0.35">
      <c r="A297" s="18" t="s">
        <v>1958</v>
      </c>
      <c r="B297" s="5" t="str">
        <f>IF(ISERROR(VLOOKUP(A297,RDPLP!A297:A322,1,0)),"N","Y")</f>
        <v>N</v>
      </c>
      <c r="C297" s="5" t="str">
        <f>IF(ISERROR(VLOOKUP(A297,'SCINET-PLP'!A:A,1,0)),"N","Y")</f>
        <v>N</v>
      </c>
      <c r="D297" s="5" t="str">
        <f>IF(ISERROR(VLOOKUP(A297,FLEXPLP!A:A,1,0)),"N","Y")</f>
        <v>N</v>
      </c>
      <c r="E297" s="5" t="str">
        <f>IF(ISERROR(VLOOKUP(A297,'ELN PLP'!A:A,1,0)),"N","Y")</f>
        <v>N</v>
      </c>
      <c r="F297" s="26">
        <f t="shared" si="14"/>
        <v>0</v>
      </c>
      <c r="G297" s="8" t="str">
        <f>IF(ISERROR(VLOOKUP(A297,RDPLP!D:D,1,0)),"N","Y")</f>
        <v>N</v>
      </c>
      <c r="H297" s="8" t="str">
        <f>IF(ISERROR(VLOOKUP(A297,'SCINET-PLP'!D:D,1,0)),"N","Y")</f>
        <v>N</v>
      </c>
      <c r="I297" s="8" t="str">
        <f>IF(ISERROR(VLOOKUP(A297,FLEXPLP!D:D,1,0)),"N","Y")</f>
        <v>N</v>
      </c>
      <c r="J297" s="8" t="str">
        <f>IF(ISERROR(VLOOKUP(A297,'ELN PLP'!D:D,1,0)),"N","Y")</f>
        <v>N</v>
      </c>
      <c r="K297" s="29">
        <f t="shared" si="15"/>
        <v>0</v>
      </c>
      <c r="L297" s="52" t="str">
        <f>IF(ISERROR(VLOOKUP(A297,RDPLP!G:G,1,0)),"N","Y")</f>
        <v>N</v>
      </c>
      <c r="M297" s="52" t="str">
        <f>IF(ISERROR(VLOOKUP(A297,'SCINET-PLP'!G:G,1,0)),"N","Y")</f>
        <v>N</v>
      </c>
      <c r="N297" s="52" t="str">
        <f>IF(ISERROR(VLOOKUP(A297,FLEXPLP!G:G,1,0)),"N","Y")</f>
        <v>N</v>
      </c>
      <c r="O297" s="52" t="str">
        <f>IF(ISERROR(VLOOKUP(A297,'ELN PLP'!G:G,1,0)),"N","Y")</f>
        <v>N</v>
      </c>
      <c r="P297" s="53">
        <f t="shared" si="16"/>
        <v>0</v>
      </c>
      <c r="R297" s="21">
        <f>IF(K297+F297&gt;0,1,0)</f>
        <v>0</v>
      </c>
      <c r="S297" s="24">
        <f>IF(ISERROR(VLOOKUP(A297,U:U,1,0)),0,1)</f>
        <v>0</v>
      </c>
      <c r="Z297" s="16"/>
    </row>
    <row r="298" spans="1:26" x14ac:dyDescent="0.35">
      <c r="A298" s="18" t="s">
        <v>1960</v>
      </c>
      <c r="B298" s="5" t="str">
        <f>IF(ISERROR(VLOOKUP(A298,RDPLP!A298:A323,1,0)),"N","Y")</f>
        <v>N</v>
      </c>
      <c r="C298" s="5" t="str">
        <f>IF(ISERROR(VLOOKUP(A298,'SCINET-PLP'!A:A,1,0)),"N","Y")</f>
        <v>N</v>
      </c>
      <c r="D298" s="5" t="str">
        <f>IF(ISERROR(VLOOKUP(A298,FLEXPLP!A:A,1,0)),"N","Y")</f>
        <v>N</v>
      </c>
      <c r="E298" s="5" t="str">
        <f>IF(ISERROR(VLOOKUP(A298,'ELN PLP'!A:A,1,0)),"N","Y")</f>
        <v>N</v>
      </c>
      <c r="F298" s="26">
        <f t="shared" si="14"/>
        <v>0</v>
      </c>
      <c r="G298" s="8" t="str">
        <f>IF(ISERROR(VLOOKUP(A298,RDPLP!D:D,1,0)),"N","Y")</f>
        <v>N</v>
      </c>
      <c r="H298" s="8" t="str">
        <f>IF(ISERROR(VLOOKUP(A298,'SCINET-PLP'!D:D,1,0)),"N","Y")</f>
        <v>N</v>
      </c>
      <c r="I298" s="8" t="str">
        <f>IF(ISERROR(VLOOKUP(A298,FLEXPLP!D:D,1,0)),"N","Y")</f>
        <v>N</v>
      </c>
      <c r="J298" s="8" t="str">
        <f>IF(ISERROR(VLOOKUP(A298,'ELN PLP'!D:D,1,0)),"N","Y")</f>
        <v>N</v>
      </c>
      <c r="K298" s="29">
        <f t="shared" si="15"/>
        <v>0</v>
      </c>
      <c r="L298" s="52" t="str">
        <f>IF(ISERROR(VLOOKUP(A298,RDPLP!G:G,1,0)),"N","Y")</f>
        <v>N</v>
      </c>
      <c r="M298" s="52" t="str">
        <f>IF(ISERROR(VLOOKUP(A298,'SCINET-PLP'!G:G,1,0)),"N","Y")</f>
        <v>N</v>
      </c>
      <c r="N298" s="52" t="str">
        <f>IF(ISERROR(VLOOKUP(A298,FLEXPLP!G:G,1,0)),"N","Y")</f>
        <v>N</v>
      </c>
      <c r="O298" s="52" t="str">
        <f>IF(ISERROR(VLOOKUP(A298,'ELN PLP'!G:G,1,0)),"N","Y")</f>
        <v>N</v>
      </c>
      <c r="P298" s="53">
        <f t="shared" si="16"/>
        <v>0</v>
      </c>
      <c r="R298" s="21">
        <f>IF(K298+F298&gt;0,1,0)</f>
        <v>0</v>
      </c>
      <c r="S298" s="24">
        <f>IF(ISERROR(VLOOKUP(A298,U:U,1,0)),0,1)</f>
        <v>0</v>
      </c>
      <c r="Z298" s="16"/>
    </row>
    <row r="299" spans="1:26" x14ac:dyDescent="0.35">
      <c r="A299" s="18" t="s">
        <v>1963</v>
      </c>
      <c r="B299" s="5" t="str">
        <f>IF(ISERROR(VLOOKUP(A299,RDPLP!A299:A324,1,0)),"N","Y")</f>
        <v>N</v>
      </c>
      <c r="C299" s="5" t="str">
        <f>IF(ISERROR(VLOOKUP(A299,'SCINET-PLP'!A:A,1,0)),"N","Y")</f>
        <v>N</v>
      </c>
      <c r="D299" s="5" t="str">
        <f>IF(ISERROR(VLOOKUP(A299,FLEXPLP!A:A,1,0)),"N","Y")</f>
        <v>N</v>
      </c>
      <c r="E299" s="5" t="str">
        <f>IF(ISERROR(VLOOKUP(A299,'ELN PLP'!A:A,1,0)),"N","Y")</f>
        <v>N</v>
      </c>
      <c r="F299" s="26">
        <f t="shared" si="14"/>
        <v>0</v>
      </c>
      <c r="G299" s="8" t="str">
        <f>IF(ISERROR(VLOOKUP(A299,RDPLP!D:D,1,0)),"N","Y")</f>
        <v>N</v>
      </c>
      <c r="H299" s="8" t="str">
        <f>IF(ISERROR(VLOOKUP(A299,'SCINET-PLP'!D:D,1,0)),"N","Y")</f>
        <v>N</v>
      </c>
      <c r="I299" s="8" t="str">
        <f>IF(ISERROR(VLOOKUP(A299,FLEXPLP!D:D,1,0)),"N","Y")</f>
        <v>N</v>
      </c>
      <c r="J299" s="8" t="str">
        <f>IF(ISERROR(VLOOKUP(A299,'ELN PLP'!D:D,1,0)),"N","Y")</f>
        <v>N</v>
      </c>
      <c r="K299" s="29">
        <f t="shared" si="15"/>
        <v>0</v>
      </c>
      <c r="L299" s="52" t="str">
        <f>IF(ISERROR(VLOOKUP(A299,RDPLP!G:G,1,0)),"N","Y")</f>
        <v>N</v>
      </c>
      <c r="M299" s="52" t="str">
        <f>IF(ISERROR(VLOOKUP(A299,'SCINET-PLP'!G:G,1,0)),"N","Y")</f>
        <v>N</v>
      </c>
      <c r="N299" s="52" t="str">
        <f>IF(ISERROR(VLOOKUP(A299,FLEXPLP!G:G,1,0)),"N","Y")</f>
        <v>N</v>
      </c>
      <c r="O299" s="52" t="str">
        <f>IF(ISERROR(VLOOKUP(A299,'ELN PLP'!G:G,1,0)),"N","Y")</f>
        <v>N</v>
      </c>
      <c r="P299" s="53">
        <f t="shared" si="16"/>
        <v>0</v>
      </c>
      <c r="R299" s="21">
        <f>IF(K299+F299&gt;0,1,0)</f>
        <v>0</v>
      </c>
      <c r="S299" s="24">
        <f>IF(ISERROR(VLOOKUP(A299,U:U,1,0)),0,1)</f>
        <v>0</v>
      </c>
      <c r="Z299" s="16"/>
    </row>
    <row r="300" spans="1:26" x14ac:dyDescent="0.35">
      <c r="A300" s="18" t="s">
        <v>1966</v>
      </c>
      <c r="B300" s="5" t="str">
        <f>IF(ISERROR(VLOOKUP(A300,RDPLP!A300:A325,1,0)),"N","Y")</f>
        <v>N</v>
      </c>
      <c r="C300" s="5" t="str">
        <f>IF(ISERROR(VLOOKUP(A300,'SCINET-PLP'!A:A,1,0)),"N","Y")</f>
        <v>N</v>
      </c>
      <c r="D300" s="5" t="str">
        <f>IF(ISERROR(VLOOKUP(A300,FLEXPLP!A:A,1,0)),"N","Y")</f>
        <v>N</v>
      </c>
      <c r="E300" s="5" t="str">
        <f>IF(ISERROR(VLOOKUP(A300,'ELN PLP'!A:A,1,0)),"N","Y")</f>
        <v>N</v>
      </c>
      <c r="F300" s="26">
        <f t="shared" si="14"/>
        <v>0</v>
      </c>
      <c r="G300" s="8" t="str">
        <f>IF(ISERROR(VLOOKUP(A300,RDPLP!D:D,1,0)),"N","Y")</f>
        <v>N</v>
      </c>
      <c r="H300" s="8" t="str">
        <f>IF(ISERROR(VLOOKUP(A300,'SCINET-PLP'!D:D,1,0)),"N","Y")</f>
        <v>N</v>
      </c>
      <c r="I300" s="8" t="str">
        <f>IF(ISERROR(VLOOKUP(A300,FLEXPLP!D:D,1,0)),"N","Y")</f>
        <v>N</v>
      </c>
      <c r="J300" s="8" t="str">
        <f>IF(ISERROR(VLOOKUP(A300,'ELN PLP'!D:D,1,0)),"N","Y")</f>
        <v>N</v>
      </c>
      <c r="K300" s="29">
        <f t="shared" si="15"/>
        <v>0</v>
      </c>
      <c r="L300" s="52" t="str">
        <f>IF(ISERROR(VLOOKUP(A300,RDPLP!G:G,1,0)),"N","Y")</f>
        <v>N</v>
      </c>
      <c r="M300" s="52" t="str">
        <f>IF(ISERROR(VLOOKUP(A300,'SCINET-PLP'!G:G,1,0)),"N","Y")</f>
        <v>N</v>
      </c>
      <c r="N300" s="52" t="str">
        <f>IF(ISERROR(VLOOKUP(A300,FLEXPLP!G:G,1,0)),"N","Y")</f>
        <v>N</v>
      </c>
      <c r="O300" s="52" t="str">
        <f>IF(ISERROR(VLOOKUP(A300,'ELN PLP'!G:G,1,0)),"N","Y")</f>
        <v>N</v>
      </c>
      <c r="P300" s="53">
        <f t="shared" si="16"/>
        <v>0</v>
      </c>
      <c r="R300" s="21">
        <f>IF(K300+F300&gt;0,1,0)</f>
        <v>0</v>
      </c>
      <c r="S300" s="24">
        <f>IF(ISERROR(VLOOKUP(A300,U:U,1,0)),0,1)</f>
        <v>0</v>
      </c>
      <c r="Z300" s="16"/>
    </row>
    <row r="301" spans="1:26" x14ac:dyDescent="0.35">
      <c r="A301" s="18" t="s">
        <v>1969</v>
      </c>
      <c r="B301" s="5" t="str">
        <f>IF(ISERROR(VLOOKUP(A301,RDPLP!A301:A326,1,0)),"N","Y")</f>
        <v>N</v>
      </c>
      <c r="C301" s="5" t="str">
        <f>IF(ISERROR(VLOOKUP(A301,'SCINET-PLP'!A:A,1,0)),"N","Y")</f>
        <v>N</v>
      </c>
      <c r="D301" s="5" t="str">
        <f>IF(ISERROR(VLOOKUP(A301,FLEXPLP!A:A,1,0)),"N","Y")</f>
        <v>N</v>
      </c>
      <c r="E301" s="5" t="str">
        <f>IF(ISERROR(VLOOKUP(A301,'ELN PLP'!A:A,1,0)),"N","Y")</f>
        <v>N</v>
      </c>
      <c r="F301" s="26">
        <f t="shared" si="14"/>
        <v>0</v>
      </c>
      <c r="G301" s="8" t="str">
        <f>IF(ISERROR(VLOOKUP(A301,RDPLP!D:D,1,0)),"N","Y")</f>
        <v>N</v>
      </c>
      <c r="H301" s="8" t="str">
        <f>IF(ISERROR(VLOOKUP(A301,'SCINET-PLP'!D:D,1,0)),"N","Y")</f>
        <v>N</v>
      </c>
      <c r="I301" s="8" t="str">
        <f>IF(ISERROR(VLOOKUP(A301,FLEXPLP!D:D,1,0)),"N","Y")</f>
        <v>N</v>
      </c>
      <c r="J301" s="8" t="str">
        <f>IF(ISERROR(VLOOKUP(A301,'ELN PLP'!D:D,1,0)),"N","Y")</f>
        <v>N</v>
      </c>
      <c r="K301" s="29">
        <f t="shared" si="15"/>
        <v>0</v>
      </c>
      <c r="L301" s="52" t="str">
        <f>IF(ISERROR(VLOOKUP(A301,RDPLP!G:G,1,0)),"N","Y")</f>
        <v>N</v>
      </c>
      <c r="M301" s="52" t="str">
        <f>IF(ISERROR(VLOOKUP(A301,'SCINET-PLP'!G:G,1,0)),"N","Y")</f>
        <v>N</v>
      </c>
      <c r="N301" s="52" t="str">
        <f>IF(ISERROR(VLOOKUP(A301,FLEXPLP!G:G,1,0)),"N","Y")</f>
        <v>N</v>
      </c>
      <c r="O301" s="52" t="str">
        <f>IF(ISERROR(VLOOKUP(A301,'ELN PLP'!G:G,1,0)),"N","Y")</f>
        <v>N</v>
      </c>
      <c r="P301" s="53">
        <f t="shared" si="16"/>
        <v>0</v>
      </c>
      <c r="R301" s="21">
        <f>IF(K301+F301&gt;0,1,0)</f>
        <v>0</v>
      </c>
      <c r="S301" s="24">
        <f>IF(ISERROR(VLOOKUP(A301,U:U,1,0)),0,1)</f>
        <v>0</v>
      </c>
      <c r="Z301" s="16"/>
    </row>
    <row r="302" spans="1:26" x14ac:dyDescent="0.35">
      <c r="A302" s="18" t="s">
        <v>1972</v>
      </c>
      <c r="B302" s="5" t="str">
        <f>IF(ISERROR(VLOOKUP(A302,RDPLP!A302:A327,1,0)),"N","Y")</f>
        <v>N</v>
      </c>
      <c r="C302" s="5" t="str">
        <f>IF(ISERROR(VLOOKUP(A302,'SCINET-PLP'!A:A,1,0)),"N","Y")</f>
        <v>N</v>
      </c>
      <c r="D302" s="5" t="str">
        <f>IF(ISERROR(VLOOKUP(A302,FLEXPLP!A:A,1,0)),"N","Y")</f>
        <v>N</v>
      </c>
      <c r="E302" s="5" t="str">
        <f>IF(ISERROR(VLOOKUP(A302,'ELN PLP'!A:A,1,0)),"N","Y")</f>
        <v>N</v>
      </c>
      <c r="F302" s="26">
        <f t="shared" si="14"/>
        <v>0</v>
      </c>
      <c r="G302" s="8" t="str">
        <f>IF(ISERROR(VLOOKUP(A302,RDPLP!D:D,1,0)),"N","Y")</f>
        <v>N</v>
      </c>
      <c r="H302" s="8" t="str">
        <f>IF(ISERROR(VLOOKUP(A302,'SCINET-PLP'!D:D,1,0)),"N","Y")</f>
        <v>N</v>
      </c>
      <c r="I302" s="8" t="str">
        <f>IF(ISERROR(VLOOKUP(A302,FLEXPLP!D:D,1,0)),"N","Y")</f>
        <v>N</v>
      </c>
      <c r="J302" s="8" t="str">
        <f>IF(ISERROR(VLOOKUP(A302,'ELN PLP'!D:D,1,0)),"N","Y")</f>
        <v>N</v>
      </c>
      <c r="K302" s="29">
        <f t="shared" si="15"/>
        <v>0</v>
      </c>
      <c r="L302" s="52" t="str">
        <f>IF(ISERROR(VLOOKUP(A302,RDPLP!G:G,1,0)),"N","Y")</f>
        <v>N</v>
      </c>
      <c r="M302" s="52" t="str">
        <f>IF(ISERROR(VLOOKUP(A302,'SCINET-PLP'!G:G,1,0)),"N","Y")</f>
        <v>N</v>
      </c>
      <c r="N302" s="52" t="str">
        <f>IF(ISERROR(VLOOKUP(A302,FLEXPLP!G:G,1,0)),"N","Y")</f>
        <v>N</v>
      </c>
      <c r="O302" s="52" t="str">
        <f>IF(ISERROR(VLOOKUP(A302,'ELN PLP'!G:G,1,0)),"N","Y")</f>
        <v>N</v>
      </c>
      <c r="P302" s="53">
        <f t="shared" si="16"/>
        <v>0</v>
      </c>
      <c r="R302" s="21">
        <f>IF(K302+F302&gt;0,1,0)</f>
        <v>0</v>
      </c>
      <c r="S302" s="24">
        <f>IF(ISERROR(VLOOKUP(A302,U:U,1,0)),0,1)</f>
        <v>0</v>
      </c>
      <c r="Z302" s="16"/>
    </row>
    <row r="303" spans="1:26" x14ac:dyDescent="0.35">
      <c r="A303" s="18" t="s">
        <v>1975</v>
      </c>
      <c r="B303" s="5" t="str">
        <f>IF(ISERROR(VLOOKUP(A303,RDPLP!A303:A328,1,0)),"N","Y")</f>
        <v>N</v>
      </c>
      <c r="C303" s="5" t="str">
        <f>IF(ISERROR(VLOOKUP(A303,'SCINET-PLP'!A:A,1,0)),"N","Y")</f>
        <v>N</v>
      </c>
      <c r="D303" s="5" t="str">
        <f>IF(ISERROR(VLOOKUP(A303,FLEXPLP!A:A,1,0)),"N","Y")</f>
        <v>N</v>
      </c>
      <c r="E303" s="5" t="str">
        <f>IF(ISERROR(VLOOKUP(A303,'ELN PLP'!A:A,1,0)),"N","Y")</f>
        <v>N</v>
      </c>
      <c r="F303" s="26">
        <f t="shared" si="14"/>
        <v>0</v>
      </c>
      <c r="G303" s="8" t="str">
        <f>IF(ISERROR(VLOOKUP(A303,RDPLP!D:D,1,0)),"N","Y")</f>
        <v>N</v>
      </c>
      <c r="H303" s="8" t="str">
        <f>IF(ISERROR(VLOOKUP(A303,'SCINET-PLP'!D:D,1,0)),"N","Y")</f>
        <v>N</v>
      </c>
      <c r="I303" s="8" t="str">
        <f>IF(ISERROR(VLOOKUP(A303,FLEXPLP!D:D,1,0)),"N","Y")</f>
        <v>N</v>
      </c>
      <c r="J303" s="8" t="str">
        <f>IF(ISERROR(VLOOKUP(A303,'ELN PLP'!D:D,1,0)),"N","Y")</f>
        <v>N</v>
      </c>
      <c r="K303" s="29">
        <f t="shared" si="15"/>
        <v>0</v>
      </c>
      <c r="L303" s="52" t="str">
        <f>IF(ISERROR(VLOOKUP(A303,RDPLP!G:G,1,0)),"N","Y")</f>
        <v>N</v>
      </c>
      <c r="M303" s="52" t="str">
        <f>IF(ISERROR(VLOOKUP(A303,'SCINET-PLP'!G:G,1,0)),"N","Y")</f>
        <v>N</v>
      </c>
      <c r="N303" s="52" t="str">
        <f>IF(ISERROR(VLOOKUP(A303,FLEXPLP!G:G,1,0)),"N","Y")</f>
        <v>N</v>
      </c>
      <c r="O303" s="52" t="str">
        <f>IF(ISERROR(VLOOKUP(A303,'ELN PLP'!G:G,1,0)),"N","Y")</f>
        <v>N</v>
      </c>
      <c r="P303" s="53">
        <f t="shared" si="16"/>
        <v>0</v>
      </c>
      <c r="R303" s="21">
        <f>IF(K303+F303&gt;0,1,0)</f>
        <v>0</v>
      </c>
      <c r="S303" s="24">
        <f>IF(ISERROR(VLOOKUP(A303,U:U,1,0)),0,1)</f>
        <v>0</v>
      </c>
      <c r="Z303" s="16"/>
    </row>
    <row r="304" spans="1:26" x14ac:dyDescent="0.35">
      <c r="A304" s="18" t="s">
        <v>1977</v>
      </c>
      <c r="B304" s="5" t="str">
        <f>IF(ISERROR(VLOOKUP(A304,RDPLP!A304:A329,1,0)),"N","Y")</f>
        <v>N</v>
      </c>
      <c r="C304" s="5" t="str">
        <f>IF(ISERROR(VLOOKUP(A304,'SCINET-PLP'!A:A,1,0)),"N","Y")</f>
        <v>N</v>
      </c>
      <c r="D304" s="5" t="str">
        <f>IF(ISERROR(VLOOKUP(A304,FLEXPLP!A:A,1,0)),"N","Y")</f>
        <v>N</v>
      </c>
      <c r="E304" s="5" t="str">
        <f>IF(ISERROR(VLOOKUP(A304,'ELN PLP'!A:A,1,0)),"N","Y")</f>
        <v>N</v>
      </c>
      <c r="F304" s="26">
        <f t="shared" si="14"/>
        <v>0</v>
      </c>
      <c r="G304" s="8" t="str">
        <f>IF(ISERROR(VLOOKUP(A304,RDPLP!D:D,1,0)),"N","Y")</f>
        <v>N</v>
      </c>
      <c r="H304" s="8" t="str">
        <f>IF(ISERROR(VLOOKUP(A304,'SCINET-PLP'!D:D,1,0)),"N","Y")</f>
        <v>N</v>
      </c>
      <c r="I304" s="8" t="str">
        <f>IF(ISERROR(VLOOKUP(A304,FLEXPLP!D:D,1,0)),"N","Y")</f>
        <v>N</v>
      </c>
      <c r="J304" s="8" t="str">
        <f>IF(ISERROR(VLOOKUP(A304,'ELN PLP'!D:D,1,0)),"N","Y")</f>
        <v>N</v>
      </c>
      <c r="K304" s="29">
        <f t="shared" si="15"/>
        <v>0</v>
      </c>
      <c r="L304" s="52" t="str">
        <f>IF(ISERROR(VLOOKUP(A304,RDPLP!G:G,1,0)),"N","Y")</f>
        <v>N</v>
      </c>
      <c r="M304" s="52" t="str">
        <f>IF(ISERROR(VLOOKUP(A304,'SCINET-PLP'!G:G,1,0)),"N","Y")</f>
        <v>N</v>
      </c>
      <c r="N304" s="52" t="str">
        <f>IF(ISERROR(VLOOKUP(A304,FLEXPLP!G:G,1,0)),"N","Y")</f>
        <v>N</v>
      </c>
      <c r="O304" s="52" t="str">
        <f>IF(ISERROR(VLOOKUP(A304,'ELN PLP'!G:G,1,0)),"N","Y")</f>
        <v>N</v>
      </c>
      <c r="P304" s="53">
        <f t="shared" si="16"/>
        <v>0</v>
      </c>
      <c r="R304" s="21">
        <f>IF(K304+F304&gt;0,1,0)</f>
        <v>0</v>
      </c>
      <c r="S304" s="24">
        <f>IF(ISERROR(VLOOKUP(A304,U:U,1,0)),0,1)</f>
        <v>0</v>
      </c>
      <c r="Z304" s="16"/>
    </row>
    <row r="305" spans="1:26" x14ac:dyDescent="0.35">
      <c r="A305" s="18" t="s">
        <v>1980</v>
      </c>
      <c r="B305" s="5" t="str">
        <f>IF(ISERROR(VLOOKUP(A305,RDPLP!A305:A330,1,0)),"N","Y")</f>
        <v>N</v>
      </c>
      <c r="C305" s="5" t="str">
        <f>IF(ISERROR(VLOOKUP(A305,'SCINET-PLP'!A:A,1,0)),"N","Y")</f>
        <v>N</v>
      </c>
      <c r="D305" s="5" t="str">
        <f>IF(ISERROR(VLOOKUP(A305,FLEXPLP!A:A,1,0)),"N","Y")</f>
        <v>N</v>
      </c>
      <c r="E305" s="5" t="str">
        <f>IF(ISERROR(VLOOKUP(A305,'ELN PLP'!A:A,1,0)),"N","Y")</f>
        <v>N</v>
      </c>
      <c r="F305" s="26">
        <f t="shared" si="14"/>
        <v>0</v>
      </c>
      <c r="G305" s="8" t="str">
        <f>IF(ISERROR(VLOOKUP(A305,RDPLP!D:D,1,0)),"N","Y")</f>
        <v>N</v>
      </c>
      <c r="H305" s="8" t="str">
        <f>IF(ISERROR(VLOOKUP(A305,'SCINET-PLP'!D:D,1,0)),"N","Y")</f>
        <v>N</v>
      </c>
      <c r="I305" s="8" t="str">
        <f>IF(ISERROR(VLOOKUP(A305,FLEXPLP!D:D,1,0)),"N","Y")</f>
        <v>N</v>
      </c>
      <c r="J305" s="8" t="str">
        <f>IF(ISERROR(VLOOKUP(A305,'ELN PLP'!D:D,1,0)),"N","Y")</f>
        <v>N</v>
      </c>
      <c r="K305" s="29">
        <f t="shared" si="15"/>
        <v>0</v>
      </c>
      <c r="L305" s="52" t="str">
        <f>IF(ISERROR(VLOOKUP(A305,RDPLP!G:G,1,0)),"N","Y")</f>
        <v>N</v>
      </c>
      <c r="M305" s="52" t="str">
        <f>IF(ISERROR(VLOOKUP(A305,'SCINET-PLP'!G:G,1,0)),"N","Y")</f>
        <v>N</v>
      </c>
      <c r="N305" s="52" t="str">
        <f>IF(ISERROR(VLOOKUP(A305,FLEXPLP!G:G,1,0)),"N","Y")</f>
        <v>N</v>
      </c>
      <c r="O305" s="52" t="str">
        <f>IF(ISERROR(VLOOKUP(A305,'ELN PLP'!G:G,1,0)),"N","Y")</f>
        <v>N</v>
      </c>
      <c r="P305" s="53">
        <f t="shared" si="16"/>
        <v>0</v>
      </c>
      <c r="R305" s="21">
        <f>IF(K305+F305&gt;0,1,0)</f>
        <v>0</v>
      </c>
      <c r="S305" s="24">
        <f>IF(ISERROR(VLOOKUP(A305,U:U,1,0)),0,1)</f>
        <v>0</v>
      </c>
      <c r="Z305" s="16"/>
    </row>
    <row r="306" spans="1:26" x14ac:dyDescent="0.35">
      <c r="A306" s="18" t="s">
        <v>1983</v>
      </c>
      <c r="B306" s="5" t="str">
        <f>IF(ISERROR(VLOOKUP(A306,RDPLP!A306:A331,1,0)),"N","Y")</f>
        <v>N</v>
      </c>
      <c r="C306" s="5" t="str">
        <f>IF(ISERROR(VLOOKUP(A306,'SCINET-PLP'!A:A,1,0)),"N","Y")</f>
        <v>N</v>
      </c>
      <c r="D306" s="5" t="str">
        <f>IF(ISERROR(VLOOKUP(A306,FLEXPLP!A:A,1,0)),"N","Y")</f>
        <v>N</v>
      </c>
      <c r="E306" s="5" t="str">
        <f>IF(ISERROR(VLOOKUP(A306,'ELN PLP'!A:A,1,0)),"N","Y")</f>
        <v>N</v>
      </c>
      <c r="F306" s="26">
        <f t="shared" si="14"/>
        <v>0</v>
      </c>
      <c r="G306" s="8" t="str">
        <f>IF(ISERROR(VLOOKUP(A306,RDPLP!D:D,1,0)),"N","Y")</f>
        <v>N</v>
      </c>
      <c r="H306" s="8" t="str">
        <f>IF(ISERROR(VLOOKUP(A306,'SCINET-PLP'!D:D,1,0)),"N","Y")</f>
        <v>N</v>
      </c>
      <c r="I306" s="8" t="str">
        <f>IF(ISERROR(VLOOKUP(A306,FLEXPLP!D:D,1,0)),"N","Y")</f>
        <v>N</v>
      </c>
      <c r="J306" s="8" t="str">
        <f>IF(ISERROR(VLOOKUP(A306,'ELN PLP'!D:D,1,0)),"N","Y")</f>
        <v>N</v>
      </c>
      <c r="K306" s="29">
        <f t="shared" si="15"/>
        <v>0</v>
      </c>
      <c r="L306" s="52" t="str">
        <f>IF(ISERROR(VLOOKUP(A306,RDPLP!G:G,1,0)),"N","Y")</f>
        <v>N</v>
      </c>
      <c r="M306" s="52" t="str">
        <f>IF(ISERROR(VLOOKUP(A306,'SCINET-PLP'!G:G,1,0)),"N","Y")</f>
        <v>N</v>
      </c>
      <c r="N306" s="52" t="str">
        <f>IF(ISERROR(VLOOKUP(A306,FLEXPLP!G:G,1,0)),"N","Y")</f>
        <v>N</v>
      </c>
      <c r="O306" s="52" t="str">
        <f>IF(ISERROR(VLOOKUP(A306,'ELN PLP'!G:G,1,0)),"N","Y")</f>
        <v>N</v>
      </c>
      <c r="P306" s="53">
        <f t="shared" si="16"/>
        <v>0</v>
      </c>
      <c r="R306" s="21">
        <f>IF(K306+F306&gt;0,1,0)</f>
        <v>0</v>
      </c>
      <c r="S306" s="24">
        <f>IF(ISERROR(VLOOKUP(A306,U:U,1,0)),0,1)</f>
        <v>0</v>
      </c>
      <c r="Z306" s="16"/>
    </row>
    <row r="307" spans="1:26" x14ac:dyDescent="0.35">
      <c r="A307" s="18" t="s">
        <v>963</v>
      </c>
      <c r="B307" s="5" t="str">
        <f>IF(ISERROR(VLOOKUP(A307,RDPLP!A307:A332,1,0)),"N","Y")</f>
        <v>N</v>
      </c>
      <c r="C307" s="5" t="str">
        <f>IF(ISERROR(VLOOKUP(A307,'SCINET-PLP'!A:A,1,0)),"N","Y")</f>
        <v>N</v>
      </c>
      <c r="D307" s="5" t="str">
        <f>IF(ISERROR(VLOOKUP(A307,FLEXPLP!A:A,1,0)),"N","Y")</f>
        <v>N</v>
      </c>
      <c r="E307" s="5" t="str">
        <f>IF(ISERROR(VLOOKUP(A307,'ELN PLP'!A:A,1,0)),"N","Y")</f>
        <v>N</v>
      </c>
      <c r="F307" s="26">
        <f t="shared" si="14"/>
        <v>0</v>
      </c>
      <c r="G307" s="8" t="str">
        <f>IF(ISERROR(VLOOKUP(A307,RDPLP!D:D,1,0)),"N","Y")</f>
        <v>N</v>
      </c>
      <c r="H307" s="8" t="str">
        <f>IF(ISERROR(VLOOKUP(A307,'SCINET-PLP'!D:D,1,0)),"N","Y")</f>
        <v>N</v>
      </c>
      <c r="I307" s="8" t="str">
        <f>IF(ISERROR(VLOOKUP(A307,FLEXPLP!D:D,1,0)),"N","Y")</f>
        <v>N</v>
      </c>
      <c r="J307" s="8" t="str">
        <f>IF(ISERROR(VLOOKUP(A307,'ELN PLP'!D:D,1,0)),"N","Y")</f>
        <v>N</v>
      </c>
      <c r="K307" s="29">
        <f t="shared" si="15"/>
        <v>0</v>
      </c>
      <c r="L307" s="52" t="str">
        <f>IF(ISERROR(VLOOKUP(A307,RDPLP!G:G,1,0)),"N","Y")</f>
        <v>N</v>
      </c>
      <c r="M307" s="52" t="str">
        <f>IF(ISERROR(VLOOKUP(A307,'SCINET-PLP'!G:G,1,0)),"N","Y")</f>
        <v>N</v>
      </c>
      <c r="N307" s="52" t="str">
        <f>IF(ISERROR(VLOOKUP(A307,FLEXPLP!G:G,1,0)),"N","Y")</f>
        <v>N</v>
      </c>
      <c r="O307" s="52" t="str">
        <f>IF(ISERROR(VLOOKUP(A307,'ELN PLP'!G:G,1,0)),"N","Y")</f>
        <v>N</v>
      </c>
      <c r="P307" s="53">
        <f t="shared" si="16"/>
        <v>0</v>
      </c>
      <c r="R307" s="21">
        <f>IF(K307+F307&gt;0,1,0)</f>
        <v>0</v>
      </c>
      <c r="S307" s="24">
        <f>IF(ISERROR(VLOOKUP(A307,U:U,1,0)),0,1)</f>
        <v>0</v>
      </c>
      <c r="Z307" s="16"/>
    </row>
    <row r="308" spans="1:26" x14ac:dyDescent="0.35">
      <c r="A308" s="19" t="s">
        <v>1838</v>
      </c>
      <c r="B308" s="5" t="str">
        <f>IF(ISERROR(VLOOKUP(A308,RDPLP!A308:A333,1,0)),"N","Y")</f>
        <v>N</v>
      </c>
      <c r="C308" s="5" t="str">
        <f>IF(ISERROR(VLOOKUP(A308,'SCINET-PLP'!A:A,1,0)),"N","Y")</f>
        <v>N</v>
      </c>
      <c r="D308" s="5" t="str">
        <f>IF(ISERROR(VLOOKUP(A308,FLEXPLP!A:A,1,0)),"N","Y")</f>
        <v>N</v>
      </c>
      <c r="E308" s="5" t="str">
        <f>IF(ISERROR(VLOOKUP(A308,'ELN PLP'!A:A,1,0)),"N","Y")</f>
        <v>N</v>
      </c>
      <c r="F308" s="26">
        <f t="shared" si="14"/>
        <v>0</v>
      </c>
      <c r="G308" s="8" t="str">
        <f>IF(ISERROR(VLOOKUP(A308,RDPLP!D:D,1,0)),"N","Y")</f>
        <v>N</v>
      </c>
      <c r="H308" s="8" t="str">
        <f>IF(ISERROR(VLOOKUP(A308,'SCINET-PLP'!D:D,1,0)),"N","Y")</f>
        <v>N</v>
      </c>
      <c r="I308" s="8" t="str">
        <f>IF(ISERROR(VLOOKUP(A308,FLEXPLP!D:D,1,0)),"N","Y")</f>
        <v>N</v>
      </c>
      <c r="J308" s="8" t="str">
        <f>IF(ISERROR(VLOOKUP(A308,'ELN PLP'!D:D,1,0)),"N","Y")</f>
        <v>N</v>
      </c>
      <c r="K308" s="29">
        <f t="shared" si="15"/>
        <v>0</v>
      </c>
      <c r="L308" s="52" t="str">
        <f>IF(ISERROR(VLOOKUP(A308,RDPLP!G:G,1,0)),"N","Y")</f>
        <v>N</v>
      </c>
      <c r="M308" s="52" t="str">
        <f>IF(ISERROR(VLOOKUP(A308,'SCINET-PLP'!G:G,1,0)),"N","Y")</f>
        <v>N</v>
      </c>
      <c r="N308" s="52" t="str">
        <f>IF(ISERROR(VLOOKUP(A308,FLEXPLP!G:G,1,0)),"N","Y")</f>
        <v>N</v>
      </c>
      <c r="O308" s="52" t="str">
        <f>IF(ISERROR(VLOOKUP(A308,'ELN PLP'!G:G,1,0)),"N","Y")</f>
        <v>Y</v>
      </c>
      <c r="P308" s="53">
        <f t="shared" si="16"/>
        <v>1</v>
      </c>
      <c r="R308" s="21">
        <f>IF(K308+F308&gt;0,1,0)</f>
        <v>0</v>
      </c>
      <c r="S308" s="24">
        <f>IF(ISERROR(VLOOKUP(A308,U:U,1,0)),0,1)</f>
        <v>0</v>
      </c>
      <c r="Z308" s="16"/>
    </row>
    <row r="309" spans="1:26" x14ac:dyDescent="0.35">
      <c r="A309" s="19" t="s">
        <v>1841</v>
      </c>
      <c r="B309" s="5" t="str">
        <f>IF(ISERROR(VLOOKUP(A309,RDPLP!A309:A334,1,0)),"N","Y")</f>
        <v>N</v>
      </c>
      <c r="C309" s="5" t="str">
        <f>IF(ISERROR(VLOOKUP(A309,'SCINET-PLP'!A:A,1,0)),"N","Y")</f>
        <v>N</v>
      </c>
      <c r="D309" s="5" t="str">
        <f>IF(ISERROR(VLOOKUP(A309,FLEXPLP!A:A,1,0)),"N","Y")</f>
        <v>N</v>
      </c>
      <c r="E309" s="5" t="str">
        <f>IF(ISERROR(VLOOKUP(A309,'ELN PLP'!A:A,1,0)),"N","Y")</f>
        <v>N</v>
      </c>
      <c r="F309" s="26">
        <f t="shared" si="14"/>
        <v>0</v>
      </c>
      <c r="G309" s="8" t="str">
        <f>IF(ISERROR(VLOOKUP(A309,RDPLP!D:D,1,0)),"N","Y")</f>
        <v>N</v>
      </c>
      <c r="H309" s="8" t="str">
        <f>IF(ISERROR(VLOOKUP(A309,'SCINET-PLP'!D:D,1,0)),"N","Y")</f>
        <v>N</v>
      </c>
      <c r="I309" s="8" t="str">
        <f>IF(ISERROR(VLOOKUP(A309,FLEXPLP!D:D,1,0)),"N","Y")</f>
        <v>N</v>
      </c>
      <c r="J309" s="8" t="str">
        <f>IF(ISERROR(VLOOKUP(A309,'ELN PLP'!D:D,1,0)),"N","Y")</f>
        <v>N</v>
      </c>
      <c r="K309" s="29">
        <f t="shared" si="15"/>
        <v>0</v>
      </c>
      <c r="L309" s="52" t="str">
        <f>IF(ISERROR(VLOOKUP(A309,RDPLP!G:G,1,0)),"N","Y")</f>
        <v>N</v>
      </c>
      <c r="M309" s="52" t="str">
        <f>IF(ISERROR(VLOOKUP(A309,'SCINET-PLP'!G:G,1,0)),"N","Y")</f>
        <v>N</v>
      </c>
      <c r="N309" s="52" t="str">
        <f>IF(ISERROR(VLOOKUP(A309,FLEXPLP!G:G,1,0)),"N","Y")</f>
        <v>N</v>
      </c>
      <c r="O309" s="52" t="str">
        <f>IF(ISERROR(VLOOKUP(A309,'ELN PLP'!G:G,1,0)),"N","Y")</f>
        <v>N</v>
      </c>
      <c r="P309" s="53">
        <f t="shared" si="16"/>
        <v>0</v>
      </c>
      <c r="R309" s="21">
        <f>IF(K309+F309&gt;0,1,0)</f>
        <v>0</v>
      </c>
      <c r="S309" s="24">
        <f>IF(ISERROR(VLOOKUP(A309,U:U,1,0)),0,1)</f>
        <v>0</v>
      </c>
      <c r="Z309" s="16"/>
    </row>
    <row r="310" spans="1:26" x14ac:dyDescent="0.35">
      <c r="A310" s="19" t="s">
        <v>1843</v>
      </c>
      <c r="B310" s="5" t="str">
        <f>IF(ISERROR(VLOOKUP(A310,RDPLP!A310:A335,1,0)),"N","Y")</f>
        <v>N</v>
      </c>
      <c r="C310" s="5" t="str">
        <f>IF(ISERROR(VLOOKUP(A310,'SCINET-PLP'!A:A,1,0)),"N","Y")</f>
        <v>N</v>
      </c>
      <c r="D310" s="5" t="str">
        <f>IF(ISERROR(VLOOKUP(A310,FLEXPLP!A:A,1,0)),"N","Y")</f>
        <v>N</v>
      </c>
      <c r="E310" s="5" t="str">
        <f>IF(ISERROR(VLOOKUP(A310,'ELN PLP'!A:A,1,0)),"N","Y")</f>
        <v>N</v>
      </c>
      <c r="F310" s="26">
        <f t="shared" si="14"/>
        <v>0</v>
      </c>
      <c r="G310" s="8" t="str">
        <f>IF(ISERROR(VLOOKUP(A310,RDPLP!D:D,1,0)),"N","Y")</f>
        <v>N</v>
      </c>
      <c r="H310" s="8" t="str">
        <f>IF(ISERROR(VLOOKUP(A310,'SCINET-PLP'!D:D,1,0)),"N","Y")</f>
        <v>N</v>
      </c>
      <c r="I310" s="8" t="str">
        <f>IF(ISERROR(VLOOKUP(A310,FLEXPLP!D:D,1,0)),"N","Y")</f>
        <v>N</v>
      </c>
      <c r="J310" s="8" t="str">
        <f>IF(ISERROR(VLOOKUP(A310,'ELN PLP'!D:D,1,0)),"N","Y")</f>
        <v>N</v>
      </c>
      <c r="K310" s="29">
        <f t="shared" si="15"/>
        <v>0</v>
      </c>
      <c r="L310" s="52" t="str">
        <f>IF(ISERROR(VLOOKUP(A310,RDPLP!G:G,1,0)),"N","Y")</f>
        <v>N</v>
      </c>
      <c r="M310" s="52" t="str">
        <f>IF(ISERROR(VLOOKUP(A310,'SCINET-PLP'!G:G,1,0)),"N","Y")</f>
        <v>N</v>
      </c>
      <c r="N310" s="52" t="str">
        <f>IF(ISERROR(VLOOKUP(A310,FLEXPLP!G:G,1,0)),"N","Y")</f>
        <v>N</v>
      </c>
      <c r="O310" s="52" t="str">
        <f>IF(ISERROR(VLOOKUP(A310,'ELN PLP'!G:G,1,0)),"N","Y")</f>
        <v>N</v>
      </c>
      <c r="P310" s="53">
        <f t="shared" si="16"/>
        <v>0</v>
      </c>
      <c r="R310" s="21">
        <f>IF(K310+F310&gt;0,1,0)</f>
        <v>0</v>
      </c>
      <c r="S310" s="24">
        <f>IF(ISERROR(VLOOKUP(A310,U:U,1,0)),0,1)</f>
        <v>0</v>
      </c>
      <c r="Z310" s="16"/>
    </row>
    <row r="311" spans="1:26" x14ac:dyDescent="0.35">
      <c r="A311" s="19" t="s">
        <v>1846</v>
      </c>
      <c r="B311" s="5" t="str">
        <f>IF(ISERROR(VLOOKUP(A311,RDPLP!A311:A336,1,0)),"N","Y")</f>
        <v>N</v>
      </c>
      <c r="C311" s="5" t="str">
        <f>IF(ISERROR(VLOOKUP(A311,'SCINET-PLP'!A:A,1,0)),"N","Y")</f>
        <v>N</v>
      </c>
      <c r="D311" s="5" t="str">
        <f>IF(ISERROR(VLOOKUP(A311,FLEXPLP!A:A,1,0)),"N","Y")</f>
        <v>N</v>
      </c>
      <c r="E311" s="5" t="str">
        <f>IF(ISERROR(VLOOKUP(A311,'ELN PLP'!A:A,1,0)),"N","Y")</f>
        <v>N</v>
      </c>
      <c r="F311" s="26">
        <f t="shared" si="14"/>
        <v>0</v>
      </c>
      <c r="G311" s="8" t="str">
        <f>IF(ISERROR(VLOOKUP(A311,RDPLP!D:D,1,0)),"N","Y")</f>
        <v>N</v>
      </c>
      <c r="H311" s="8" t="str">
        <f>IF(ISERROR(VLOOKUP(A311,'SCINET-PLP'!D:D,1,0)),"N","Y")</f>
        <v>N</v>
      </c>
      <c r="I311" s="8" t="str">
        <f>IF(ISERROR(VLOOKUP(A311,FLEXPLP!D:D,1,0)),"N","Y")</f>
        <v>N</v>
      </c>
      <c r="J311" s="8" t="str">
        <f>IF(ISERROR(VLOOKUP(A311,'ELN PLP'!D:D,1,0)),"N","Y")</f>
        <v>N</v>
      </c>
      <c r="K311" s="29">
        <f t="shared" si="15"/>
        <v>0</v>
      </c>
      <c r="L311" s="52" t="str">
        <f>IF(ISERROR(VLOOKUP(A311,RDPLP!G:G,1,0)),"N","Y")</f>
        <v>N</v>
      </c>
      <c r="M311" s="52" t="str">
        <f>IF(ISERROR(VLOOKUP(A311,'SCINET-PLP'!G:G,1,0)),"N","Y")</f>
        <v>N</v>
      </c>
      <c r="N311" s="52" t="str">
        <f>IF(ISERROR(VLOOKUP(A311,FLEXPLP!G:G,1,0)),"N","Y")</f>
        <v>N</v>
      </c>
      <c r="O311" s="52" t="str">
        <f>IF(ISERROR(VLOOKUP(A311,'ELN PLP'!G:G,1,0)),"N","Y")</f>
        <v>N</v>
      </c>
      <c r="P311" s="53">
        <f t="shared" si="16"/>
        <v>0</v>
      </c>
      <c r="R311" s="21">
        <f>IF(K311+F311&gt;0,1,0)</f>
        <v>0</v>
      </c>
      <c r="S311" s="24">
        <f>IF(ISERROR(VLOOKUP(A311,U:U,1,0)),0,1)</f>
        <v>0</v>
      </c>
      <c r="Z311" s="16"/>
    </row>
    <row r="312" spans="1:26" x14ac:dyDescent="0.35">
      <c r="A312" s="19" t="s">
        <v>1850</v>
      </c>
      <c r="B312" s="5" t="str">
        <f>IF(ISERROR(VLOOKUP(A312,RDPLP!A312:A337,1,0)),"N","Y")</f>
        <v>N</v>
      </c>
      <c r="C312" s="5" t="str">
        <f>IF(ISERROR(VLOOKUP(A312,'SCINET-PLP'!A:A,1,0)),"N","Y")</f>
        <v>N</v>
      </c>
      <c r="D312" s="5" t="str">
        <f>IF(ISERROR(VLOOKUP(A312,FLEXPLP!A:A,1,0)),"N","Y")</f>
        <v>N</v>
      </c>
      <c r="E312" s="5" t="str">
        <f>IF(ISERROR(VLOOKUP(A312,'ELN PLP'!A:A,1,0)),"N","Y")</f>
        <v>N</v>
      </c>
      <c r="F312" s="26">
        <f t="shared" si="14"/>
        <v>0</v>
      </c>
      <c r="G312" s="8" t="str">
        <f>IF(ISERROR(VLOOKUP(A312,RDPLP!D:D,1,0)),"N","Y")</f>
        <v>N</v>
      </c>
      <c r="H312" s="8" t="str">
        <f>IF(ISERROR(VLOOKUP(A312,'SCINET-PLP'!D:D,1,0)),"N","Y")</f>
        <v>N</v>
      </c>
      <c r="I312" s="8" t="str">
        <f>IF(ISERROR(VLOOKUP(A312,FLEXPLP!D:D,1,0)),"N","Y")</f>
        <v>N</v>
      </c>
      <c r="J312" s="8" t="str">
        <f>IF(ISERROR(VLOOKUP(A312,'ELN PLP'!D:D,1,0)),"N","Y")</f>
        <v>N</v>
      </c>
      <c r="K312" s="29">
        <f t="shared" si="15"/>
        <v>0</v>
      </c>
      <c r="L312" s="52" t="str">
        <f>IF(ISERROR(VLOOKUP(A312,RDPLP!G:G,1,0)),"N","Y")</f>
        <v>N</v>
      </c>
      <c r="M312" s="52" t="str">
        <f>IF(ISERROR(VLOOKUP(A312,'SCINET-PLP'!G:G,1,0)),"N","Y")</f>
        <v>N</v>
      </c>
      <c r="N312" s="52" t="str">
        <f>IF(ISERROR(VLOOKUP(A312,FLEXPLP!G:G,1,0)),"N","Y")</f>
        <v>N</v>
      </c>
      <c r="O312" s="52" t="str">
        <f>IF(ISERROR(VLOOKUP(A312,'ELN PLP'!G:G,1,0)),"N","Y")</f>
        <v>N</v>
      </c>
      <c r="P312" s="53">
        <f t="shared" si="16"/>
        <v>0</v>
      </c>
      <c r="R312" s="21">
        <f>IF(K312+F312&gt;0,1,0)</f>
        <v>0</v>
      </c>
      <c r="S312" s="24">
        <f>IF(ISERROR(VLOOKUP(A312,U:U,1,0)),0,1)</f>
        <v>0</v>
      </c>
      <c r="Z312" s="16"/>
    </row>
    <row r="313" spans="1:26" x14ac:dyDescent="0.35">
      <c r="A313" s="19" t="s">
        <v>1858</v>
      </c>
      <c r="B313" s="5" t="str">
        <f>IF(ISERROR(VLOOKUP(A313,RDPLP!A313:A338,1,0)),"N","Y")</f>
        <v>N</v>
      </c>
      <c r="C313" s="5" t="str">
        <f>IF(ISERROR(VLOOKUP(A313,'SCINET-PLP'!A:A,1,0)),"N","Y")</f>
        <v>N</v>
      </c>
      <c r="D313" s="5" t="str">
        <f>IF(ISERROR(VLOOKUP(A313,FLEXPLP!A:A,1,0)),"N","Y")</f>
        <v>N</v>
      </c>
      <c r="E313" s="5" t="str">
        <f>IF(ISERROR(VLOOKUP(A313,'ELN PLP'!A:A,1,0)),"N","Y")</f>
        <v>N</v>
      </c>
      <c r="F313" s="26">
        <f t="shared" si="14"/>
        <v>0</v>
      </c>
      <c r="G313" s="8" t="str">
        <f>IF(ISERROR(VLOOKUP(A313,RDPLP!D:D,1,0)),"N","Y")</f>
        <v>N</v>
      </c>
      <c r="H313" s="8" t="str">
        <f>IF(ISERROR(VLOOKUP(A313,'SCINET-PLP'!D:D,1,0)),"N","Y")</f>
        <v>N</v>
      </c>
      <c r="I313" s="8" t="str">
        <f>IF(ISERROR(VLOOKUP(A313,FLEXPLP!D:D,1,0)),"N","Y")</f>
        <v>N</v>
      </c>
      <c r="J313" s="8" t="str">
        <f>IF(ISERROR(VLOOKUP(A313,'ELN PLP'!D:D,1,0)),"N","Y")</f>
        <v>N</v>
      </c>
      <c r="K313" s="29">
        <f t="shared" si="15"/>
        <v>0</v>
      </c>
      <c r="L313" s="52" t="str">
        <f>IF(ISERROR(VLOOKUP(A313,RDPLP!G:G,1,0)),"N","Y")</f>
        <v>N</v>
      </c>
      <c r="M313" s="52" t="str">
        <f>IF(ISERROR(VLOOKUP(A313,'SCINET-PLP'!G:G,1,0)),"N","Y")</f>
        <v>N</v>
      </c>
      <c r="N313" s="52" t="str">
        <f>IF(ISERROR(VLOOKUP(A313,FLEXPLP!G:G,1,0)),"N","Y")</f>
        <v>N</v>
      </c>
      <c r="O313" s="52" t="str">
        <f>IF(ISERROR(VLOOKUP(A313,'ELN PLP'!G:G,1,0)),"N","Y")</f>
        <v>N</v>
      </c>
      <c r="P313" s="53">
        <f t="shared" si="16"/>
        <v>0</v>
      </c>
      <c r="R313" s="21">
        <f>IF(K313+F313&gt;0,1,0)</f>
        <v>0</v>
      </c>
      <c r="S313" s="24">
        <f>IF(ISERROR(VLOOKUP(A313,U:U,1,0)),0,1)</f>
        <v>0</v>
      </c>
      <c r="Z313" s="16"/>
    </row>
    <row r="314" spans="1:26" x14ac:dyDescent="0.35">
      <c r="A314" s="19" t="s">
        <v>1864</v>
      </c>
      <c r="B314" s="5" t="str">
        <f>IF(ISERROR(VLOOKUP(A314,RDPLP!A314:A339,1,0)),"N","Y")</f>
        <v>N</v>
      </c>
      <c r="C314" s="5" t="str">
        <f>IF(ISERROR(VLOOKUP(A314,'SCINET-PLP'!A:A,1,0)),"N","Y")</f>
        <v>N</v>
      </c>
      <c r="D314" s="5" t="str">
        <f>IF(ISERROR(VLOOKUP(A314,FLEXPLP!A:A,1,0)),"N","Y")</f>
        <v>N</v>
      </c>
      <c r="E314" s="5" t="str">
        <f>IF(ISERROR(VLOOKUP(A314,'ELN PLP'!A:A,1,0)),"N","Y")</f>
        <v>N</v>
      </c>
      <c r="F314" s="26">
        <f t="shared" si="14"/>
        <v>0</v>
      </c>
      <c r="G314" s="8" t="str">
        <f>IF(ISERROR(VLOOKUP(A314,RDPLP!D:D,1,0)),"N","Y")</f>
        <v>N</v>
      </c>
      <c r="H314" s="8" t="str">
        <f>IF(ISERROR(VLOOKUP(A314,'SCINET-PLP'!D:D,1,0)),"N","Y")</f>
        <v>N</v>
      </c>
      <c r="I314" s="8" t="str">
        <f>IF(ISERROR(VLOOKUP(A314,FLEXPLP!D:D,1,0)),"N","Y")</f>
        <v>N</v>
      </c>
      <c r="J314" s="8" t="str">
        <f>IF(ISERROR(VLOOKUP(A314,'ELN PLP'!D:D,1,0)),"N","Y")</f>
        <v>N</v>
      </c>
      <c r="K314" s="29">
        <f t="shared" si="15"/>
        <v>0</v>
      </c>
      <c r="L314" s="52" t="str">
        <f>IF(ISERROR(VLOOKUP(A314,RDPLP!G:G,1,0)),"N","Y")</f>
        <v>N</v>
      </c>
      <c r="M314" s="52" t="str">
        <f>IF(ISERROR(VLOOKUP(A314,'SCINET-PLP'!G:G,1,0)),"N","Y")</f>
        <v>N</v>
      </c>
      <c r="N314" s="52" t="str">
        <f>IF(ISERROR(VLOOKUP(A314,FLEXPLP!G:G,1,0)),"N","Y")</f>
        <v>N</v>
      </c>
      <c r="O314" s="52" t="str">
        <f>IF(ISERROR(VLOOKUP(A314,'ELN PLP'!G:G,1,0)),"N","Y")</f>
        <v>Y</v>
      </c>
      <c r="P314" s="53">
        <f t="shared" si="16"/>
        <v>1</v>
      </c>
      <c r="R314" s="21">
        <f>IF(K314+F314&gt;0,1,0)</f>
        <v>0</v>
      </c>
      <c r="S314" s="24">
        <f>IF(ISERROR(VLOOKUP(A314,U:U,1,0)),0,1)</f>
        <v>0</v>
      </c>
      <c r="Z314" s="16"/>
    </row>
    <row r="315" spans="1:26" x14ac:dyDescent="0.35">
      <c r="A315" s="19" t="s">
        <v>1866</v>
      </c>
      <c r="B315" s="5" t="str">
        <f>IF(ISERROR(VLOOKUP(A315,RDPLP!A315:A340,1,0)),"N","Y")</f>
        <v>N</v>
      </c>
      <c r="C315" s="5" t="str">
        <f>IF(ISERROR(VLOOKUP(A315,'SCINET-PLP'!A:A,1,0)),"N","Y")</f>
        <v>N</v>
      </c>
      <c r="D315" s="5" t="str">
        <f>IF(ISERROR(VLOOKUP(A315,FLEXPLP!A:A,1,0)),"N","Y")</f>
        <v>N</v>
      </c>
      <c r="E315" s="5" t="str">
        <f>IF(ISERROR(VLOOKUP(A315,'ELN PLP'!A:A,1,0)),"N","Y")</f>
        <v>N</v>
      </c>
      <c r="F315" s="26">
        <f t="shared" si="14"/>
        <v>0</v>
      </c>
      <c r="G315" s="8" t="str">
        <f>IF(ISERROR(VLOOKUP(A315,RDPLP!D:D,1,0)),"N","Y")</f>
        <v>N</v>
      </c>
      <c r="H315" s="8" t="str">
        <f>IF(ISERROR(VLOOKUP(A315,'SCINET-PLP'!D:D,1,0)),"N","Y")</f>
        <v>N</v>
      </c>
      <c r="I315" s="8" t="str">
        <f>IF(ISERROR(VLOOKUP(A315,FLEXPLP!D:D,1,0)),"N","Y")</f>
        <v>N</v>
      </c>
      <c r="J315" s="8" t="str">
        <f>IF(ISERROR(VLOOKUP(A315,'ELN PLP'!D:D,1,0)),"N","Y")</f>
        <v>N</v>
      </c>
      <c r="K315" s="29">
        <f t="shared" si="15"/>
        <v>0</v>
      </c>
      <c r="L315" s="52" t="str">
        <f>IF(ISERROR(VLOOKUP(A315,RDPLP!G:G,1,0)),"N","Y")</f>
        <v>N</v>
      </c>
      <c r="M315" s="52" t="str">
        <f>IF(ISERROR(VLOOKUP(A315,'SCINET-PLP'!G:G,1,0)),"N","Y")</f>
        <v>N</v>
      </c>
      <c r="N315" s="52" t="str">
        <f>IF(ISERROR(VLOOKUP(A315,FLEXPLP!G:G,1,0)),"N","Y")</f>
        <v>N</v>
      </c>
      <c r="O315" s="52" t="str">
        <f>IF(ISERROR(VLOOKUP(A315,'ELN PLP'!G:G,1,0)),"N","Y")</f>
        <v>Y</v>
      </c>
      <c r="P315" s="53">
        <f t="shared" si="16"/>
        <v>1</v>
      </c>
      <c r="R315" s="21">
        <f>IF(K315+F315&gt;0,1,0)</f>
        <v>0</v>
      </c>
      <c r="S315" s="24">
        <f>IF(ISERROR(VLOOKUP(A315,U:U,1,0)),0,1)</f>
        <v>0</v>
      </c>
      <c r="Z315" s="16"/>
    </row>
    <row r="316" spans="1:26" x14ac:dyDescent="0.35">
      <c r="A316" s="19" t="s">
        <v>1869</v>
      </c>
      <c r="B316" s="5" t="str">
        <f>IF(ISERROR(VLOOKUP(A316,RDPLP!A316:A341,1,0)),"N","Y")</f>
        <v>N</v>
      </c>
      <c r="C316" s="5" t="str">
        <f>IF(ISERROR(VLOOKUP(A316,'SCINET-PLP'!A:A,1,0)),"N","Y")</f>
        <v>N</v>
      </c>
      <c r="D316" s="5" t="str">
        <f>IF(ISERROR(VLOOKUP(A316,FLEXPLP!A:A,1,0)),"N","Y")</f>
        <v>N</v>
      </c>
      <c r="E316" s="5" t="str">
        <f>IF(ISERROR(VLOOKUP(A316,'ELN PLP'!A:A,1,0)),"N","Y")</f>
        <v>N</v>
      </c>
      <c r="F316" s="26">
        <f t="shared" si="14"/>
        <v>0</v>
      </c>
      <c r="G316" s="8" t="str">
        <f>IF(ISERROR(VLOOKUP(A316,RDPLP!D:D,1,0)),"N","Y")</f>
        <v>N</v>
      </c>
      <c r="H316" s="8" t="str">
        <f>IF(ISERROR(VLOOKUP(A316,'SCINET-PLP'!D:D,1,0)),"N","Y")</f>
        <v>N</v>
      </c>
      <c r="I316" s="8" t="str">
        <f>IF(ISERROR(VLOOKUP(A316,FLEXPLP!D:D,1,0)),"N","Y")</f>
        <v>N</v>
      </c>
      <c r="J316" s="8" t="str">
        <f>IF(ISERROR(VLOOKUP(A316,'ELN PLP'!D:D,1,0)),"N","Y")</f>
        <v>N</v>
      </c>
      <c r="K316" s="29">
        <f t="shared" si="15"/>
        <v>0</v>
      </c>
      <c r="L316" s="52" t="str">
        <f>IF(ISERROR(VLOOKUP(A316,RDPLP!G:G,1,0)),"N","Y")</f>
        <v>N</v>
      </c>
      <c r="M316" s="52" t="str">
        <f>IF(ISERROR(VLOOKUP(A316,'SCINET-PLP'!G:G,1,0)),"N","Y")</f>
        <v>N</v>
      </c>
      <c r="N316" s="52" t="str">
        <f>IF(ISERROR(VLOOKUP(A316,FLEXPLP!G:G,1,0)),"N","Y")</f>
        <v>N</v>
      </c>
      <c r="O316" s="52" t="str">
        <f>IF(ISERROR(VLOOKUP(A316,'ELN PLP'!G:G,1,0)),"N","Y")</f>
        <v>N</v>
      </c>
      <c r="P316" s="53">
        <f t="shared" si="16"/>
        <v>0</v>
      </c>
      <c r="R316" s="21">
        <f>IF(K316+F316&gt;0,1,0)</f>
        <v>0</v>
      </c>
      <c r="S316" s="24">
        <f>IF(ISERROR(VLOOKUP(A316,U:U,1,0)),0,1)</f>
        <v>0</v>
      </c>
      <c r="Z316" s="16"/>
    </row>
    <row r="317" spans="1:26" x14ac:dyDescent="0.35">
      <c r="A317" s="19" t="s">
        <v>1873</v>
      </c>
      <c r="B317" s="5" t="str">
        <f>IF(ISERROR(VLOOKUP(A317,RDPLP!A317:A342,1,0)),"N","Y")</f>
        <v>N</v>
      </c>
      <c r="C317" s="5" t="str">
        <f>IF(ISERROR(VLOOKUP(A317,'SCINET-PLP'!A:A,1,0)),"N","Y")</f>
        <v>N</v>
      </c>
      <c r="D317" s="5" t="str">
        <f>IF(ISERROR(VLOOKUP(A317,FLEXPLP!A:A,1,0)),"N","Y")</f>
        <v>N</v>
      </c>
      <c r="E317" s="5" t="str">
        <f>IF(ISERROR(VLOOKUP(A317,'ELN PLP'!A:A,1,0)),"N","Y")</f>
        <v>N</v>
      </c>
      <c r="F317" s="26">
        <f t="shared" ref="F317:F361" si="17">IF(COUNTIF(B317:E317,"Y")&gt;0,1,0)</f>
        <v>0</v>
      </c>
      <c r="G317" s="8" t="str">
        <f>IF(ISERROR(VLOOKUP(A317,RDPLP!D:D,1,0)),"N","Y")</f>
        <v>N</v>
      </c>
      <c r="H317" s="8" t="str">
        <f>IF(ISERROR(VLOOKUP(A317,'SCINET-PLP'!D:D,1,0)),"N","Y")</f>
        <v>N</v>
      </c>
      <c r="I317" s="8" t="str">
        <f>IF(ISERROR(VLOOKUP(A317,FLEXPLP!D:D,1,0)),"N","Y")</f>
        <v>N</v>
      </c>
      <c r="J317" s="8" t="str">
        <f>IF(ISERROR(VLOOKUP(A317,'ELN PLP'!D:D,1,0)),"N","Y")</f>
        <v>N</v>
      </c>
      <c r="K317" s="29">
        <f t="shared" ref="K317:K361" si="18">IF(COUNTIF(G317:J317,"Y")&gt;0,1,0)</f>
        <v>0</v>
      </c>
      <c r="L317" s="52" t="str">
        <f>IF(ISERROR(VLOOKUP(A317,RDPLP!G:G,1,0)),"N","Y")</f>
        <v>N</v>
      </c>
      <c r="M317" s="52" t="str">
        <f>IF(ISERROR(VLOOKUP(A317,'SCINET-PLP'!G:G,1,0)),"N","Y")</f>
        <v>N</v>
      </c>
      <c r="N317" s="52" t="str">
        <f>IF(ISERROR(VLOOKUP(A317,FLEXPLP!G:G,1,0)),"N","Y")</f>
        <v>N</v>
      </c>
      <c r="O317" s="52" t="str">
        <f>IF(ISERROR(VLOOKUP(A317,'ELN PLP'!G:G,1,0)),"N","Y")</f>
        <v>N</v>
      </c>
      <c r="P317" s="53">
        <f t="shared" si="16"/>
        <v>0</v>
      </c>
      <c r="R317" s="21">
        <f>IF(K317+F317&gt;0,1,0)</f>
        <v>0</v>
      </c>
      <c r="S317" s="24">
        <f>IF(ISERROR(VLOOKUP(A317,U:U,1,0)),0,1)</f>
        <v>0</v>
      </c>
      <c r="Z317" s="16"/>
    </row>
    <row r="318" spans="1:26" x14ac:dyDescent="0.35">
      <c r="A318" s="19" t="s">
        <v>1875</v>
      </c>
      <c r="B318" s="5" t="str">
        <f>IF(ISERROR(VLOOKUP(A318,RDPLP!A318:A343,1,0)),"N","Y")</f>
        <v>N</v>
      </c>
      <c r="C318" s="5" t="str">
        <f>IF(ISERROR(VLOOKUP(A318,'SCINET-PLP'!A:A,1,0)),"N","Y")</f>
        <v>N</v>
      </c>
      <c r="D318" s="5" t="str">
        <f>IF(ISERROR(VLOOKUP(A318,FLEXPLP!A:A,1,0)),"N","Y")</f>
        <v>N</v>
      </c>
      <c r="E318" s="5" t="str">
        <f>IF(ISERROR(VLOOKUP(A318,'ELN PLP'!A:A,1,0)),"N","Y")</f>
        <v>N</v>
      </c>
      <c r="F318" s="26">
        <f t="shared" si="17"/>
        <v>0</v>
      </c>
      <c r="G318" s="8" t="str">
        <f>IF(ISERROR(VLOOKUP(A318,RDPLP!D:D,1,0)),"N","Y")</f>
        <v>N</v>
      </c>
      <c r="H318" s="8" t="str">
        <f>IF(ISERROR(VLOOKUP(A318,'SCINET-PLP'!D:D,1,0)),"N","Y")</f>
        <v>N</v>
      </c>
      <c r="I318" s="8" t="str">
        <f>IF(ISERROR(VLOOKUP(A318,FLEXPLP!D:D,1,0)),"N","Y")</f>
        <v>N</v>
      </c>
      <c r="J318" s="8" t="str">
        <f>IF(ISERROR(VLOOKUP(A318,'ELN PLP'!D:D,1,0)),"N","Y")</f>
        <v>N</v>
      </c>
      <c r="K318" s="29">
        <f t="shared" si="18"/>
        <v>0</v>
      </c>
      <c r="L318" s="52" t="str">
        <f>IF(ISERROR(VLOOKUP(A318,RDPLP!G:G,1,0)),"N","Y")</f>
        <v>N</v>
      </c>
      <c r="M318" s="52" t="str">
        <f>IF(ISERROR(VLOOKUP(A318,'SCINET-PLP'!G:G,1,0)),"N","Y")</f>
        <v>N</v>
      </c>
      <c r="N318" s="52" t="str">
        <f>IF(ISERROR(VLOOKUP(A318,FLEXPLP!G:G,1,0)),"N","Y")</f>
        <v>N</v>
      </c>
      <c r="O318" s="52" t="str">
        <f>IF(ISERROR(VLOOKUP(A318,'ELN PLP'!G:G,1,0)),"N","Y")</f>
        <v>N</v>
      </c>
      <c r="P318" s="53">
        <f t="shared" si="16"/>
        <v>0</v>
      </c>
      <c r="R318" s="21">
        <f>IF(K318+F318&gt;0,1,0)</f>
        <v>0</v>
      </c>
      <c r="S318" s="24">
        <f>IF(ISERROR(VLOOKUP(A318,U:U,1,0)),0,1)</f>
        <v>0</v>
      </c>
      <c r="Z318" s="16"/>
    </row>
    <row r="319" spans="1:26" x14ac:dyDescent="0.35">
      <c r="A319" s="19" t="s">
        <v>1881</v>
      </c>
      <c r="B319" s="5" t="str">
        <f>IF(ISERROR(VLOOKUP(A319,RDPLP!A319:A344,1,0)),"N","Y")</f>
        <v>N</v>
      </c>
      <c r="C319" s="5" t="str">
        <f>IF(ISERROR(VLOOKUP(A319,'SCINET-PLP'!A:A,1,0)),"N","Y")</f>
        <v>N</v>
      </c>
      <c r="D319" s="5" t="str">
        <f>IF(ISERROR(VLOOKUP(A319,FLEXPLP!A:A,1,0)),"N","Y")</f>
        <v>N</v>
      </c>
      <c r="E319" s="5" t="str">
        <f>IF(ISERROR(VLOOKUP(A319,'ELN PLP'!A:A,1,0)),"N","Y")</f>
        <v>N</v>
      </c>
      <c r="F319" s="26">
        <f t="shared" si="17"/>
        <v>0</v>
      </c>
      <c r="G319" s="8" t="str">
        <f>IF(ISERROR(VLOOKUP(A319,RDPLP!D:D,1,0)),"N","Y")</f>
        <v>N</v>
      </c>
      <c r="H319" s="8" t="str">
        <f>IF(ISERROR(VLOOKUP(A319,'SCINET-PLP'!D:D,1,0)),"N","Y")</f>
        <v>N</v>
      </c>
      <c r="I319" s="8" t="str">
        <f>IF(ISERROR(VLOOKUP(A319,FLEXPLP!D:D,1,0)),"N","Y")</f>
        <v>N</v>
      </c>
      <c r="J319" s="8" t="str">
        <f>IF(ISERROR(VLOOKUP(A319,'ELN PLP'!D:D,1,0)),"N","Y")</f>
        <v>N</v>
      </c>
      <c r="K319" s="29">
        <f t="shared" si="18"/>
        <v>0</v>
      </c>
      <c r="L319" s="52" t="str">
        <f>IF(ISERROR(VLOOKUP(A319,RDPLP!G:G,1,0)),"N","Y")</f>
        <v>N</v>
      </c>
      <c r="M319" s="52" t="str">
        <f>IF(ISERROR(VLOOKUP(A319,'SCINET-PLP'!G:G,1,0)),"N","Y")</f>
        <v>N</v>
      </c>
      <c r="N319" s="52" t="str">
        <f>IF(ISERROR(VLOOKUP(A319,FLEXPLP!G:G,1,0)),"N","Y")</f>
        <v>N</v>
      </c>
      <c r="O319" s="52" t="str">
        <f>IF(ISERROR(VLOOKUP(A319,'ELN PLP'!G:G,1,0)),"N","Y")</f>
        <v>N</v>
      </c>
      <c r="P319" s="53">
        <f t="shared" si="16"/>
        <v>0</v>
      </c>
      <c r="R319" s="21">
        <f>IF(K319+F319&gt;0,1,0)</f>
        <v>0</v>
      </c>
      <c r="S319" s="24">
        <f>IF(ISERROR(VLOOKUP(A319,U:U,1,0)),0,1)</f>
        <v>0</v>
      </c>
      <c r="Z319" s="16"/>
    </row>
    <row r="320" spans="1:26" x14ac:dyDescent="0.35">
      <c r="A320" s="19" t="s">
        <v>1885</v>
      </c>
      <c r="B320" s="5" t="str">
        <f>IF(ISERROR(VLOOKUP(A320,RDPLP!A320:A345,1,0)),"N","Y")</f>
        <v>N</v>
      </c>
      <c r="C320" s="5" t="str">
        <f>IF(ISERROR(VLOOKUP(A320,'SCINET-PLP'!A:A,1,0)),"N","Y")</f>
        <v>N</v>
      </c>
      <c r="D320" s="5" t="str">
        <f>IF(ISERROR(VLOOKUP(A320,FLEXPLP!A:A,1,0)),"N","Y")</f>
        <v>N</v>
      </c>
      <c r="E320" s="5" t="str">
        <f>IF(ISERROR(VLOOKUP(A320,'ELN PLP'!A:A,1,0)),"N","Y")</f>
        <v>N</v>
      </c>
      <c r="F320" s="26">
        <f t="shared" si="17"/>
        <v>0</v>
      </c>
      <c r="G320" s="8" t="str">
        <f>IF(ISERROR(VLOOKUP(A320,RDPLP!D:D,1,0)),"N","Y")</f>
        <v>N</v>
      </c>
      <c r="H320" s="8" t="str">
        <f>IF(ISERROR(VLOOKUP(A320,'SCINET-PLP'!D:D,1,0)),"N","Y")</f>
        <v>N</v>
      </c>
      <c r="I320" s="8" t="str">
        <f>IF(ISERROR(VLOOKUP(A320,FLEXPLP!D:D,1,0)),"N","Y")</f>
        <v>N</v>
      </c>
      <c r="J320" s="8" t="str">
        <f>IF(ISERROR(VLOOKUP(A320,'ELN PLP'!D:D,1,0)),"N","Y")</f>
        <v>N</v>
      </c>
      <c r="K320" s="29">
        <f t="shared" si="18"/>
        <v>0</v>
      </c>
      <c r="L320" s="52" t="str">
        <f>IF(ISERROR(VLOOKUP(A320,RDPLP!G:G,1,0)),"N","Y")</f>
        <v>N</v>
      </c>
      <c r="M320" s="52" t="str">
        <f>IF(ISERROR(VLOOKUP(A320,'SCINET-PLP'!G:G,1,0)),"N","Y")</f>
        <v>N</v>
      </c>
      <c r="N320" s="52" t="str">
        <f>IF(ISERROR(VLOOKUP(A320,FLEXPLP!G:G,1,0)),"N","Y")</f>
        <v>N</v>
      </c>
      <c r="O320" s="52" t="str">
        <f>IF(ISERROR(VLOOKUP(A320,'ELN PLP'!G:G,1,0)),"N","Y")</f>
        <v>N</v>
      </c>
      <c r="P320" s="53">
        <f t="shared" si="16"/>
        <v>0</v>
      </c>
      <c r="R320" s="21">
        <f>IF(K320+F320&gt;0,1,0)</f>
        <v>0</v>
      </c>
      <c r="S320" s="24">
        <f>IF(ISERROR(VLOOKUP(A320,U:U,1,0)),0,1)</f>
        <v>0</v>
      </c>
      <c r="Z320" s="16"/>
    </row>
    <row r="321" spans="1:26" x14ac:dyDescent="0.35">
      <c r="A321" s="19" t="s">
        <v>1888</v>
      </c>
      <c r="B321" s="5" t="str">
        <f>IF(ISERROR(VLOOKUP(A321,RDPLP!A321:A346,1,0)),"N","Y")</f>
        <v>N</v>
      </c>
      <c r="C321" s="5" t="str">
        <f>IF(ISERROR(VLOOKUP(A321,'SCINET-PLP'!A:A,1,0)),"N","Y")</f>
        <v>N</v>
      </c>
      <c r="D321" s="5" t="str">
        <f>IF(ISERROR(VLOOKUP(A321,FLEXPLP!A:A,1,0)),"N","Y")</f>
        <v>N</v>
      </c>
      <c r="E321" s="5" t="str">
        <f>IF(ISERROR(VLOOKUP(A321,'ELN PLP'!A:A,1,0)),"N","Y")</f>
        <v>N</v>
      </c>
      <c r="F321" s="26">
        <f t="shared" si="17"/>
        <v>0</v>
      </c>
      <c r="G321" s="8" t="str">
        <f>IF(ISERROR(VLOOKUP(A321,RDPLP!D:D,1,0)),"N","Y")</f>
        <v>N</v>
      </c>
      <c r="H321" s="8" t="str">
        <f>IF(ISERROR(VLOOKUP(A321,'SCINET-PLP'!D:D,1,0)),"N","Y")</f>
        <v>N</v>
      </c>
      <c r="I321" s="8" t="str">
        <f>IF(ISERROR(VLOOKUP(A321,FLEXPLP!D:D,1,0)),"N","Y")</f>
        <v>N</v>
      </c>
      <c r="J321" s="8" t="str">
        <f>IF(ISERROR(VLOOKUP(A321,'ELN PLP'!D:D,1,0)),"N","Y")</f>
        <v>N</v>
      </c>
      <c r="K321" s="29">
        <f t="shared" si="18"/>
        <v>0</v>
      </c>
      <c r="L321" s="52" t="str">
        <f>IF(ISERROR(VLOOKUP(A321,RDPLP!G:G,1,0)),"N","Y")</f>
        <v>N</v>
      </c>
      <c r="M321" s="52" t="str">
        <f>IF(ISERROR(VLOOKUP(A321,'SCINET-PLP'!G:G,1,0)),"N","Y")</f>
        <v>N</v>
      </c>
      <c r="N321" s="52" t="str">
        <f>IF(ISERROR(VLOOKUP(A321,FLEXPLP!G:G,1,0)),"N","Y")</f>
        <v>N</v>
      </c>
      <c r="O321" s="52" t="str">
        <f>IF(ISERROR(VLOOKUP(A321,'ELN PLP'!G:G,1,0)),"N","Y")</f>
        <v>N</v>
      </c>
      <c r="P321" s="53">
        <f t="shared" si="16"/>
        <v>0</v>
      </c>
      <c r="R321" s="21">
        <f>IF(K321+F321&gt;0,1,0)</f>
        <v>0</v>
      </c>
      <c r="S321" s="24">
        <f>IF(ISERROR(VLOOKUP(A321,U:U,1,0)),0,1)</f>
        <v>0</v>
      </c>
      <c r="Z321" s="16"/>
    </row>
    <row r="322" spans="1:26" x14ac:dyDescent="0.35">
      <c r="A322" s="19" t="s">
        <v>1899</v>
      </c>
      <c r="B322" s="5" t="str">
        <f>IF(ISERROR(VLOOKUP(A322,RDPLP!A322:A347,1,0)),"N","Y")</f>
        <v>N</v>
      </c>
      <c r="C322" s="5" t="str">
        <f>IF(ISERROR(VLOOKUP(A322,'SCINET-PLP'!A:A,1,0)),"N","Y")</f>
        <v>N</v>
      </c>
      <c r="D322" s="5" t="str">
        <f>IF(ISERROR(VLOOKUP(A322,FLEXPLP!A:A,1,0)),"N","Y")</f>
        <v>N</v>
      </c>
      <c r="E322" s="5" t="str">
        <f>IF(ISERROR(VLOOKUP(A322,'ELN PLP'!A:A,1,0)),"N","Y")</f>
        <v>N</v>
      </c>
      <c r="F322" s="26">
        <f t="shared" si="17"/>
        <v>0</v>
      </c>
      <c r="G322" s="8" t="str">
        <f>IF(ISERROR(VLOOKUP(A322,RDPLP!D:D,1,0)),"N","Y")</f>
        <v>N</v>
      </c>
      <c r="H322" s="8" t="str">
        <f>IF(ISERROR(VLOOKUP(A322,'SCINET-PLP'!D:D,1,0)),"N","Y")</f>
        <v>N</v>
      </c>
      <c r="I322" s="8" t="str">
        <f>IF(ISERROR(VLOOKUP(A322,FLEXPLP!D:D,1,0)),"N","Y")</f>
        <v>N</v>
      </c>
      <c r="J322" s="8" t="str">
        <f>IF(ISERROR(VLOOKUP(A322,'ELN PLP'!D:D,1,0)),"N","Y")</f>
        <v>N</v>
      </c>
      <c r="K322" s="29">
        <f t="shared" si="18"/>
        <v>0</v>
      </c>
      <c r="L322" s="52" t="str">
        <f>IF(ISERROR(VLOOKUP(A322,RDPLP!G:G,1,0)),"N","Y")</f>
        <v>N</v>
      </c>
      <c r="M322" s="52" t="str">
        <f>IF(ISERROR(VLOOKUP(A322,'SCINET-PLP'!G:G,1,0)),"N","Y")</f>
        <v>N</v>
      </c>
      <c r="N322" s="52" t="str">
        <f>IF(ISERROR(VLOOKUP(A322,FLEXPLP!G:G,1,0)),"N","Y")</f>
        <v>N</v>
      </c>
      <c r="O322" s="52" t="str">
        <f>IF(ISERROR(VLOOKUP(A322,'ELN PLP'!G:G,1,0)),"N","Y")</f>
        <v>N</v>
      </c>
      <c r="P322" s="53">
        <f t="shared" si="16"/>
        <v>0</v>
      </c>
      <c r="R322" s="21">
        <f>IF(K322+F322&gt;0,1,0)</f>
        <v>0</v>
      </c>
      <c r="S322" s="24">
        <f>IF(ISERROR(VLOOKUP(A322,U:U,1,0)),0,1)</f>
        <v>0</v>
      </c>
      <c r="Z322" s="16"/>
    </row>
    <row r="323" spans="1:26" x14ac:dyDescent="0.35">
      <c r="A323" s="19" t="s">
        <v>1901</v>
      </c>
      <c r="B323" s="5" t="str">
        <f>IF(ISERROR(VLOOKUP(A323,RDPLP!A323:A348,1,0)),"N","Y")</f>
        <v>N</v>
      </c>
      <c r="C323" s="5" t="str">
        <f>IF(ISERROR(VLOOKUP(A323,'SCINET-PLP'!A:A,1,0)),"N","Y")</f>
        <v>N</v>
      </c>
      <c r="D323" s="5" t="str">
        <f>IF(ISERROR(VLOOKUP(A323,FLEXPLP!A:A,1,0)),"N","Y")</f>
        <v>N</v>
      </c>
      <c r="E323" s="5" t="str">
        <f>IF(ISERROR(VLOOKUP(A323,'ELN PLP'!A:A,1,0)),"N","Y")</f>
        <v>N</v>
      </c>
      <c r="F323" s="26">
        <f t="shared" si="17"/>
        <v>0</v>
      </c>
      <c r="G323" s="8" t="str">
        <f>IF(ISERROR(VLOOKUP(A323,RDPLP!D:D,1,0)),"N","Y")</f>
        <v>N</v>
      </c>
      <c r="H323" s="8" t="str">
        <f>IF(ISERROR(VLOOKUP(A323,'SCINET-PLP'!D:D,1,0)),"N","Y")</f>
        <v>N</v>
      </c>
      <c r="I323" s="8" t="str">
        <f>IF(ISERROR(VLOOKUP(A323,FLEXPLP!D:D,1,0)),"N","Y")</f>
        <v>N</v>
      </c>
      <c r="J323" s="8" t="str">
        <f>IF(ISERROR(VLOOKUP(A323,'ELN PLP'!D:D,1,0)),"N","Y")</f>
        <v>N</v>
      </c>
      <c r="K323" s="29">
        <f t="shared" si="18"/>
        <v>0</v>
      </c>
      <c r="L323" s="52" t="str">
        <f>IF(ISERROR(VLOOKUP(A323,RDPLP!G:G,1,0)),"N","Y")</f>
        <v>N</v>
      </c>
      <c r="M323" s="52" t="str">
        <f>IF(ISERROR(VLOOKUP(A323,'SCINET-PLP'!G:G,1,0)),"N","Y")</f>
        <v>N</v>
      </c>
      <c r="N323" s="52" t="str">
        <f>IF(ISERROR(VLOOKUP(A323,FLEXPLP!G:G,1,0)),"N","Y")</f>
        <v>N</v>
      </c>
      <c r="O323" s="52" t="str">
        <f>IF(ISERROR(VLOOKUP(A323,'ELN PLP'!G:G,1,0)),"N","Y")</f>
        <v>N</v>
      </c>
      <c r="P323" s="53">
        <f t="shared" si="16"/>
        <v>0</v>
      </c>
      <c r="R323" s="21">
        <f>IF(K323+F323&gt;0,1,0)</f>
        <v>0</v>
      </c>
      <c r="S323" s="24">
        <f>IF(ISERROR(VLOOKUP(A323,U:U,1,0)),0,1)</f>
        <v>0</v>
      </c>
      <c r="Z323" s="16"/>
    </row>
    <row r="324" spans="1:26" x14ac:dyDescent="0.35">
      <c r="A324" s="19" t="s">
        <v>1903</v>
      </c>
      <c r="B324" s="5" t="str">
        <f>IF(ISERROR(VLOOKUP(A324,RDPLP!A324:A349,1,0)),"N","Y")</f>
        <v>N</v>
      </c>
      <c r="C324" s="5" t="str">
        <f>IF(ISERROR(VLOOKUP(A324,'SCINET-PLP'!A:A,1,0)),"N","Y")</f>
        <v>N</v>
      </c>
      <c r="D324" s="5" t="str">
        <f>IF(ISERROR(VLOOKUP(A324,FLEXPLP!A:A,1,0)),"N","Y")</f>
        <v>N</v>
      </c>
      <c r="E324" s="5" t="str">
        <f>IF(ISERROR(VLOOKUP(A324,'ELN PLP'!A:A,1,0)),"N","Y")</f>
        <v>N</v>
      </c>
      <c r="F324" s="26">
        <f t="shared" si="17"/>
        <v>0</v>
      </c>
      <c r="G324" s="8" t="str">
        <f>IF(ISERROR(VLOOKUP(A324,RDPLP!D:D,1,0)),"N","Y")</f>
        <v>N</v>
      </c>
      <c r="H324" s="8" t="str">
        <f>IF(ISERROR(VLOOKUP(A324,'SCINET-PLP'!D:D,1,0)),"N","Y")</f>
        <v>N</v>
      </c>
      <c r="I324" s="8" t="str">
        <f>IF(ISERROR(VLOOKUP(A324,FLEXPLP!D:D,1,0)),"N","Y")</f>
        <v>N</v>
      </c>
      <c r="J324" s="8" t="str">
        <f>IF(ISERROR(VLOOKUP(A324,'ELN PLP'!D:D,1,0)),"N","Y")</f>
        <v>N</v>
      </c>
      <c r="K324" s="29">
        <f t="shared" si="18"/>
        <v>0</v>
      </c>
      <c r="L324" s="52" t="str">
        <f>IF(ISERROR(VLOOKUP(A324,RDPLP!G:G,1,0)),"N","Y")</f>
        <v>N</v>
      </c>
      <c r="M324" s="52" t="str">
        <f>IF(ISERROR(VLOOKUP(A324,'SCINET-PLP'!G:G,1,0)),"N","Y")</f>
        <v>N</v>
      </c>
      <c r="N324" s="52" t="str">
        <f>IF(ISERROR(VLOOKUP(A324,FLEXPLP!G:G,1,0)),"N","Y")</f>
        <v>N</v>
      </c>
      <c r="O324" s="52" t="str">
        <f>IF(ISERROR(VLOOKUP(A324,'ELN PLP'!G:G,1,0)),"N","Y")</f>
        <v>N</v>
      </c>
      <c r="P324" s="53">
        <f t="shared" ref="P324:P361" si="19">IF(COUNTIF(L324:O324,"Y")&gt;0,1,0)</f>
        <v>0</v>
      </c>
      <c r="R324" s="21">
        <f>IF(K324+F324&gt;0,1,0)</f>
        <v>0</v>
      </c>
      <c r="S324" s="24">
        <f>IF(ISERROR(VLOOKUP(A324,U:U,1,0)),0,1)</f>
        <v>0</v>
      </c>
      <c r="Z324" s="16"/>
    </row>
    <row r="325" spans="1:26" x14ac:dyDescent="0.35">
      <c r="A325" s="19" t="s">
        <v>1906</v>
      </c>
      <c r="B325" s="5" t="str">
        <f>IF(ISERROR(VLOOKUP(A325,RDPLP!A325:A350,1,0)),"N","Y")</f>
        <v>N</v>
      </c>
      <c r="C325" s="5" t="str">
        <f>IF(ISERROR(VLOOKUP(A325,'SCINET-PLP'!A:A,1,0)),"N","Y")</f>
        <v>N</v>
      </c>
      <c r="D325" s="5" t="str">
        <f>IF(ISERROR(VLOOKUP(A325,FLEXPLP!A:A,1,0)),"N","Y")</f>
        <v>N</v>
      </c>
      <c r="E325" s="5" t="str">
        <f>IF(ISERROR(VLOOKUP(A325,'ELN PLP'!A:A,1,0)),"N","Y")</f>
        <v>N</v>
      </c>
      <c r="F325" s="26">
        <f t="shared" si="17"/>
        <v>0</v>
      </c>
      <c r="G325" s="8" t="str">
        <f>IF(ISERROR(VLOOKUP(A325,RDPLP!D:D,1,0)),"N","Y")</f>
        <v>N</v>
      </c>
      <c r="H325" s="8" t="str">
        <f>IF(ISERROR(VLOOKUP(A325,'SCINET-PLP'!D:D,1,0)),"N","Y")</f>
        <v>N</v>
      </c>
      <c r="I325" s="8" t="str">
        <f>IF(ISERROR(VLOOKUP(A325,FLEXPLP!D:D,1,0)),"N","Y")</f>
        <v>N</v>
      </c>
      <c r="J325" s="8" t="str">
        <f>IF(ISERROR(VLOOKUP(A325,'ELN PLP'!D:D,1,0)),"N","Y")</f>
        <v>N</v>
      </c>
      <c r="K325" s="29">
        <f t="shared" si="18"/>
        <v>0</v>
      </c>
      <c r="L325" s="52" t="str">
        <f>IF(ISERROR(VLOOKUP(A325,RDPLP!G:G,1,0)),"N","Y")</f>
        <v>N</v>
      </c>
      <c r="M325" s="52" t="str">
        <f>IF(ISERROR(VLOOKUP(A325,'SCINET-PLP'!G:G,1,0)),"N","Y")</f>
        <v>N</v>
      </c>
      <c r="N325" s="52" t="str">
        <f>IF(ISERROR(VLOOKUP(A325,FLEXPLP!G:G,1,0)),"N","Y")</f>
        <v>N</v>
      </c>
      <c r="O325" s="52" t="str">
        <f>IF(ISERROR(VLOOKUP(A325,'ELN PLP'!G:G,1,0)),"N","Y")</f>
        <v>N</v>
      </c>
      <c r="P325" s="53">
        <f t="shared" si="19"/>
        <v>0</v>
      </c>
      <c r="R325" s="21">
        <f>IF(K325+F325&gt;0,1,0)</f>
        <v>0</v>
      </c>
      <c r="S325" s="24">
        <f>IF(ISERROR(VLOOKUP(A325,U:U,1,0)),0,1)</f>
        <v>0</v>
      </c>
      <c r="Z325" s="16"/>
    </row>
    <row r="326" spans="1:26" x14ac:dyDescent="0.35">
      <c r="A326" s="19" t="s">
        <v>1913</v>
      </c>
      <c r="B326" s="5" t="str">
        <f>IF(ISERROR(VLOOKUP(A326,RDPLP!A326:A351,1,0)),"N","Y")</f>
        <v>N</v>
      </c>
      <c r="C326" s="5" t="str">
        <f>IF(ISERROR(VLOOKUP(A326,'SCINET-PLP'!A:A,1,0)),"N","Y")</f>
        <v>N</v>
      </c>
      <c r="D326" s="5" t="str">
        <f>IF(ISERROR(VLOOKUP(A326,FLEXPLP!A:A,1,0)),"N","Y")</f>
        <v>N</v>
      </c>
      <c r="E326" s="5" t="str">
        <f>IF(ISERROR(VLOOKUP(A326,'ELN PLP'!A:A,1,0)),"N","Y")</f>
        <v>N</v>
      </c>
      <c r="F326" s="26">
        <f t="shared" si="17"/>
        <v>0</v>
      </c>
      <c r="G326" s="8" t="str">
        <f>IF(ISERROR(VLOOKUP(A326,RDPLP!D:D,1,0)),"N","Y")</f>
        <v>N</v>
      </c>
      <c r="H326" s="8" t="str">
        <f>IF(ISERROR(VLOOKUP(A326,'SCINET-PLP'!D:D,1,0)),"N","Y")</f>
        <v>N</v>
      </c>
      <c r="I326" s="8" t="str">
        <f>IF(ISERROR(VLOOKUP(A326,FLEXPLP!D:D,1,0)),"N","Y")</f>
        <v>N</v>
      </c>
      <c r="J326" s="8" t="str">
        <f>IF(ISERROR(VLOOKUP(A326,'ELN PLP'!D:D,1,0)),"N","Y")</f>
        <v>N</v>
      </c>
      <c r="K326" s="29">
        <f t="shared" si="18"/>
        <v>0</v>
      </c>
      <c r="L326" s="52" t="str">
        <f>IF(ISERROR(VLOOKUP(A326,RDPLP!G:G,1,0)),"N","Y")</f>
        <v>N</v>
      </c>
      <c r="M326" s="52" t="str">
        <f>IF(ISERROR(VLOOKUP(A326,'SCINET-PLP'!G:G,1,0)),"N","Y")</f>
        <v>N</v>
      </c>
      <c r="N326" s="52" t="str">
        <f>IF(ISERROR(VLOOKUP(A326,FLEXPLP!G:G,1,0)),"N","Y")</f>
        <v>N</v>
      </c>
      <c r="O326" s="52" t="str">
        <f>IF(ISERROR(VLOOKUP(A326,'ELN PLP'!G:G,1,0)),"N","Y")</f>
        <v>N</v>
      </c>
      <c r="P326" s="53">
        <f t="shared" si="19"/>
        <v>0</v>
      </c>
      <c r="R326" s="21">
        <f>IF(K326+F326&gt;0,1,0)</f>
        <v>0</v>
      </c>
      <c r="S326" s="24">
        <f>IF(ISERROR(VLOOKUP(A326,U:U,1,0)),0,1)</f>
        <v>0</v>
      </c>
      <c r="Z326" s="16"/>
    </row>
    <row r="327" spans="1:26" x14ac:dyDescent="0.35">
      <c r="A327" s="19" t="s">
        <v>1916</v>
      </c>
      <c r="B327" s="5" t="str">
        <f>IF(ISERROR(VLOOKUP(A327,RDPLP!A327:A352,1,0)),"N","Y")</f>
        <v>N</v>
      </c>
      <c r="C327" s="5" t="str">
        <f>IF(ISERROR(VLOOKUP(A327,'SCINET-PLP'!A:A,1,0)),"N","Y")</f>
        <v>N</v>
      </c>
      <c r="D327" s="5" t="str">
        <f>IF(ISERROR(VLOOKUP(A327,FLEXPLP!A:A,1,0)),"N","Y")</f>
        <v>N</v>
      </c>
      <c r="E327" s="5" t="str">
        <f>IF(ISERROR(VLOOKUP(A327,'ELN PLP'!A:A,1,0)),"N","Y")</f>
        <v>N</v>
      </c>
      <c r="F327" s="26">
        <f t="shared" si="17"/>
        <v>0</v>
      </c>
      <c r="G327" s="8" t="str">
        <f>IF(ISERROR(VLOOKUP(A327,RDPLP!D:D,1,0)),"N","Y")</f>
        <v>N</v>
      </c>
      <c r="H327" s="8" t="str">
        <f>IF(ISERROR(VLOOKUP(A327,'SCINET-PLP'!D:D,1,0)),"N","Y")</f>
        <v>N</v>
      </c>
      <c r="I327" s="8" t="str">
        <f>IF(ISERROR(VLOOKUP(A327,FLEXPLP!D:D,1,0)),"N","Y")</f>
        <v>N</v>
      </c>
      <c r="J327" s="8" t="str">
        <f>IF(ISERROR(VLOOKUP(A327,'ELN PLP'!D:D,1,0)),"N","Y")</f>
        <v>N</v>
      </c>
      <c r="K327" s="29">
        <f t="shared" si="18"/>
        <v>0</v>
      </c>
      <c r="L327" s="52" t="str">
        <f>IF(ISERROR(VLOOKUP(A327,RDPLP!G:G,1,0)),"N","Y")</f>
        <v>N</v>
      </c>
      <c r="M327" s="52" t="str">
        <f>IF(ISERROR(VLOOKUP(A327,'SCINET-PLP'!G:G,1,0)),"N","Y")</f>
        <v>N</v>
      </c>
      <c r="N327" s="52" t="str">
        <f>IF(ISERROR(VLOOKUP(A327,FLEXPLP!G:G,1,0)),"N","Y")</f>
        <v>N</v>
      </c>
      <c r="O327" s="52" t="str">
        <f>IF(ISERROR(VLOOKUP(A327,'ELN PLP'!G:G,1,0)),"N","Y")</f>
        <v>N</v>
      </c>
      <c r="P327" s="53">
        <f t="shared" si="19"/>
        <v>0</v>
      </c>
      <c r="R327" s="21">
        <f>IF(K327+F327&gt;0,1,0)</f>
        <v>0</v>
      </c>
      <c r="S327" s="24">
        <f>IF(ISERROR(VLOOKUP(A327,U:U,1,0)),0,1)</f>
        <v>0</v>
      </c>
      <c r="Z327" s="16"/>
    </row>
    <row r="328" spans="1:26" x14ac:dyDescent="0.35">
      <c r="A328" s="19" t="s">
        <v>1922</v>
      </c>
      <c r="B328" s="5" t="str">
        <f>IF(ISERROR(VLOOKUP(A328,RDPLP!A328:A353,1,0)),"N","Y")</f>
        <v>N</v>
      </c>
      <c r="C328" s="5" t="str">
        <f>IF(ISERROR(VLOOKUP(A328,'SCINET-PLP'!A:A,1,0)),"N","Y")</f>
        <v>N</v>
      </c>
      <c r="D328" s="5" t="str">
        <f>IF(ISERROR(VLOOKUP(A328,FLEXPLP!A:A,1,0)),"N","Y")</f>
        <v>N</v>
      </c>
      <c r="E328" s="5" t="str">
        <f>IF(ISERROR(VLOOKUP(A328,'ELN PLP'!A:A,1,0)),"N","Y")</f>
        <v>N</v>
      </c>
      <c r="F328" s="26">
        <f t="shared" si="17"/>
        <v>0</v>
      </c>
      <c r="G328" s="8" t="str">
        <f>IF(ISERROR(VLOOKUP(A328,RDPLP!D:D,1,0)),"N","Y")</f>
        <v>N</v>
      </c>
      <c r="H328" s="8" t="str">
        <f>IF(ISERROR(VLOOKUP(A328,'SCINET-PLP'!D:D,1,0)),"N","Y")</f>
        <v>N</v>
      </c>
      <c r="I328" s="8" t="str">
        <f>IF(ISERROR(VLOOKUP(A328,FLEXPLP!D:D,1,0)),"N","Y")</f>
        <v>N</v>
      </c>
      <c r="J328" s="8" t="str">
        <f>IF(ISERROR(VLOOKUP(A328,'ELN PLP'!D:D,1,0)),"N","Y")</f>
        <v>N</v>
      </c>
      <c r="K328" s="29">
        <f t="shared" si="18"/>
        <v>0</v>
      </c>
      <c r="L328" s="52" t="str">
        <f>IF(ISERROR(VLOOKUP(A328,RDPLP!G:G,1,0)),"N","Y")</f>
        <v>N</v>
      </c>
      <c r="M328" s="52" t="str">
        <f>IF(ISERROR(VLOOKUP(A328,'SCINET-PLP'!G:G,1,0)),"N","Y")</f>
        <v>N</v>
      </c>
      <c r="N328" s="52" t="str">
        <f>IF(ISERROR(VLOOKUP(A328,FLEXPLP!G:G,1,0)),"N","Y")</f>
        <v>N</v>
      </c>
      <c r="O328" s="52" t="str">
        <f>IF(ISERROR(VLOOKUP(A328,'ELN PLP'!G:G,1,0)),"N","Y")</f>
        <v>Y</v>
      </c>
      <c r="P328" s="53">
        <f t="shared" si="19"/>
        <v>1</v>
      </c>
      <c r="R328" s="21">
        <f>IF(K328+F328&gt;0,1,0)</f>
        <v>0</v>
      </c>
      <c r="S328" s="24">
        <f>IF(ISERROR(VLOOKUP(A328,U:U,1,0)),0,1)</f>
        <v>0</v>
      </c>
      <c r="Z328" s="16"/>
    </row>
    <row r="329" spans="1:26" x14ac:dyDescent="0.35">
      <c r="A329" s="19" t="s">
        <v>1926</v>
      </c>
      <c r="B329" s="5" t="str">
        <f>IF(ISERROR(VLOOKUP(A329,RDPLP!A329:A354,1,0)),"N","Y")</f>
        <v>N</v>
      </c>
      <c r="C329" s="5" t="str">
        <f>IF(ISERROR(VLOOKUP(A329,'SCINET-PLP'!A:A,1,0)),"N","Y")</f>
        <v>N</v>
      </c>
      <c r="D329" s="5" t="str">
        <f>IF(ISERROR(VLOOKUP(A329,FLEXPLP!A:A,1,0)),"N","Y")</f>
        <v>N</v>
      </c>
      <c r="E329" s="5" t="str">
        <f>IF(ISERROR(VLOOKUP(A329,'ELN PLP'!A:A,1,0)),"N","Y")</f>
        <v>N</v>
      </c>
      <c r="F329" s="26">
        <f t="shared" si="17"/>
        <v>0</v>
      </c>
      <c r="G329" s="8" t="str">
        <f>IF(ISERROR(VLOOKUP(A329,RDPLP!D:D,1,0)),"N","Y")</f>
        <v>N</v>
      </c>
      <c r="H329" s="8" t="str">
        <f>IF(ISERROR(VLOOKUP(A329,'SCINET-PLP'!D:D,1,0)),"N","Y")</f>
        <v>N</v>
      </c>
      <c r="I329" s="8" t="str">
        <f>IF(ISERROR(VLOOKUP(A329,FLEXPLP!D:D,1,0)),"N","Y")</f>
        <v>N</v>
      </c>
      <c r="J329" s="8" t="str">
        <f>IF(ISERROR(VLOOKUP(A329,'ELN PLP'!D:D,1,0)),"N","Y")</f>
        <v>N</v>
      </c>
      <c r="K329" s="29">
        <f t="shared" si="18"/>
        <v>0</v>
      </c>
      <c r="L329" s="52" t="str">
        <f>IF(ISERROR(VLOOKUP(A329,RDPLP!G:G,1,0)),"N","Y")</f>
        <v>N</v>
      </c>
      <c r="M329" s="52" t="str">
        <f>IF(ISERROR(VLOOKUP(A329,'SCINET-PLP'!G:G,1,0)),"N","Y")</f>
        <v>N</v>
      </c>
      <c r="N329" s="52" t="str">
        <f>IF(ISERROR(VLOOKUP(A329,FLEXPLP!G:G,1,0)),"N","Y")</f>
        <v>N</v>
      </c>
      <c r="O329" s="52" t="str">
        <f>IF(ISERROR(VLOOKUP(A329,'ELN PLP'!G:G,1,0)),"N","Y")</f>
        <v>Y</v>
      </c>
      <c r="P329" s="53">
        <f t="shared" si="19"/>
        <v>1</v>
      </c>
      <c r="R329" s="21">
        <f>IF(K329+F329&gt;0,1,0)</f>
        <v>0</v>
      </c>
      <c r="S329" s="24">
        <f>IF(ISERROR(VLOOKUP(A329,U:U,1,0)),0,1)</f>
        <v>0</v>
      </c>
      <c r="Z329" s="16"/>
    </row>
    <row r="330" spans="1:26" x14ac:dyDescent="0.35">
      <c r="A330" s="19" t="s">
        <v>1928</v>
      </c>
      <c r="B330" s="5" t="str">
        <f>IF(ISERROR(VLOOKUP(A330,RDPLP!A330:A355,1,0)),"N","Y")</f>
        <v>N</v>
      </c>
      <c r="C330" s="5" t="str">
        <f>IF(ISERROR(VLOOKUP(A330,'SCINET-PLP'!A:A,1,0)),"N","Y")</f>
        <v>N</v>
      </c>
      <c r="D330" s="5" t="str">
        <f>IF(ISERROR(VLOOKUP(A330,FLEXPLP!A:A,1,0)),"N","Y")</f>
        <v>N</v>
      </c>
      <c r="E330" s="5" t="str">
        <f>IF(ISERROR(VLOOKUP(A330,'ELN PLP'!A:A,1,0)),"N","Y")</f>
        <v>N</v>
      </c>
      <c r="F330" s="26">
        <f t="shared" si="17"/>
        <v>0</v>
      </c>
      <c r="G330" s="8" t="str">
        <f>IF(ISERROR(VLOOKUP(A330,RDPLP!D:D,1,0)),"N","Y")</f>
        <v>N</v>
      </c>
      <c r="H330" s="8" t="str">
        <f>IF(ISERROR(VLOOKUP(A330,'SCINET-PLP'!D:D,1,0)),"N","Y")</f>
        <v>N</v>
      </c>
      <c r="I330" s="8" t="str">
        <f>IF(ISERROR(VLOOKUP(A330,FLEXPLP!D:D,1,0)),"N","Y")</f>
        <v>N</v>
      </c>
      <c r="J330" s="8" t="str">
        <f>IF(ISERROR(VLOOKUP(A330,'ELN PLP'!D:D,1,0)),"N","Y")</f>
        <v>N</v>
      </c>
      <c r="K330" s="29">
        <f t="shared" si="18"/>
        <v>0</v>
      </c>
      <c r="L330" s="52" t="str">
        <f>IF(ISERROR(VLOOKUP(A330,RDPLP!G:G,1,0)),"N","Y")</f>
        <v>N</v>
      </c>
      <c r="M330" s="52" t="str">
        <f>IF(ISERROR(VLOOKUP(A330,'SCINET-PLP'!G:G,1,0)),"N","Y")</f>
        <v>N</v>
      </c>
      <c r="N330" s="52" t="str">
        <f>IF(ISERROR(VLOOKUP(A330,FLEXPLP!G:G,1,0)),"N","Y")</f>
        <v>N</v>
      </c>
      <c r="O330" s="52" t="str">
        <f>IF(ISERROR(VLOOKUP(A330,'ELN PLP'!G:G,1,0)),"N","Y")</f>
        <v>N</v>
      </c>
      <c r="P330" s="53">
        <f t="shared" si="19"/>
        <v>0</v>
      </c>
      <c r="R330" s="21">
        <f>IF(K330+F330&gt;0,1,0)</f>
        <v>0</v>
      </c>
      <c r="S330" s="24">
        <f>IF(ISERROR(VLOOKUP(A330,U:U,1,0)),0,1)</f>
        <v>0</v>
      </c>
      <c r="Z330" s="16"/>
    </row>
    <row r="331" spans="1:26" x14ac:dyDescent="0.35">
      <c r="A331" s="19" t="s">
        <v>1933</v>
      </c>
      <c r="B331" s="5" t="str">
        <f>IF(ISERROR(VLOOKUP(A331,RDPLP!A331:A356,1,0)),"N","Y")</f>
        <v>N</v>
      </c>
      <c r="C331" s="5" t="str">
        <f>IF(ISERROR(VLOOKUP(A331,'SCINET-PLP'!A:A,1,0)),"N","Y")</f>
        <v>N</v>
      </c>
      <c r="D331" s="5" t="str">
        <f>IF(ISERROR(VLOOKUP(A331,FLEXPLP!A:A,1,0)),"N","Y")</f>
        <v>N</v>
      </c>
      <c r="E331" s="5" t="str">
        <f>IF(ISERROR(VLOOKUP(A331,'ELN PLP'!A:A,1,0)),"N","Y")</f>
        <v>N</v>
      </c>
      <c r="F331" s="26">
        <f t="shared" si="17"/>
        <v>0</v>
      </c>
      <c r="G331" s="8" t="str">
        <f>IF(ISERROR(VLOOKUP(A331,RDPLP!D:D,1,0)),"N","Y")</f>
        <v>N</v>
      </c>
      <c r="H331" s="8" t="str">
        <f>IF(ISERROR(VLOOKUP(A331,'SCINET-PLP'!D:D,1,0)),"N","Y")</f>
        <v>N</v>
      </c>
      <c r="I331" s="8" t="str">
        <f>IF(ISERROR(VLOOKUP(A331,FLEXPLP!D:D,1,0)),"N","Y")</f>
        <v>N</v>
      </c>
      <c r="J331" s="8" t="str">
        <f>IF(ISERROR(VLOOKUP(A331,'ELN PLP'!D:D,1,0)),"N","Y")</f>
        <v>N</v>
      </c>
      <c r="K331" s="29">
        <f t="shared" si="18"/>
        <v>0</v>
      </c>
      <c r="L331" s="52" t="str">
        <f>IF(ISERROR(VLOOKUP(A331,RDPLP!G:G,1,0)),"N","Y")</f>
        <v>N</v>
      </c>
      <c r="M331" s="52" t="str">
        <f>IF(ISERROR(VLOOKUP(A331,'SCINET-PLP'!G:G,1,0)),"N","Y")</f>
        <v>N</v>
      </c>
      <c r="N331" s="52" t="str">
        <f>IF(ISERROR(VLOOKUP(A331,FLEXPLP!G:G,1,0)),"N","Y")</f>
        <v>N</v>
      </c>
      <c r="O331" s="52" t="str">
        <f>IF(ISERROR(VLOOKUP(A331,'ELN PLP'!G:G,1,0)),"N","Y")</f>
        <v>N</v>
      </c>
      <c r="P331" s="53">
        <f t="shared" si="19"/>
        <v>0</v>
      </c>
      <c r="R331" s="21">
        <f>IF(K331+F331&gt;0,1,0)</f>
        <v>0</v>
      </c>
      <c r="S331" s="24">
        <f>IF(ISERROR(VLOOKUP(A331,U:U,1,0)),0,1)</f>
        <v>0</v>
      </c>
      <c r="Z331" s="16"/>
    </row>
    <row r="332" spans="1:26" x14ac:dyDescent="0.35">
      <c r="A332" s="19" t="s">
        <v>1941</v>
      </c>
      <c r="B332" s="5" t="str">
        <f>IF(ISERROR(VLOOKUP(A332,RDPLP!A332:A357,1,0)),"N","Y")</f>
        <v>N</v>
      </c>
      <c r="C332" s="5" t="str">
        <f>IF(ISERROR(VLOOKUP(A332,'SCINET-PLP'!A:A,1,0)),"N","Y")</f>
        <v>N</v>
      </c>
      <c r="D332" s="5" t="str">
        <f>IF(ISERROR(VLOOKUP(A332,FLEXPLP!A:A,1,0)),"N","Y")</f>
        <v>N</v>
      </c>
      <c r="E332" s="5" t="str">
        <f>IF(ISERROR(VLOOKUP(A332,'ELN PLP'!A:A,1,0)),"N","Y")</f>
        <v>N</v>
      </c>
      <c r="F332" s="26">
        <f t="shared" si="17"/>
        <v>0</v>
      </c>
      <c r="G332" s="8" t="str">
        <f>IF(ISERROR(VLOOKUP(A332,RDPLP!D:D,1,0)),"N","Y")</f>
        <v>N</v>
      </c>
      <c r="H332" s="8" t="str">
        <f>IF(ISERROR(VLOOKUP(A332,'SCINET-PLP'!D:D,1,0)),"N","Y")</f>
        <v>N</v>
      </c>
      <c r="I332" s="8" t="str">
        <f>IF(ISERROR(VLOOKUP(A332,FLEXPLP!D:D,1,0)),"N","Y")</f>
        <v>N</v>
      </c>
      <c r="J332" s="8" t="str">
        <f>IF(ISERROR(VLOOKUP(A332,'ELN PLP'!D:D,1,0)),"N","Y")</f>
        <v>N</v>
      </c>
      <c r="K332" s="29">
        <f t="shared" si="18"/>
        <v>0</v>
      </c>
      <c r="L332" s="52" t="str">
        <f>IF(ISERROR(VLOOKUP(A332,RDPLP!G:G,1,0)),"N","Y")</f>
        <v>N</v>
      </c>
      <c r="M332" s="52" t="str">
        <f>IF(ISERROR(VLOOKUP(A332,'SCINET-PLP'!G:G,1,0)),"N","Y")</f>
        <v>N</v>
      </c>
      <c r="N332" s="52" t="str">
        <f>IF(ISERROR(VLOOKUP(A332,FLEXPLP!G:G,1,0)),"N","Y")</f>
        <v>N</v>
      </c>
      <c r="O332" s="52" t="str">
        <f>IF(ISERROR(VLOOKUP(A332,'ELN PLP'!G:G,1,0)),"N","Y")</f>
        <v>N</v>
      </c>
      <c r="P332" s="53">
        <f t="shared" si="19"/>
        <v>0</v>
      </c>
      <c r="R332" s="21">
        <f>IF(K332+F332&gt;0,1,0)</f>
        <v>0</v>
      </c>
      <c r="S332" s="24">
        <f>IF(ISERROR(VLOOKUP(A332,U:U,1,0)),0,1)</f>
        <v>0</v>
      </c>
      <c r="Z332" s="16"/>
    </row>
    <row r="333" spans="1:26" x14ac:dyDescent="0.35">
      <c r="A333" s="19" t="s">
        <v>1944</v>
      </c>
      <c r="B333" s="5" t="str">
        <f>IF(ISERROR(VLOOKUP(A333,RDPLP!A333:A358,1,0)),"N","Y")</f>
        <v>N</v>
      </c>
      <c r="C333" s="5" t="str">
        <f>IF(ISERROR(VLOOKUP(A333,'SCINET-PLP'!A:A,1,0)),"N","Y")</f>
        <v>N</v>
      </c>
      <c r="D333" s="5" t="str">
        <f>IF(ISERROR(VLOOKUP(A333,FLEXPLP!A:A,1,0)),"N","Y")</f>
        <v>N</v>
      </c>
      <c r="E333" s="5" t="str">
        <f>IF(ISERROR(VLOOKUP(A333,'ELN PLP'!A:A,1,0)),"N","Y")</f>
        <v>N</v>
      </c>
      <c r="F333" s="26">
        <f t="shared" si="17"/>
        <v>0</v>
      </c>
      <c r="G333" s="8" t="str">
        <f>IF(ISERROR(VLOOKUP(A333,RDPLP!D:D,1,0)),"N","Y")</f>
        <v>N</v>
      </c>
      <c r="H333" s="8" t="str">
        <f>IF(ISERROR(VLOOKUP(A333,'SCINET-PLP'!D:D,1,0)),"N","Y")</f>
        <v>N</v>
      </c>
      <c r="I333" s="8" t="str">
        <f>IF(ISERROR(VLOOKUP(A333,FLEXPLP!D:D,1,0)),"N","Y")</f>
        <v>N</v>
      </c>
      <c r="J333" s="8" t="str">
        <f>IF(ISERROR(VLOOKUP(A333,'ELN PLP'!D:D,1,0)),"N","Y")</f>
        <v>N</v>
      </c>
      <c r="K333" s="29">
        <f t="shared" si="18"/>
        <v>0</v>
      </c>
      <c r="L333" s="52" t="str">
        <f>IF(ISERROR(VLOOKUP(A333,RDPLP!G:G,1,0)),"N","Y")</f>
        <v>N</v>
      </c>
      <c r="M333" s="52" t="str">
        <f>IF(ISERROR(VLOOKUP(A333,'SCINET-PLP'!G:G,1,0)),"N","Y")</f>
        <v>N</v>
      </c>
      <c r="N333" s="52" t="str">
        <f>IF(ISERROR(VLOOKUP(A333,FLEXPLP!G:G,1,0)),"N","Y")</f>
        <v>N</v>
      </c>
      <c r="O333" s="52" t="str">
        <f>IF(ISERROR(VLOOKUP(A333,'ELN PLP'!G:G,1,0)),"N","Y")</f>
        <v>N</v>
      </c>
      <c r="P333" s="53">
        <f t="shared" si="19"/>
        <v>0</v>
      </c>
      <c r="R333" s="21">
        <f>IF(K333+F333&gt;0,1,0)</f>
        <v>0</v>
      </c>
      <c r="S333" s="24">
        <f>IF(ISERROR(VLOOKUP(A333,U:U,1,0)),0,1)</f>
        <v>0</v>
      </c>
      <c r="Z333" s="16"/>
    </row>
    <row r="334" spans="1:26" x14ac:dyDescent="0.35">
      <c r="A334" s="19" t="s">
        <v>1949</v>
      </c>
      <c r="B334" s="5" t="str">
        <f>IF(ISERROR(VLOOKUP(A334,RDPLP!A334:A359,1,0)),"N","Y")</f>
        <v>N</v>
      </c>
      <c r="C334" s="5" t="str">
        <f>IF(ISERROR(VLOOKUP(A334,'SCINET-PLP'!A:A,1,0)),"N","Y")</f>
        <v>N</v>
      </c>
      <c r="D334" s="5" t="str">
        <f>IF(ISERROR(VLOOKUP(A334,FLEXPLP!A:A,1,0)),"N","Y")</f>
        <v>N</v>
      </c>
      <c r="E334" s="5" t="str">
        <f>IF(ISERROR(VLOOKUP(A334,'ELN PLP'!A:A,1,0)),"N","Y")</f>
        <v>N</v>
      </c>
      <c r="F334" s="26">
        <f t="shared" si="17"/>
        <v>0</v>
      </c>
      <c r="G334" s="8" t="str">
        <f>IF(ISERROR(VLOOKUP(A334,RDPLP!D:D,1,0)),"N","Y")</f>
        <v>N</v>
      </c>
      <c r="H334" s="8" t="str">
        <f>IF(ISERROR(VLOOKUP(A334,'SCINET-PLP'!D:D,1,0)),"N","Y")</f>
        <v>N</v>
      </c>
      <c r="I334" s="8" t="str">
        <f>IF(ISERROR(VLOOKUP(A334,FLEXPLP!D:D,1,0)),"N","Y")</f>
        <v>N</v>
      </c>
      <c r="J334" s="8" t="str">
        <f>IF(ISERROR(VLOOKUP(A334,'ELN PLP'!D:D,1,0)),"N","Y")</f>
        <v>N</v>
      </c>
      <c r="K334" s="29">
        <f t="shared" si="18"/>
        <v>0</v>
      </c>
      <c r="L334" s="52" t="str">
        <f>IF(ISERROR(VLOOKUP(A334,RDPLP!G:G,1,0)),"N","Y")</f>
        <v>N</v>
      </c>
      <c r="M334" s="52" t="str">
        <f>IF(ISERROR(VLOOKUP(A334,'SCINET-PLP'!G:G,1,0)),"N","Y")</f>
        <v>N</v>
      </c>
      <c r="N334" s="52" t="str">
        <f>IF(ISERROR(VLOOKUP(A334,FLEXPLP!G:G,1,0)),"N","Y")</f>
        <v>N</v>
      </c>
      <c r="O334" s="52" t="str">
        <f>IF(ISERROR(VLOOKUP(A334,'ELN PLP'!G:G,1,0)),"N","Y")</f>
        <v>N</v>
      </c>
      <c r="P334" s="53">
        <f t="shared" si="19"/>
        <v>0</v>
      </c>
      <c r="R334" s="21">
        <f>IF(K334+F334&gt;0,1,0)</f>
        <v>0</v>
      </c>
      <c r="S334" s="24">
        <f>IF(ISERROR(VLOOKUP(A334,U:U,1,0)),0,1)</f>
        <v>0</v>
      </c>
      <c r="Z334" s="16"/>
    </row>
    <row r="335" spans="1:26" x14ac:dyDescent="0.35">
      <c r="A335" s="19" t="s">
        <v>1953</v>
      </c>
      <c r="B335" s="5" t="str">
        <f>IF(ISERROR(VLOOKUP(A335,RDPLP!A335:A360,1,0)),"N","Y")</f>
        <v>N</v>
      </c>
      <c r="C335" s="5" t="str">
        <f>IF(ISERROR(VLOOKUP(A335,'SCINET-PLP'!A:A,1,0)),"N","Y")</f>
        <v>N</v>
      </c>
      <c r="D335" s="5" t="str">
        <f>IF(ISERROR(VLOOKUP(A335,FLEXPLP!A:A,1,0)),"N","Y")</f>
        <v>N</v>
      </c>
      <c r="E335" s="5" t="str">
        <f>IF(ISERROR(VLOOKUP(A335,'ELN PLP'!A:A,1,0)),"N","Y")</f>
        <v>N</v>
      </c>
      <c r="F335" s="26">
        <f t="shared" si="17"/>
        <v>0</v>
      </c>
      <c r="G335" s="8" t="str">
        <f>IF(ISERROR(VLOOKUP(A335,RDPLP!D:D,1,0)),"N","Y")</f>
        <v>N</v>
      </c>
      <c r="H335" s="8" t="str">
        <f>IF(ISERROR(VLOOKUP(A335,'SCINET-PLP'!D:D,1,0)),"N","Y")</f>
        <v>N</v>
      </c>
      <c r="I335" s="8" t="str">
        <f>IF(ISERROR(VLOOKUP(A335,FLEXPLP!D:D,1,0)),"N","Y")</f>
        <v>N</v>
      </c>
      <c r="J335" s="8" t="str">
        <f>IF(ISERROR(VLOOKUP(A335,'ELN PLP'!D:D,1,0)),"N","Y")</f>
        <v>N</v>
      </c>
      <c r="K335" s="29">
        <f t="shared" si="18"/>
        <v>0</v>
      </c>
      <c r="L335" s="52" t="str">
        <f>IF(ISERROR(VLOOKUP(A335,RDPLP!G:G,1,0)),"N","Y")</f>
        <v>N</v>
      </c>
      <c r="M335" s="52" t="str">
        <f>IF(ISERROR(VLOOKUP(A335,'SCINET-PLP'!G:G,1,0)),"N","Y")</f>
        <v>N</v>
      </c>
      <c r="N335" s="52" t="str">
        <f>IF(ISERROR(VLOOKUP(A335,FLEXPLP!G:G,1,0)),"N","Y")</f>
        <v>N</v>
      </c>
      <c r="O335" s="52" t="str">
        <f>IF(ISERROR(VLOOKUP(A335,'ELN PLP'!G:G,1,0)),"N","Y")</f>
        <v>N</v>
      </c>
      <c r="P335" s="53">
        <f t="shared" si="19"/>
        <v>0</v>
      </c>
      <c r="R335" s="21">
        <f>IF(K335+F335&gt;0,1,0)</f>
        <v>0</v>
      </c>
      <c r="S335" s="24">
        <f>IF(ISERROR(VLOOKUP(A335,U:U,1,0)),0,1)</f>
        <v>0</v>
      </c>
      <c r="Z335" s="16"/>
    </row>
    <row r="336" spans="1:26" x14ac:dyDescent="0.35">
      <c r="A336" s="19" t="s">
        <v>1959</v>
      </c>
      <c r="B336" s="5" t="str">
        <f>IF(ISERROR(VLOOKUP(A336,RDPLP!A336:A361,1,0)),"N","Y")</f>
        <v>N</v>
      </c>
      <c r="C336" s="5" t="str">
        <f>IF(ISERROR(VLOOKUP(A336,'SCINET-PLP'!A:A,1,0)),"N","Y")</f>
        <v>N</v>
      </c>
      <c r="D336" s="5" t="str">
        <f>IF(ISERROR(VLOOKUP(A336,FLEXPLP!A:A,1,0)),"N","Y")</f>
        <v>N</v>
      </c>
      <c r="E336" s="5" t="str">
        <f>IF(ISERROR(VLOOKUP(A336,'ELN PLP'!A:A,1,0)),"N","Y")</f>
        <v>N</v>
      </c>
      <c r="F336" s="26">
        <f t="shared" si="17"/>
        <v>0</v>
      </c>
      <c r="G336" s="8" t="str">
        <f>IF(ISERROR(VLOOKUP(A336,RDPLP!D:D,1,0)),"N","Y")</f>
        <v>N</v>
      </c>
      <c r="H336" s="8" t="str">
        <f>IF(ISERROR(VLOOKUP(A336,'SCINET-PLP'!D:D,1,0)),"N","Y")</f>
        <v>N</v>
      </c>
      <c r="I336" s="8" t="str">
        <f>IF(ISERROR(VLOOKUP(A336,FLEXPLP!D:D,1,0)),"N","Y")</f>
        <v>N</v>
      </c>
      <c r="J336" s="8" t="str">
        <f>IF(ISERROR(VLOOKUP(A336,'ELN PLP'!D:D,1,0)),"N","Y")</f>
        <v>N</v>
      </c>
      <c r="K336" s="29">
        <f t="shared" si="18"/>
        <v>0</v>
      </c>
      <c r="L336" s="52" t="str">
        <f>IF(ISERROR(VLOOKUP(A336,RDPLP!G:G,1,0)),"N","Y")</f>
        <v>N</v>
      </c>
      <c r="M336" s="52" t="str">
        <f>IF(ISERROR(VLOOKUP(A336,'SCINET-PLP'!G:G,1,0)),"N","Y")</f>
        <v>N</v>
      </c>
      <c r="N336" s="52" t="str">
        <f>IF(ISERROR(VLOOKUP(A336,FLEXPLP!G:G,1,0)),"N","Y")</f>
        <v>N</v>
      </c>
      <c r="O336" s="52" t="str">
        <f>IF(ISERROR(VLOOKUP(A336,'ELN PLP'!G:G,1,0)),"N","Y")</f>
        <v>N</v>
      </c>
      <c r="P336" s="53">
        <f t="shared" si="19"/>
        <v>0</v>
      </c>
      <c r="R336" s="21">
        <f>IF(K336+F336&gt;0,1,0)</f>
        <v>0</v>
      </c>
      <c r="S336" s="24">
        <f>IF(ISERROR(VLOOKUP(A336,U:U,1,0)),0,1)</f>
        <v>0</v>
      </c>
      <c r="Z336" s="16"/>
    </row>
    <row r="337" spans="1:26" x14ac:dyDescent="0.35">
      <c r="A337" s="19" t="s">
        <v>1961</v>
      </c>
      <c r="B337" s="5" t="str">
        <f>IF(ISERROR(VLOOKUP(A337,RDPLP!A337:A362,1,0)),"N","Y")</f>
        <v>N</v>
      </c>
      <c r="C337" s="5" t="str">
        <f>IF(ISERROR(VLOOKUP(A337,'SCINET-PLP'!A:A,1,0)),"N","Y")</f>
        <v>N</v>
      </c>
      <c r="D337" s="5" t="str">
        <f>IF(ISERROR(VLOOKUP(A337,FLEXPLP!A:A,1,0)),"N","Y")</f>
        <v>N</v>
      </c>
      <c r="E337" s="5" t="str">
        <f>IF(ISERROR(VLOOKUP(A337,'ELN PLP'!A:A,1,0)),"N","Y")</f>
        <v>N</v>
      </c>
      <c r="F337" s="26">
        <f t="shared" si="17"/>
        <v>0</v>
      </c>
      <c r="G337" s="8" t="str">
        <f>IF(ISERROR(VLOOKUP(A337,RDPLP!D:D,1,0)),"N","Y")</f>
        <v>N</v>
      </c>
      <c r="H337" s="8" t="str">
        <f>IF(ISERROR(VLOOKUP(A337,'SCINET-PLP'!D:D,1,0)),"N","Y")</f>
        <v>N</v>
      </c>
      <c r="I337" s="8" t="str">
        <f>IF(ISERROR(VLOOKUP(A337,FLEXPLP!D:D,1,0)),"N","Y")</f>
        <v>N</v>
      </c>
      <c r="J337" s="8" t="str">
        <f>IF(ISERROR(VLOOKUP(A337,'ELN PLP'!D:D,1,0)),"N","Y")</f>
        <v>N</v>
      </c>
      <c r="K337" s="29">
        <f t="shared" si="18"/>
        <v>0</v>
      </c>
      <c r="L337" s="52" t="str">
        <f>IF(ISERROR(VLOOKUP(A337,RDPLP!G:G,1,0)),"N","Y")</f>
        <v>N</v>
      </c>
      <c r="M337" s="52" t="str">
        <f>IF(ISERROR(VLOOKUP(A337,'SCINET-PLP'!G:G,1,0)),"N","Y")</f>
        <v>N</v>
      </c>
      <c r="N337" s="52" t="str">
        <f>IF(ISERROR(VLOOKUP(A337,FLEXPLP!G:G,1,0)),"N","Y")</f>
        <v>N</v>
      </c>
      <c r="O337" s="52" t="str">
        <f>IF(ISERROR(VLOOKUP(A337,'ELN PLP'!G:G,1,0)),"N","Y")</f>
        <v>N</v>
      </c>
      <c r="P337" s="53">
        <f t="shared" si="19"/>
        <v>0</v>
      </c>
      <c r="R337" s="21">
        <f>IF(K337+F337&gt;0,1,0)</f>
        <v>0</v>
      </c>
      <c r="S337" s="24">
        <f>IF(ISERROR(VLOOKUP(A337,U:U,1,0)),0,1)</f>
        <v>0</v>
      </c>
      <c r="Z337" s="16"/>
    </row>
    <row r="338" spans="1:26" x14ac:dyDescent="0.35">
      <c r="A338" s="19" t="s">
        <v>1970</v>
      </c>
      <c r="B338" s="5" t="str">
        <f>IF(ISERROR(VLOOKUP(A338,RDPLP!A338:A363,1,0)),"N","Y")</f>
        <v>N</v>
      </c>
      <c r="C338" s="5" t="str">
        <f>IF(ISERROR(VLOOKUP(A338,'SCINET-PLP'!A:A,1,0)),"N","Y")</f>
        <v>N</v>
      </c>
      <c r="D338" s="5" t="str">
        <f>IF(ISERROR(VLOOKUP(A338,FLEXPLP!A:A,1,0)),"N","Y")</f>
        <v>N</v>
      </c>
      <c r="E338" s="5" t="str">
        <f>IF(ISERROR(VLOOKUP(A338,'ELN PLP'!A:A,1,0)),"N","Y")</f>
        <v>N</v>
      </c>
      <c r="F338" s="26">
        <f t="shared" si="17"/>
        <v>0</v>
      </c>
      <c r="G338" s="8" t="str">
        <f>IF(ISERROR(VLOOKUP(A338,RDPLP!D:D,1,0)),"N","Y")</f>
        <v>N</v>
      </c>
      <c r="H338" s="8" t="str">
        <f>IF(ISERROR(VLOOKUP(A338,'SCINET-PLP'!D:D,1,0)),"N","Y")</f>
        <v>N</v>
      </c>
      <c r="I338" s="8" t="str">
        <f>IF(ISERROR(VLOOKUP(A338,FLEXPLP!D:D,1,0)),"N","Y")</f>
        <v>N</v>
      </c>
      <c r="J338" s="8" t="str">
        <f>IF(ISERROR(VLOOKUP(A338,'ELN PLP'!D:D,1,0)),"N","Y")</f>
        <v>N</v>
      </c>
      <c r="K338" s="29">
        <f t="shared" si="18"/>
        <v>0</v>
      </c>
      <c r="L338" s="52" t="str">
        <f>IF(ISERROR(VLOOKUP(A338,RDPLP!G:G,1,0)),"N","Y")</f>
        <v>N</v>
      </c>
      <c r="M338" s="52" t="str">
        <f>IF(ISERROR(VLOOKUP(A338,'SCINET-PLP'!G:G,1,0)),"N","Y")</f>
        <v>N</v>
      </c>
      <c r="N338" s="52" t="str">
        <f>IF(ISERROR(VLOOKUP(A338,FLEXPLP!G:G,1,0)),"N","Y")</f>
        <v>N</v>
      </c>
      <c r="O338" s="52" t="str">
        <f>IF(ISERROR(VLOOKUP(A338,'ELN PLP'!G:G,1,0)),"N","Y")</f>
        <v>N</v>
      </c>
      <c r="P338" s="53">
        <f t="shared" si="19"/>
        <v>0</v>
      </c>
      <c r="R338" s="21">
        <f>IF(K338+F338&gt;0,1,0)</f>
        <v>0</v>
      </c>
      <c r="S338" s="24">
        <f>IF(ISERROR(VLOOKUP(A338,U:U,1,0)),0,1)</f>
        <v>0</v>
      </c>
      <c r="Z338" s="16"/>
    </row>
    <row r="339" spans="1:26" x14ac:dyDescent="0.35">
      <c r="A339" s="19" t="s">
        <v>1973</v>
      </c>
      <c r="B339" s="5" t="str">
        <f>IF(ISERROR(VLOOKUP(A339,RDPLP!A339:A364,1,0)),"N","Y")</f>
        <v>N</v>
      </c>
      <c r="C339" s="5" t="str">
        <f>IF(ISERROR(VLOOKUP(A339,'SCINET-PLP'!A:A,1,0)),"N","Y")</f>
        <v>N</v>
      </c>
      <c r="D339" s="5" t="str">
        <f>IF(ISERROR(VLOOKUP(A339,FLEXPLP!A:A,1,0)),"N","Y")</f>
        <v>N</v>
      </c>
      <c r="E339" s="5" t="str">
        <f>IF(ISERROR(VLOOKUP(A339,'ELN PLP'!A:A,1,0)),"N","Y")</f>
        <v>N</v>
      </c>
      <c r="F339" s="26">
        <f t="shared" si="17"/>
        <v>0</v>
      </c>
      <c r="G339" s="8" t="str">
        <f>IF(ISERROR(VLOOKUP(A339,RDPLP!D:D,1,0)),"N","Y")</f>
        <v>N</v>
      </c>
      <c r="H339" s="8" t="str">
        <f>IF(ISERROR(VLOOKUP(A339,'SCINET-PLP'!D:D,1,0)),"N","Y")</f>
        <v>N</v>
      </c>
      <c r="I339" s="8" t="str">
        <f>IF(ISERROR(VLOOKUP(A339,FLEXPLP!D:D,1,0)),"N","Y")</f>
        <v>N</v>
      </c>
      <c r="J339" s="8" t="str">
        <f>IF(ISERROR(VLOOKUP(A339,'ELN PLP'!D:D,1,0)),"N","Y")</f>
        <v>N</v>
      </c>
      <c r="K339" s="29">
        <f t="shared" si="18"/>
        <v>0</v>
      </c>
      <c r="L339" s="52" t="str">
        <f>IF(ISERROR(VLOOKUP(A339,RDPLP!G:G,1,0)),"N","Y")</f>
        <v>N</v>
      </c>
      <c r="M339" s="52" t="str">
        <f>IF(ISERROR(VLOOKUP(A339,'SCINET-PLP'!G:G,1,0)),"N","Y")</f>
        <v>N</v>
      </c>
      <c r="N339" s="52" t="str">
        <f>IF(ISERROR(VLOOKUP(A339,FLEXPLP!G:G,1,0)),"N","Y")</f>
        <v>N</v>
      </c>
      <c r="O339" s="52" t="str">
        <f>IF(ISERROR(VLOOKUP(A339,'ELN PLP'!G:G,1,0)),"N","Y")</f>
        <v>N</v>
      </c>
      <c r="P339" s="53">
        <f t="shared" si="19"/>
        <v>0</v>
      </c>
      <c r="R339" s="21">
        <f>IF(K339+F339&gt;0,1,0)</f>
        <v>0</v>
      </c>
      <c r="S339" s="24">
        <f>IF(ISERROR(VLOOKUP(A339,U:U,1,0)),0,1)</f>
        <v>0</v>
      </c>
      <c r="Z339" s="16"/>
    </row>
    <row r="340" spans="1:26" x14ac:dyDescent="0.35">
      <c r="A340" s="19" t="s">
        <v>1981</v>
      </c>
      <c r="B340" s="5" t="str">
        <f>IF(ISERROR(VLOOKUP(A340,RDPLP!A340:A365,1,0)),"N","Y")</f>
        <v>N</v>
      </c>
      <c r="C340" s="5" t="str">
        <f>IF(ISERROR(VLOOKUP(A340,'SCINET-PLP'!A:A,1,0)),"N","Y")</f>
        <v>N</v>
      </c>
      <c r="D340" s="5" t="str">
        <f>IF(ISERROR(VLOOKUP(A340,FLEXPLP!A:A,1,0)),"N","Y")</f>
        <v>N</v>
      </c>
      <c r="E340" s="5" t="str">
        <f>IF(ISERROR(VLOOKUP(A340,'ELN PLP'!A:A,1,0)),"N","Y")</f>
        <v>N</v>
      </c>
      <c r="F340" s="26">
        <f t="shared" si="17"/>
        <v>0</v>
      </c>
      <c r="G340" s="8" t="str">
        <f>IF(ISERROR(VLOOKUP(A340,RDPLP!D:D,1,0)),"N","Y")</f>
        <v>N</v>
      </c>
      <c r="H340" s="8" t="str">
        <f>IF(ISERROR(VLOOKUP(A340,'SCINET-PLP'!D:D,1,0)),"N","Y")</f>
        <v>N</v>
      </c>
      <c r="I340" s="8" t="str">
        <f>IF(ISERROR(VLOOKUP(A340,FLEXPLP!D:D,1,0)),"N","Y")</f>
        <v>N</v>
      </c>
      <c r="J340" s="8" t="str">
        <f>IF(ISERROR(VLOOKUP(A340,'ELN PLP'!D:D,1,0)),"N","Y")</f>
        <v>N</v>
      </c>
      <c r="K340" s="29">
        <f t="shared" si="18"/>
        <v>0</v>
      </c>
      <c r="L340" s="52" t="str">
        <f>IF(ISERROR(VLOOKUP(A340,RDPLP!G:G,1,0)),"N","Y")</f>
        <v>N</v>
      </c>
      <c r="M340" s="52" t="str">
        <f>IF(ISERROR(VLOOKUP(A340,'SCINET-PLP'!G:G,1,0)),"N","Y")</f>
        <v>N</v>
      </c>
      <c r="N340" s="52" t="str">
        <f>IF(ISERROR(VLOOKUP(A340,FLEXPLP!G:G,1,0)),"N","Y")</f>
        <v>N</v>
      </c>
      <c r="O340" s="52" t="str">
        <f>IF(ISERROR(VLOOKUP(A340,'ELN PLP'!G:G,1,0)),"N","Y")</f>
        <v>N</v>
      </c>
      <c r="P340" s="53">
        <f t="shared" si="19"/>
        <v>0</v>
      </c>
      <c r="R340" s="21">
        <f>IF(K340+F340&gt;0,1,0)</f>
        <v>0</v>
      </c>
      <c r="S340" s="24">
        <f>IF(ISERROR(VLOOKUP(A340,U:U,1,0)),0,1)</f>
        <v>0</v>
      </c>
      <c r="Z340" s="16"/>
    </row>
    <row r="341" spans="1:26" x14ac:dyDescent="0.35">
      <c r="A341" s="19" t="s">
        <v>1984</v>
      </c>
      <c r="B341" s="5" t="str">
        <f>IF(ISERROR(VLOOKUP(A341,RDPLP!A341:A366,1,0)),"N","Y")</f>
        <v>N</v>
      </c>
      <c r="C341" s="5" t="str">
        <f>IF(ISERROR(VLOOKUP(A341,'SCINET-PLP'!A:A,1,0)),"N","Y")</f>
        <v>N</v>
      </c>
      <c r="D341" s="5" t="str">
        <f>IF(ISERROR(VLOOKUP(A341,FLEXPLP!A:A,1,0)),"N","Y")</f>
        <v>N</v>
      </c>
      <c r="E341" s="5" t="str">
        <f>IF(ISERROR(VLOOKUP(A341,'ELN PLP'!A:A,1,0)),"N","Y")</f>
        <v>N</v>
      </c>
      <c r="F341" s="26">
        <f t="shared" si="17"/>
        <v>0</v>
      </c>
      <c r="G341" s="8" t="str">
        <f>IF(ISERROR(VLOOKUP(A341,RDPLP!D:D,1,0)),"N","Y")</f>
        <v>N</v>
      </c>
      <c r="H341" s="8" t="str">
        <f>IF(ISERROR(VLOOKUP(A341,'SCINET-PLP'!D:D,1,0)),"N","Y")</f>
        <v>N</v>
      </c>
      <c r="I341" s="8" t="str">
        <f>IF(ISERROR(VLOOKUP(A341,FLEXPLP!D:D,1,0)),"N","Y")</f>
        <v>N</v>
      </c>
      <c r="J341" s="8" t="str">
        <f>IF(ISERROR(VLOOKUP(A341,'ELN PLP'!D:D,1,0)),"N","Y")</f>
        <v>N</v>
      </c>
      <c r="K341" s="29">
        <f t="shared" si="18"/>
        <v>0</v>
      </c>
      <c r="L341" s="52" t="str">
        <f>IF(ISERROR(VLOOKUP(A341,RDPLP!G:G,1,0)),"N","Y")</f>
        <v>N</v>
      </c>
      <c r="M341" s="52" t="str">
        <f>IF(ISERROR(VLOOKUP(A341,'SCINET-PLP'!G:G,1,0)),"N","Y")</f>
        <v>N</v>
      </c>
      <c r="N341" s="52" t="str">
        <f>IF(ISERROR(VLOOKUP(A341,FLEXPLP!G:G,1,0)),"N","Y")</f>
        <v>N</v>
      </c>
      <c r="O341" s="52" t="str">
        <f>IF(ISERROR(VLOOKUP(A341,'ELN PLP'!G:G,1,0)),"N","Y")</f>
        <v>N</v>
      </c>
      <c r="P341" s="53">
        <f t="shared" si="19"/>
        <v>0</v>
      </c>
      <c r="R341" s="21">
        <f>IF(K341+F341&gt;0,1,0)</f>
        <v>0</v>
      </c>
      <c r="S341" s="24">
        <f>IF(ISERROR(VLOOKUP(A341,U:U,1,0)),0,1)</f>
        <v>0</v>
      </c>
      <c r="Z341" s="16"/>
    </row>
    <row r="342" spans="1:26" x14ac:dyDescent="0.35">
      <c r="A342" s="19" t="s">
        <v>1988</v>
      </c>
      <c r="B342" s="5" t="str">
        <f>IF(ISERROR(VLOOKUP(A342,RDPLP!A342:A367,1,0)),"N","Y")</f>
        <v>N</v>
      </c>
      <c r="C342" s="5" t="str">
        <f>IF(ISERROR(VLOOKUP(A342,'SCINET-PLP'!A:A,1,0)),"N","Y")</f>
        <v>N</v>
      </c>
      <c r="D342" s="5" t="str">
        <f>IF(ISERROR(VLOOKUP(A342,FLEXPLP!A:A,1,0)),"N","Y")</f>
        <v>N</v>
      </c>
      <c r="E342" s="5" t="str">
        <f>IF(ISERROR(VLOOKUP(A342,'ELN PLP'!A:A,1,0)),"N","Y")</f>
        <v>N</v>
      </c>
      <c r="F342" s="26">
        <f t="shared" si="17"/>
        <v>0</v>
      </c>
      <c r="G342" s="8" t="str">
        <f>IF(ISERROR(VLOOKUP(A342,RDPLP!D:D,1,0)),"N","Y")</f>
        <v>N</v>
      </c>
      <c r="H342" s="8" t="str">
        <f>IF(ISERROR(VLOOKUP(A342,'SCINET-PLP'!D:D,1,0)),"N","Y")</f>
        <v>N</v>
      </c>
      <c r="I342" s="8" t="str">
        <f>IF(ISERROR(VLOOKUP(A342,FLEXPLP!D:D,1,0)),"N","Y")</f>
        <v>N</v>
      </c>
      <c r="J342" s="8" t="str">
        <f>IF(ISERROR(VLOOKUP(A342,'ELN PLP'!D:D,1,0)),"N","Y")</f>
        <v>N</v>
      </c>
      <c r="K342" s="29">
        <f t="shared" si="18"/>
        <v>0</v>
      </c>
      <c r="L342" s="52" t="str">
        <f>IF(ISERROR(VLOOKUP(A342,RDPLP!G:G,1,0)),"N","Y")</f>
        <v>N</v>
      </c>
      <c r="M342" s="52" t="str">
        <f>IF(ISERROR(VLOOKUP(A342,'SCINET-PLP'!G:G,1,0)),"N","Y")</f>
        <v>N</v>
      </c>
      <c r="N342" s="52" t="str">
        <f>IF(ISERROR(VLOOKUP(A342,FLEXPLP!G:G,1,0)),"N","Y")</f>
        <v>N</v>
      </c>
      <c r="O342" s="52" t="str">
        <f>IF(ISERROR(VLOOKUP(A342,'ELN PLP'!G:G,1,0)),"N","Y")</f>
        <v>N</v>
      </c>
      <c r="P342" s="53">
        <f t="shared" si="19"/>
        <v>0</v>
      </c>
      <c r="R342" s="21">
        <f>IF(K342+F342&gt;0,1,0)</f>
        <v>0</v>
      </c>
      <c r="S342" s="24">
        <f>IF(ISERROR(VLOOKUP(A342,U:U,1,0)),0,1)</f>
        <v>0</v>
      </c>
      <c r="Z342" s="16"/>
    </row>
    <row r="343" spans="1:26" x14ac:dyDescent="0.35">
      <c r="A343" s="19" t="s">
        <v>1991</v>
      </c>
      <c r="B343" s="5" t="str">
        <f>IF(ISERROR(VLOOKUP(A343,RDPLP!A343:A368,1,0)),"N","Y")</f>
        <v>N</v>
      </c>
      <c r="C343" s="5" t="str">
        <f>IF(ISERROR(VLOOKUP(A343,'SCINET-PLP'!A:A,1,0)),"N","Y")</f>
        <v>N</v>
      </c>
      <c r="D343" s="5" t="str">
        <f>IF(ISERROR(VLOOKUP(A343,FLEXPLP!A:A,1,0)),"N","Y")</f>
        <v>N</v>
      </c>
      <c r="E343" s="5" t="str">
        <f>IF(ISERROR(VLOOKUP(A343,'ELN PLP'!A:A,1,0)),"N","Y")</f>
        <v>N</v>
      </c>
      <c r="F343" s="26">
        <f t="shared" si="17"/>
        <v>0</v>
      </c>
      <c r="G343" s="8" t="str">
        <f>IF(ISERROR(VLOOKUP(A343,RDPLP!D:D,1,0)),"N","Y")</f>
        <v>N</v>
      </c>
      <c r="H343" s="8" t="str">
        <f>IF(ISERROR(VLOOKUP(A343,'SCINET-PLP'!D:D,1,0)),"N","Y")</f>
        <v>N</v>
      </c>
      <c r="I343" s="8" t="str">
        <f>IF(ISERROR(VLOOKUP(A343,FLEXPLP!D:D,1,0)),"N","Y")</f>
        <v>N</v>
      </c>
      <c r="J343" s="8" t="str">
        <f>IF(ISERROR(VLOOKUP(A343,'ELN PLP'!D:D,1,0)),"N","Y")</f>
        <v>N</v>
      </c>
      <c r="K343" s="29">
        <f t="shared" si="18"/>
        <v>0</v>
      </c>
      <c r="L343" s="52" t="str">
        <f>IF(ISERROR(VLOOKUP(A343,RDPLP!G:G,1,0)),"N","Y")</f>
        <v>N</v>
      </c>
      <c r="M343" s="52" t="str">
        <f>IF(ISERROR(VLOOKUP(A343,'SCINET-PLP'!G:G,1,0)),"N","Y")</f>
        <v>N</v>
      </c>
      <c r="N343" s="52" t="str">
        <f>IF(ISERROR(VLOOKUP(A343,FLEXPLP!G:G,1,0)),"N","Y")</f>
        <v>N</v>
      </c>
      <c r="O343" s="52" t="str">
        <f>IF(ISERROR(VLOOKUP(A343,'ELN PLP'!G:G,1,0)),"N","Y")</f>
        <v>N</v>
      </c>
      <c r="P343" s="53">
        <f t="shared" si="19"/>
        <v>0</v>
      </c>
      <c r="R343" s="21">
        <f>IF(K343+F343&gt;0,1,0)</f>
        <v>0</v>
      </c>
      <c r="S343" s="24">
        <f>IF(ISERROR(VLOOKUP(A343,U:U,1,0)),0,1)</f>
        <v>0</v>
      </c>
      <c r="Z343" s="16"/>
    </row>
    <row r="344" spans="1:26" x14ac:dyDescent="0.35">
      <c r="A344" s="19" t="s">
        <v>1994</v>
      </c>
      <c r="B344" s="5" t="str">
        <f>IF(ISERROR(VLOOKUP(A344,RDPLP!A344:A369,1,0)),"N","Y")</f>
        <v>N</v>
      </c>
      <c r="C344" s="5" t="str">
        <f>IF(ISERROR(VLOOKUP(A344,'SCINET-PLP'!A:A,1,0)),"N","Y")</f>
        <v>N</v>
      </c>
      <c r="D344" s="5" t="str">
        <f>IF(ISERROR(VLOOKUP(A344,FLEXPLP!A:A,1,0)),"N","Y")</f>
        <v>N</v>
      </c>
      <c r="E344" s="5" t="str">
        <f>IF(ISERROR(VLOOKUP(A344,'ELN PLP'!A:A,1,0)),"N","Y")</f>
        <v>N</v>
      </c>
      <c r="F344" s="26">
        <f t="shared" si="17"/>
        <v>0</v>
      </c>
      <c r="G344" s="8" t="str">
        <f>IF(ISERROR(VLOOKUP(A344,RDPLP!D:D,1,0)),"N","Y")</f>
        <v>N</v>
      </c>
      <c r="H344" s="8" t="str">
        <f>IF(ISERROR(VLOOKUP(A344,'SCINET-PLP'!D:D,1,0)),"N","Y")</f>
        <v>N</v>
      </c>
      <c r="I344" s="8" t="str">
        <f>IF(ISERROR(VLOOKUP(A344,FLEXPLP!D:D,1,0)),"N","Y")</f>
        <v>N</v>
      </c>
      <c r="J344" s="8" t="str">
        <f>IF(ISERROR(VLOOKUP(A344,'ELN PLP'!D:D,1,0)),"N","Y")</f>
        <v>N</v>
      </c>
      <c r="K344" s="29">
        <f t="shared" si="18"/>
        <v>0</v>
      </c>
      <c r="L344" s="52" t="str">
        <f>IF(ISERROR(VLOOKUP(A344,RDPLP!G:G,1,0)),"N","Y")</f>
        <v>N</v>
      </c>
      <c r="M344" s="52" t="str">
        <f>IF(ISERROR(VLOOKUP(A344,'SCINET-PLP'!G:G,1,0)),"N","Y")</f>
        <v>N</v>
      </c>
      <c r="N344" s="52" t="str">
        <f>IF(ISERROR(VLOOKUP(A344,FLEXPLP!G:G,1,0)),"N","Y")</f>
        <v>N</v>
      </c>
      <c r="O344" s="52" t="str">
        <f>IF(ISERROR(VLOOKUP(A344,'ELN PLP'!G:G,1,0)),"N","Y")</f>
        <v>N</v>
      </c>
      <c r="P344" s="53">
        <f t="shared" si="19"/>
        <v>0</v>
      </c>
      <c r="R344" s="21">
        <f>IF(K344+F344&gt;0,1,0)</f>
        <v>0</v>
      </c>
      <c r="S344" s="24">
        <f>IF(ISERROR(VLOOKUP(A344,U:U,1,0)),0,1)</f>
        <v>0</v>
      </c>
      <c r="Z344" s="16"/>
    </row>
    <row r="345" spans="1:26" x14ac:dyDescent="0.35">
      <c r="A345" s="19" t="s">
        <v>1998</v>
      </c>
      <c r="B345" s="5" t="str">
        <f>IF(ISERROR(VLOOKUP(A345,RDPLP!A345:A370,1,0)),"N","Y")</f>
        <v>N</v>
      </c>
      <c r="C345" s="5" t="str">
        <f>IF(ISERROR(VLOOKUP(A345,'SCINET-PLP'!A:A,1,0)),"N","Y")</f>
        <v>N</v>
      </c>
      <c r="D345" s="5" t="str">
        <f>IF(ISERROR(VLOOKUP(A345,FLEXPLP!A:A,1,0)),"N","Y")</f>
        <v>N</v>
      </c>
      <c r="E345" s="5" t="str">
        <f>IF(ISERROR(VLOOKUP(A345,'ELN PLP'!A:A,1,0)),"N","Y")</f>
        <v>N</v>
      </c>
      <c r="F345" s="26">
        <f t="shared" si="17"/>
        <v>0</v>
      </c>
      <c r="G345" s="8" t="str">
        <f>IF(ISERROR(VLOOKUP(A345,RDPLP!D:D,1,0)),"N","Y")</f>
        <v>N</v>
      </c>
      <c r="H345" s="8" t="str">
        <f>IF(ISERROR(VLOOKUP(A345,'SCINET-PLP'!D:D,1,0)),"N","Y")</f>
        <v>N</v>
      </c>
      <c r="I345" s="8" t="str">
        <f>IF(ISERROR(VLOOKUP(A345,FLEXPLP!D:D,1,0)),"N","Y")</f>
        <v>N</v>
      </c>
      <c r="J345" s="8" t="str">
        <f>IF(ISERROR(VLOOKUP(A345,'ELN PLP'!D:D,1,0)),"N","Y")</f>
        <v>N</v>
      </c>
      <c r="K345" s="29">
        <f t="shared" si="18"/>
        <v>0</v>
      </c>
      <c r="L345" s="52" t="str">
        <f>IF(ISERROR(VLOOKUP(A345,RDPLP!G:G,1,0)),"N","Y")</f>
        <v>N</v>
      </c>
      <c r="M345" s="52" t="str">
        <f>IF(ISERROR(VLOOKUP(A345,'SCINET-PLP'!G:G,1,0)),"N","Y")</f>
        <v>N</v>
      </c>
      <c r="N345" s="52" t="str">
        <f>IF(ISERROR(VLOOKUP(A345,FLEXPLP!G:G,1,0)),"N","Y")</f>
        <v>N</v>
      </c>
      <c r="O345" s="52" t="str">
        <f>IF(ISERROR(VLOOKUP(A345,'ELN PLP'!G:G,1,0)),"N","Y")</f>
        <v>N</v>
      </c>
      <c r="P345" s="53">
        <f t="shared" si="19"/>
        <v>0</v>
      </c>
      <c r="R345" s="21">
        <f>IF(K345+F345&gt;0,1,0)</f>
        <v>0</v>
      </c>
      <c r="S345" s="24">
        <f>IF(ISERROR(VLOOKUP(A345,U:U,1,0)),0,1)</f>
        <v>0</v>
      </c>
      <c r="Z345" s="16"/>
    </row>
    <row r="346" spans="1:26" x14ac:dyDescent="0.35">
      <c r="A346" s="19" t="s">
        <v>1999</v>
      </c>
      <c r="B346" s="5" t="str">
        <f>IF(ISERROR(VLOOKUP(A346,RDPLP!A346:A371,1,0)),"N","Y")</f>
        <v>N</v>
      </c>
      <c r="C346" s="5" t="str">
        <f>IF(ISERROR(VLOOKUP(A346,'SCINET-PLP'!A:A,1,0)),"N","Y")</f>
        <v>N</v>
      </c>
      <c r="D346" s="5" t="str">
        <f>IF(ISERROR(VLOOKUP(A346,FLEXPLP!A:A,1,0)),"N","Y")</f>
        <v>N</v>
      </c>
      <c r="E346" s="5" t="str">
        <f>IF(ISERROR(VLOOKUP(A346,'ELN PLP'!A:A,1,0)),"N","Y")</f>
        <v>N</v>
      </c>
      <c r="F346" s="26">
        <f t="shared" si="17"/>
        <v>0</v>
      </c>
      <c r="G346" s="8" t="str">
        <f>IF(ISERROR(VLOOKUP(A346,RDPLP!D:D,1,0)),"N","Y")</f>
        <v>N</v>
      </c>
      <c r="H346" s="8" t="str">
        <f>IF(ISERROR(VLOOKUP(A346,'SCINET-PLP'!D:D,1,0)),"N","Y")</f>
        <v>N</v>
      </c>
      <c r="I346" s="8" t="str">
        <f>IF(ISERROR(VLOOKUP(A346,FLEXPLP!D:D,1,0)),"N","Y")</f>
        <v>N</v>
      </c>
      <c r="J346" s="8" t="str">
        <f>IF(ISERROR(VLOOKUP(A346,'ELN PLP'!D:D,1,0)),"N","Y")</f>
        <v>N</v>
      </c>
      <c r="K346" s="29">
        <f t="shared" si="18"/>
        <v>0</v>
      </c>
      <c r="L346" s="52" t="str">
        <f>IF(ISERROR(VLOOKUP(A346,RDPLP!G:G,1,0)),"N","Y")</f>
        <v>N</v>
      </c>
      <c r="M346" s="52" t="str">
        <f>IF(ISERROR(VLOOKUP(A346,'SCINET-PLP'!G:G,1,0)),"N","Y")</f>
        <v>N</v>
      </c>
      <c r="N346" s="52" t="str">
        <f>IF(ISERROR(VLOOKUP(A346,FLEXPLP!G:G,1,0)),"N","Y")</f>
        <v>N</v>
      </c>
      <c r="O346" s="52" t="str">
        <f>IF(ISERROR(VLOOKUP(A346,'ELN PLP'!G:G,1,0)),"N","Y")</f>
        <v>N</v>
      </c>
      <c r="P346" s="53">
        <f t="shared" si="19"/>
        <v>0</v>
      </c>
      <c r="R346" s="21">
        <f>IF(K346+F346&gt;0,1,0)</f>
        <v>0</v>
      </c>
      <c r="S346" s="24">
        <f>IF(ISERROR(VLOOKUP(A346,U:U,1,0)),0,1)</f>
        <v>0</v>
      </c>
      <c r="Z346" s="16"/>
    </row>
    <row r="347" spans="1:26" x14ac:dyDescent="0.35">
      <c r="A347" s="19" t="s">
        <v>2000</v>
      </c>
      <c r="B347" s="5" t="str">
        <f>IF(ISERROR(VLOOKUP(A347,RDPLP!A347:A372,1,0)),"N","Y")</f>
        <v>N</v>
      </c>
      <c r="C347" s="5" t="str">
        <f>IF(ISERROR(VLOOKUP(A347,'SCINET-PLP'!A:A,1,0)),"N","Y")</f>
        <v>N</v>
      </c>
      <c r="D347" s="5" t="str">
        <f>IF(ISERROR(VLOOKUP(A347,FLEXPLP!A:A,1,0)),"N","Y")</f>
        <v>N</v>
      </c>
      <c r="E347" s="5" t="str">
        <f>IF(ISERROR(VLOOKUP(A347,'ELN PLP'!A:A,1,0)),"N","Y")</f>
        <v>N</v>
      </c>
      <c r="F347" s="26">
        <f t="shared" si="17"/>
        <v>0</v>
      </c>
      <c r="G347" s="8" t="str">
        <f>IF(ISERROR(VLOOKUP(A347,RDPLP!D:D,1,0)),"N","Y")</f>
        <v>N</v>
      </c>
      <c r="H347" s="8" t="str">
        <f>IF(ISERROR(VLOOKUP(A347,'SCINET-PLP'!D:D,1,0)),"N","Y")</f>
        <v>N</v>
      </c>
      <c r="I347" s="8" t="str">
        <f>IF(ISERROR(VLOOKUP(A347,FLEXPLP!D:D,1,0)),"N","Y")</f>
        <v>N</v>
      </c>
      <c r="J347" s="8" t="str">
        <f>IF(ISERROR(VLOOKUP(A347,'ELN PLP'!D:D,1,0)),"N","Y")</f>
        <v>N</v>
      </c>
      <c r="K347" s="29">
        <f t="shared" si="18"/>
        <v>0</v>
      </c>
      <c r="L347" s="52" t="str">
        <f>IF(ISERROR(VLOOKUP(A347,RDPLP!G:G,1,0)),"N","Y")</f>
        <v>N</v>
      </c>
      <c r="M347" s="52" t="str">
        <f>IF(ISERROR(VLOOKUP(A347,'SCINET-PLP'!G:G,1,0)),"N","Y")</f>
        <v>N</v>
      </c>
      <c r="N347" s="52" t="str">
        <f>IF(ISERROR(VLOOKUP(A347,FLEXPLP!G:G,1,0)),"N","Y")</f>
        <v>N</v>
      </c>
      <c r="O347" s="52" t="str">
        <f>IF(ISERROR(VLOOKUP(A347,'ELN PLP'!G:G,1,0)),"N","Y")</f>
        <v>N</v>
      </c>
      <c r="P347" s="53">
        <f t="shared" si="19"/>
        <v>0</v>
      </c>
      <c r="R347" s="21">
        <f>IF(K347+F347&gt;0,1,0)</f>
        <v>0</v>
      </c>
      <c r="S347" s="24">
        <f>IF(ISERROR(VLOOKUP(A347,U:U,1,0)),0,1)</f>
        <v>0</v>
      </c>
      <c r="Z347" s="16"/>
    </row>
    <row r="348" spans="1:26" x14ac:dyDescent="0.35">
      <c r="A348" s="19" t="s">
        <v>2001</v>
      </c>
      <c r="B348" s="5" t="str">
        <f>IF(ISERROR(VLOOKUP(A348,RDPLP!A348:A373,1,0)),"N","Y")</f>
        <v>N</v>
      </c>
      <c r="C348" s="5" t="str">
        <f>IF(ISERROR(VLOOKUP(A348,'SCINET-PLP'!A:A,1,0)),"N","Y")</f>
        <v>N</v>
      </c>
      <c r="D348" s="5" t="str">
        <f>IF(ISERROR(VLOOKUP(A348,FLEXPLP!A:A,1,0)),"N","Y")</f>
        <v>N</v>
      </c>
      <c r="E348" s="5" t="str">
        <f>IF(ISERROR(VLOOKUP(A348,'ELN PLP'!A:A,1,0)),"N","Y")</f>
        <v>N</v>
      </c>
      <c r="F348" s="26">
        <f t="shared" si="17"/>
        <v>0</v>
      </c>
      <c r="G348" s="8" t="str">
        <f>IF(ISERROR(VLOOKUP(A348,RDPLP!D:D,1,0)),"N","Y")</f>
        <v>N</v>
      </c>
      <c r="H348" s="8" t="str">
        <f>IF(ISERROR(VLOOKUP(A348,'SCINET-PLP'!D:D,1,0)),"N","Y")</f>
        <v>N</v>
      </c>
      <c r="I348" s="8" t="str">
        <f>IF(ISERROR(VLOOKUP(A348,FLEXPLP!D:D,1,0)),"N","Y")</f>
        <v>N</v>
      </c>
      <c r="J348" s="8" t="str">
        <f>IF(ISERROR(VLOOKUP(A348,'ELN PLP'!D:D,1,0)),"N","Y")</f>
        <v>N</v>
      </c>
      <c r="K348" s="29">
        <f t="shared" si="18"/>
        <v>0</v>
      </c>
      <c r="L348" s="52" t="str">
        <f>IF(ISERROR(VLOOKUP(A348,RDPLP!G:G,1,0)),"N","Y")</f>
        <v>N</v>
      </c>
      <c r="M348" s="52" t="str">
        <f>IF(ISERROR(VLOOKUP(A348,'SCINET-PLP'!G:G,1,0)),"N","Y")</f>
        <v>N</v>
      </c>
      <c r="N348" s="52" t="str">
        <f>IF(ISERROR(VLOOKUP(A348,FLEXPLP!G:G,1,0)),"N","Y")</f>
        <v>N</v>
      </c>
      <c r="O348" s="52" t="str">
        <f>IF(ISERROR(VLOOKUP(A348,'ELN PLP'!G:G,1,0)),"N","Y")</f>
        <v>N</v>
      </c>
      <c r="P348" s="53">
        <f t="shared" si="19"/>
        <v>0</v>
      </c>
      <c r="R348" s="21">
        <f>IF(K348+F348&gt;0,1,0)</f>
        <v>0</v>
      </c>
      <c r="S348" s="24">
        <f>IF(ISERROR(VLOOKUP(A348,U:U,1,0)),0,1)</f>
        <v>0</v>
      </c>
      <c r="Z348" s="16"/>
    </row>
    <row r="349" spans="1:26" x14ac:dyDescent="0.35">
      <c r="A349" s="19" t="s">
        <v>2002</v>
      </c>
      <c r="B349" s="5" t="str">
        <f>IF(ISERROR(VLOOKUP(A349,RDPLP!A349:A374,1,0)),"N","Y")</f>
        <v>N</v>
      </c>
      <c r="C349" s="5" t="str">
        <f>IF(ISERROR(VLOOKUP(A349,'SCINET-PLP'!A:A,1,0)),"N","Y")</f>
        <v>N</v>
      </c>
      <c r="D349" s="5" t="str">
        <f>IF(ISERROR(VLOOKUP(A349,FLEXPLP!A:A,1,0)),"N","Y")</f>
        <v>N</v>
      </c>
      <c r="E349" s="5" t="str">
        <f>IF(ISERROR(VLOOKUP(A349,'ELN PLP'!A:A,1,0)),"N","Y")</f>
        <v>N</v>
      </c>
      <c r="F349" s="26">
        <f t="shared" si="17"/>
        <v>0</v>
      </c>
      <c r="G349" s="8" t="str">
        <f>IF(ISERROR(VLOOKUP(A349,RDPLP!D:D,1,0)),"N","Y")</f>
        <v>N</v>
      </c>
      <c r="H349" s="8" t="str">
        <f>IF(ISERROR(VLOOKUP(A349,'SCINET-PLP'!D:D,1,0)),"N","Y")</f>
        <v>N</v>
      </c>
      <c r="I349" s="8" t="str">
        <f>IF(ISERROR(VLOOKUP(A349,FLEXPLP!D:D,1,0)),"N","Y")</f>
        <v>N</v>
      </c>
      <c r="J349" s="8" t="str">
        <f>IF(ISERROR(VLOOKUP(A349,'ELN PLP'!D:D,1,0)),"N","Y")</f>
        <v>N</v>
      </c>
      <c r="K349" s="29">
        <f t="shared" si="18"/>
        <v>0</v>
      </c>
      <c r="L349" s="52" t="str">
        <f>IF(ISERROR(VLOOKUP(A349,RDPLP!G:G,1,0)),"N","Y")</f>
        <v>N</v>
      </c>
      <c r="M349" s="52" t="str">
        <f>IF(ISERROR(VLOOKUP(A349,'SCINET-PLP'!G:G,1,0)),"N","Y")</f>
        <v>N</v>
      </c>
      <c r="N349" s="52" t="str">
        <f>IF(ISERROR(VLOOKUP(A349,FLEXPLP!G:G,1,0)),"N","Y")</f>
        <v>N</v>
      </c>
      <c r="O349" s="52" t="str">
        <f>IF(ISERROR(VLOOKUP(A349,'ELN PLP'!G:G,1,0)),"N","Y")</f>
        <v>N</v>
      </c>
      <c r="P349" s="53">
        <f t="shared" si="19"/>
        <v>0</v>
      </c>
      <c r="R349" s="21">
        <f>IF(K349+F349&gt;0,1,0)</f>
        <v>0</v>
      </c>
      <c r="S349" s="24">
        <f>IF(ISERROR(VLOOKUP(A349,U:U,1,0)),0,1)</f>
        <v>0</v>
      </c>
      <c r="Z349" s="16"/>
    </row>
    <row r="350" spans="1:26" x14ac:dyDescent="0.35">
      <c r="A350" s="19" t="s">
        <v>2003</v>
      </c>
      <c r="B350" s="5" t="str">
        <f>IF(ISERROR(VLOOKUP(A350,RDPLP!A350:A375,1,0)),"N","Y")</f>
        <v>N</v>
      </c>
      <c r="C350" s="5" t="str">
        <f>IF(ISERROR(VLOOKUP(A350,'SCINET-PLP'!A:A,1,0)),"N","Y")</f>
        <v>N</v>
      </c>
      <c r="D350" s="5" t="str">
        <f>IF(ISERROR(VLOOKUP(A350,FLEXPLP!A:A,1,0)),"N","Y")</f>
        <v>N</v>
      </c>
      <c r="E350" s="5" t="str">
        <f>IF(ISERROR(VLOOKUP(A350,'ELN PLP'!A:A,1,0)),"N","Y")</f>
        <v>N</v>
      </c>
      <c r="F350" s="26">
        <f t="shared" si="17"/>
        <v>0</v>
      </c>
      <c r="G350" s="8" t="str">
        <f>IF(ISERROR(VLOOKUP(A350,RDPLP!D:D,1,0)),"N","Y")</f>
        <v>N</v>
      </c>
      <c r="H350" s="8" t="str">
        <f>IF(ISERROR(VLOOKUP(A350,'SCINET-PLP'!D:D,1,0)),"N","Y")</f>
        <v>N</v>
      </c>
      <c r="I350" s="8" t="str">
        <f>IF(ISERROR(VLOOKUP(A350,FLEXPLP!D:D,1,0)),"N","Y")</f>
        <v>N</v>
      </c>
      <c r="J350" s="8" t="str">
        <f>IF(ISERROR(VLOOKUP(A350,'ELN PLP'!D:D,1,0)),"N","Y")</f>
        <v>N</v>
      </c>
      <c r="K350" s="29">
        <f t="shared" si="18"/>
        <v>0</v>
      </c>
      <c r="L350" s="52" t="str">
        <f>IF(ISERROR(VLOOKUP(A350,RDPLP!G:G,1,0)),"N","Y")</f>
        <v>N</v>
      </c>
      <c r="M350" s="52" t="str">
        <f>IF(ISERROR(VLOOKUP(A350,'SCINET-PLP'!G:G,1,0)),"N","Y")</f>
        <v>N</v>
      </c>
      <c r="N350" s="52" t="str">
        <f>IF(ISERROR(VLOOKUP(A350,FLEXPLP!G:G,1,0)),"N","Y")</f>
        <v>N</v>
      </c>
      <c r="O350" s="52" t="str">
        <f>IF(ISERROR(VLOOKUP(A350,'ELN PLP'!G:G,1,0)),"N","Y")</f>
        <v>N</v>
      </c>
      <c r="P350" s="53">
        <f t="shared" si="19"/>
        <v>0</v>
      </c>
      <c r="R350" s="21">
        <f>IF(K350+F350&gt;0,1,0)</f>
        <v>0</v>
      </c>
      <c r="S350" s="24">
        <f>IF(ISERROR(VLOOKUP(A350,U:U,1,0)),0,1)</f>
        <v>0</v>
      </c>
      <c r="Z350" s="16"/>
    </row>
    <row r="351" spans="1:26" x14ac:dyDescent="0.35">
      <c r="A351" s="19" t="s">
        <v>2004</v>
      </c>
      <c r="B351" s="5" t="str">
        <f>IF(ISERROR(VLOOKUP(A351,RDPLP!A351:A376,1,0)),"N","Y")</f>
        <v>N</v>
      </c>
      <c r="C351" s="5" t="str">
        <f>IF(ISERROR(VLOOKUP(A351,'SCINET-PLP'!A:A,1,0)),"N","Y")</f>
        <v>N</v>
      </c>
      <c r="D351" s="5" t="str">
        <f>IF(ISERROR(VLOOKUP(A351,FLEXPLP!A:A,1,0)),"N","Y")</f>
        <v>N</v>
      </c>
      <c r="E351" s="5" t="str">
        <f>IF(ISERROR(VLOOKUP(A351,'ELN PLP'!A:A,1,0)),"N","Y")</f>
        <v>N</v>
      </c>
      <c r="F351" s="26">
        <f t="shared" si="17"/>
        <v>0</v>
      </c>
      <c r="G351" s="8" t="str">
        <f>IF(ISERROR(VLOOKUP(A351,RDPLP!D:D,1,0)),"N","Y")</f>
        <v>N</v>
      </c>
      <c r="H351" s="8" t="str">
        <f>IF(ISERROR(VLOOKUP(A351,'SCINET-PLP'!D:D,1,0)),"N","Y")</f>
        <v>N</v>
      </c>
      <c r="I351" s="8" t="str">
        <f>IF(ISERROR(VLOOKUP(A351,FLEXPLP!D:D,1,0)),"N","Y")</f>
        <v>N</v>
      </c>
      <c r="J351" s="8" t="str">
        <f>IF(ISERROR(VLOOKUP(A351,'ELN PLP'!D:D,1,0)),"N","Y")</f>
        <v>N</v>
      </c>
      <c r="K351" s="29">
        <f t="shared" si="18"/>
        <v>0</v>
      </c>
      <c r="L351" s="52" t="str">
        <f>IF(ISERROR(VLOOKUP(A351,RDPLP!G:G,1,0)),"N","Y")</f>
        <v>N</v>
      </c>
      <c r="M351" s="52" t="str">
        <f>IF(ISERROR(VLOOKUP(A351,'SCINET-PLP'!G:G,1,0)),"N","Y")</f>
        <v>N</v>
      </c>
      <c r="N351" s="52" t="str">
        <f>IF(ISERROR(VLOOKUP(A351,FLEXPLP!G:G,1,0)),"N","Y")</f>
        <v>N</v>
      </c>
      <c r="O351" s="52" t="str">
        <f>IF(ISERROR(VLOOKUP(A351,'ELN PLP'!G:G,1,0)),"N","Y")</f>
        <v>N</v>
      </c>
      <c r="P351" s="53">
        <f t="shared" si="19"/>
        <v>0</v>
      </c>
      <c r="R351" s="21">
        <f>IF(K351+F351&gt;0,1,0)</f>
        <v>0</v>
      </c>
      <c r="S351" s="24">
        <f>IF(ISERROR(VLOOKUP(A351,U:U,1,0)),0,1)</f>
        <v>0</v>
      </c>
      <c r="Z351" s="16"/>
    </row>
    <row r="352" spans="1:26" x14ac:dyDescent="0.35">
      <c r="A352" s="19" t="s">
        <v>2005</v>
      </c>
      <c r="B352" s="5" t="str">
        <f>IF(ISERROR(VLOOKUP(A352,RDPLP!A352:A377,1,0)),"N","Y")</f>
        <v>N</v>
      </c>
      <c r="C352" s="5" t="str">
        <f>IF(ISERROR(VLOOKUP(A352,'SCINET-PLP'!A:A,1,0)),"N","Y")</f>
        <v>N</v>
      </c>
      <c r="D352" s="5" t="str">
        <f>IF(ISERROR(VLOOKUP(A352,FLEXPLP!A:A,1,0)),"N","Y")</f>
        <v>N</v>
      </c>
      <c r="E352" s="5" t="str">
        <f>IF(ISERROR(VLOOKUP(A352,'ELN PLP'!A:A,1,0)),"N","Y")</f>
        <v>N</v>
      </c>
      <c r="F352" s="26">
        <f t="shared" si="17"/>
        <v>0</v>
      </c>
      <c r="G352" s="8" t="str">
        <f>IF(ISERROR(VLOOKUP(A352,RDPLP!D:D,1,0)),"N","Y")</f>
        <v>N</v>
      </c>
      <c r="H352" s="8" t="str">
        <f>IF(ISERROR(VLOOKUP(A352,'SCINET-PLP'!D:D,1,0)),"N","Y")</f>
        <v>N</v>
      </c>
      <c r="I352" s="8" t="str">
        <f>IF(ISERROR(VLOOKUP(A352,FLEXPLP!D:D,1,0)),"N","Y")</f>
        <v>N</v>
      </c>
      <c r="J352" s="8" t="str">
        <f>IF(ISERROR(VLOOKUP(A352,'ELN PLP'!D:D,1,0)),"N","Y")</f>
        <v>N</v>
      </c>
      <c r="K352" s="29">
        <f t="shared" si="18"/>
        <v>0</v>
      </c>
      <c r="L352" s="52" t="str">
        <f>IF(ISERROR(VLOOKUP(A352,RDPLP!G:G,1,0)),"N","Y")</f>
        <v>N</v>
      </c>
      <c r="M352" s="52" t="str">
        <f>IF(ISERROR(VLOOKUP(A352,'SCINET-PLP'!G:G,1,0)),"N","Y")</f>
        <v>N</v>
      </c>
      <c r="N352" s="52" t="str">
        <f>IF(ISERROR(VLOOKUP(A352,FLEXPLP!G:G,1,0)),"N","Y")</f>
        <v>N</v>
      </c>
      <c r="O352" s="52" t="str">
        <f>IF(ISERROR(VLOOKUP(A352,'ELN PLP'!G:G,1,0)),"N","Y")</f>
        <v>N</v>
      </c>
      <c r="P352" s="53">
        <f t="shared" si="19"/>
        <v>0</v>
      </c>
      <c r="R352" s="21">
        <f>IF(K352+F352&gt;0,1,0)</f>
        <v>0</v>
      </c>
      <c r="S352" s="24">
        <f>IF(ISERROR(VLOOKUP(A352,U:U,1,0)),0,1)</f>
        <v>0</v>
      </c>
      <c r="Z352" s="16"/>
    </row>
    <row r="353" spans="1:26" x14ac:dyDescent="0.35">
      <c r="A353" s="19" t="s">
        <v>2006</v>
      </c>
      <c r="B353" s="5" t="str">
        <f>IF(ISERROR(VLOOKUP(A353,RDPLP!A353:A378,1,0)),"N","Y")</f>
        <v>N</v>
      </c>
      <c r="C353" s="5" t="str">
        <f>IF(ISERROR(VLOOKUP(A353,'SCINET-PLP'!A:A,1,0)),"N","Y")</f>
        <v>N</v>
      </c>
      <c r="D353" s="5" t="str">
        <f>IF(ISERROR(VLOOKUP(A353,FLEXPLP!A:A,1,0)),"N","Y")</f>
        <v>N</v>
      </c>
      <c r="E353" s="5" t="str">
        <f>IF(ISERROR(VLOOKUP(A353,'ELN PLP'!A:A,1,0)),"N","Y")</f>
        <v>N</v>
      </c>
      <c r="F353" s="26">
        <f t="shared" si="17"/>
        <v>0</v>
      </c>
      <c r="G353" s="8" t="str">
        <f>IF(ISERROR(VLOOKUP(A353,RDPLP!D:D,1,0)),"N","Y")</f>
        <v>N</v>
      </c>
      <c r="H353" s="8" t="str">
        <f>IF(ISERROR(VLOOKUP(A353,'SCINET-PLP'!D:D,1,0)),"N","Y")</f>
        <v>N</v>
      </c>
      <c r="I353" s="8" t="str">
        <f>IF(ISERROR(VLOOKUP(A353,FLEXPLP!D:D,1,0)),"N","Y")</f>
        <v>N</v>
      </c>
      <c r="J353" s="8" t="str">
        <f>IF(ISERROR(VLOOKUP(A353,'ELN PLP'!D:D,1,0)),"N","Y")</f>
        <v>N</v>
      </c>
      <c r="K353" s="29">
        <f t="shared" si="18"/>
        <v>0</v>
      </c>
      <c r="L353" s="52" t="str">
        <f>IF(ISERROR(VLOOKUP(A353,RDPLP!G:G,1,0)),"N","Y")</f>
        <v>N</v>
      </c>
      <c r="M353" s="52" t="str">
        <f>IF(ISERROR(VLOOKUP(A353,'SCINET-PLP'!G:G,1,0)),"N","Y")</f>
        <v>N</v>
      </c>
      <c r="N353" s="52" t="str">
        <f>IF(ISERROR(VLOOKUP(A353,FLEXPLP!G:G,1,0)),"N","Y")</f>
        <v>N</v>
      </c>
      <c r="O353" s="52" t="str">
        <f>IF(ISERROR(VLOOKUP(A353,'ELN PLP'!G:G,1,0)),"N","Y")</f>
        <v>N</v>
      </c>
      <c r="P353" s="53">
        <f t="shared" si="19"/>
        <v>0</v>
      </c>
      <c r="R353" s="21">
        <f>IF(K353+F353&gt;0,1,0)</f>
        <v>0</v>
      </c>
      <c r="S353" s="24">
        <f>IF(ISERROR(VLOOKUP(A353,U:U,1,0)),0,1)</f>
        <v>0</v>
      </c>
      <c r="Z353" s="16"/>
    </row>
    <row r="354" spans="1:26" x14ac:dyDescent="0.35">
      <c r="A354" s="19" t="s">
        <v>2007</v>
      </c>
      <c r="B354" s="5" t="str">
        <f>IF(ISERROR(VLOOKUP(A354,RDPLP!A354:A379,1,0)),"N","Y")</f>
        <v>N</v>
      </c>
      <c r="C354" s="5" t="str">
        <f>IF(ISERROR(VLOOKUP(A354,'SCINET-PLP'!A:A,1,0)),"N","Y")</f>
        <v>N</v>
      </c>
      <c r="D354" s="5" t="str">
        <f>IF(ISERROR(VLOOKUP(A354,FLEXPLP!A:A,1,0)),"N","Y")</f>
        <v>N</v>
      </c>
      <c r="E354" s="5" t="str">
        <f>IF(ISERROR(VLOOKUP(A354,'ELN PLP'!A:A,1,0)),"N","Y")</f>
        <v>N</v>
      </c>
      <c r="F354" s="26">
        <f t="shared" si="17"/>
        <v>0</v>
      </c>
      <c r="G354" s="8" t="str">
        <f>IF(ISERROR(VLOOKUP(A354,RDPLP!D:D,1,0)),"N","Y")</f>
        <v>N</v>
      </c>
      <c r="H354" s="8" t="str">
        <f>IF(ISERROR(VLOOKUP(A354,'SCINET-PLP'!D:D,1,0)),"N","Y")</f>
        <v>N</v>
      </c>
      <c r="I354" s="8" t="str">
        <f>IF(ISERROR(VLOOKUP(A354,FLEXPLP!D:D,1,0)),"N","Y")</f>
        <v>N</v>
      </c>
      <c r="J354" s="8" t="str">
        <f>IF(ISERROR(VLOOKUP(A354,'ELN PLP'!D:D,1,0)),"N","Y")</f>
        <v>N</v>
      </c>
      <c r="K354" s="29">
        <f t="shared" si="18"/>
        <v>0</v>
      </c>
      <c r="L354" s="52" t="str">
        <f>IF(ISERROR(VLOOKUP(A354,RDPLP!G:G,1,0)),"N","Y")</f>
        <v>N</v>
      </c>
      <c r="M354" s="52" t="str">
        <f>IF(ISERROR(VLOOKUP(A354,'SCINET-PLP'!G:G,1,0)),"N","Y")</f>
        <v>N</v>
      </c>
      <c r="N354" s="52" t="str">
        <f>IF(ISERROR(VLOOKUP(A354,FLEXPLP!G:G,1,0)),"N","Y")</f>
        <v>N</v>
      </c>
      <c r="O354" s="52" t="str">
        <f>IF(ISERROR(VLOOKUP(A354,'ELN PLP'!G:G,1,0)),"N","Y")</f>
        <v>N</v>
      </c>
      <c r="P354" s="53">
        <f t="shared" si="19"/>
        <v>0</v>
      </c>
      <c r="R354" s="21">
        <f>IF(K354+F354&gt;0,1,0)</f>
        <v>0</v>
      </c>
      <c r="S354" s="24">
        <f>IF(ISERROR(VLOOKUP(A354,U:U,1,0)),0,1)</f>
        <v>0</v>
      </c>
      <c r="Z354" s="16"/>
    </row>
    <row r="355" spans="1:26" x14ac:dyDescent="0.35">
      <c r="A355" s="19" t="s">
        <v>2008</v>
      </c>
      <c r="B355" s="5" t="str">
        <f>IF(ISERROR(VLOOKUP(A355,RDPLP!A355:A380,1,0)),"N","Y")</f>
        <v>N</v>
      </c>
      <c r="C355" s="5" t="str">
        <f>IF(ISERROR(VLOOKUP(A355,'SCINET-PLP'!A:A,1,0)),"N","Y")</f>
        <v>N</v>
      </c>
      <c r="D355" s="5" t="str">
        <f>IF(ISERROR(VLOOKUP(A355,FLEXPLP!A:A,1,0)),"N","Y")</f>
        <v>N</v>
      </c>
      <c r="E355" s="5" t="str">
        <f>IF(ISERROR(VLOOKUP(A355,'ELN PLP'!A:A,1,0)),"N","Y")</f>
        <v>N</v>
      </c>
      <c r="F355" s="26">
        <f t="shared" si="17"/>
        <v>0</v>
      </c>
      <c r="G355" s="8" t="str">
        <f>IF(ISERROR(VLOOKUP(A355,RDPLP!D:D,1,0)),"N","Y")</f>
        <v>N</v>
      </c>
      <c r="H355" s="8" t="str">
        <f>IF(ISERROR(VLOOKUP(A355,'SCINET-PLP'!D:D,1,0)),"N","Y")</f>
        <v>N</v>
      </c>
      <c r="I355" s="8" t="str">
        <f>IF(ISERROR(VLOOKUP(A355,FLEXPLP!D:D,1,0)),"N","Y")</f>
        <v>N</v>
      </c>
      <c r="J355" s="8" t="str">
        <f>IF(ISERROR(VLOOKUP(A355,'ELN PLP'!D:D,1,0)),"N","Y")</f>
        <v>N</v>
      </c>
      <c r="K355" s="29">
        <f t="shared" si="18"/>
        <v>0</v>
      </c>
      <c r="L355" s="52" t="str">
        <f>IF(ISERROR(VLOOKUP(A355,RDPLP!G:G,1,0)),"N","Y")</f>
        <v>N</v>
      </c>
      <c r="M355" s="52" t="str">
        <f>IF(ISERROR(VLOOKUP(A355,'SCINET-PLP'!G:G,1,0)),"N","Y")</f>
        <v>N</v>
      </c>
      <c r="N355" s="52" t="str">
        <f>IF(ISERROR(VLOOKUP(A355,FLEXPLP!G:G,1,0)),"N","Y")</f>
        <v>N</v>
      </c>
      <c r="O355" s="52" t="str">
        <f>IF(ISERROR(VLOOKUP(A355,'ELN PLP'!G:G,1,0)),"N","Y")</f>
        <v>N</v>
      </c>
      <c r="P355" s="53">
        <f t="shared" si="19"/>
        <v>0</v>
      </c>
      <c r="R355" s="21">
        <f>IF(K355+F355&gt;0,1,0)</f>
        <v>0</v>
      </c>
      <c r="S355" s="24">
        <f>IF(ISERROR(VLOOKUP(A355,U:U,1,0)),0,1)</f>
        <v>0</v>
      </c>
      <c r="Z355" s="16"/>
    </row>
    <row r="356" spans="1:26" x14ac:dyDescent="0.35">
      <c r="A356" s="19" t="s">
        <v>2009</v>
      </c>
      <c r="B356" s="5" t="str">
        <f>IF(ISERROR(VLOOKUP(A356,RDPLP!A356:A381,1,0)),"N","Y")</f>
        <v>N</v>
      </c>
      <c r="C356" s="5" t="str">
        <f>IF(ISERROR(VLOOKUP(A356,'SCINET-PLP'!A:A,1,0)),"N","Y")</f>
        <v>N</v>
      </c>
      <c r="D356" s="5" t="str">
        <f>IF(ISERROR(VLOOKUP(A356,FLEXPLP!A:A,1,0)),"N","Y")</f>
        <v>N</v>
      </c>
      <c r="E356" s="5" t="str">
        <f>IF(ISERROR(VLOOKUP(A356,'ELN PLP'!A:A,1,0)),"N","Y")</f>
        <v>N</v>
      </c>
      <c r="F356" s="26">
        <f t="shared" si="17"/>
        <v>0</v>
      </c>
      <c r="G356" s="8" t="str">
        <f>IF(ISERROR(VLOOKUP(A356,RDPLP!D:D,1,0)),"N","Y")</f>
        <v>N</v>
      </c>
      <c r="H356" s="8" t="str">
        <f>IF(ISERROR(VLOOKUP(A356,'SCINET-PLP'!D:D,1,0)),"N","Y")</f>
        <v>N</v>
      </c>
      <c r="I356" s="8" t="str">
        <f>IF(ISERROR(VLOOKUP(A356,FLEXPLP!D:D,1,0)),"N","Y")</f>
        <v>N</v>
      </c>
      <c r="J356" s="8" t="str">
        <f>IF(ISERROR(VLOOKUP(A356,'ELN PLP'!D:D,1,0)),"N","Y")</f>
        <v>N</v>
      </c>
      <c r="K356" s="29">
        <f t="shared" si="18"/>
        <v>0</v>
      </c>
      <c r="L356" s="52" t="str">
        <f>IF(ISERROR(VLOOKUP(A356,RDPLP!G:G,1,0)),"N","Y")</f>
        <v>N</v>
      </c>
      <c r="M356" s="52" t="str">
        <f>IF(ISERROR(VLOOKUP(A356,'SCINET-PLP'!G:G,1,0)),"N","Y")</f>
        <v>N</v>
      </c>
      <c r="N356" s="52" t="str">
        <f>IF(ISERROR(VLOOKUP(A356,FLEXPLP!G:G,1,0)),"N","Y")</f>
        <v>N</v>
      </c>
      <c r="O356" s="52" t="str">
        <f>IF(ISERROR(VLOOKUP(A356,'ELN PLP'!G:G,1,0)),"N","Y")</f>
        <v>N</v>
      </c>
      <c r="P356" s="53">
        <f t="shared" si="19"/>
        <v>0</v>
      </c>
      <c r="R356" s="21">
        <f>IF(K356+F356&gt;0,1,0)</f>
        <v>0</v>
      </c>
      <c r="S356" s="24">
        <f>IF(ISERROR(VLOOKUP(A356,U:U,1,0)),0,1)</f>
        <v>0</v>
      </c>
      <c r="Z356" s="16"/>
    </row>
    <row r="357" spans="1:26" x14ac:dyDescent="0.35">
      <c r="A357" s="19" t="s">
        <v>2010</v>
      </c>
      <c r="B357" s="5" t="str">
        <f>IF(ISERROR(VLOOKUP(A357,RDPLP!A357:A382,1,0)),"N","Y")</f>
        <v>N</v>
      </c>
      <c r="C357" s="5" t="str">
        <f>IF(ISERROR(VLOOKUP(A357,'SCINET-PLP'!A:A,1,0)),"N","Y")</f>
        <v>N</v>
      </c>
      <c r="D357" s="5" t="str">
        <f>IF(ISERROR(VLOOKUP(A357,FLEXPLP!A:A,1,0)),"N","Y")</f>
        <v>N</v>
      </c>
      <c r="E357" s="5" t="str">
        <f>IF(ISERROR(VLOOKUP(A357,'ELN PLP'!A:A,1,0)),"N","Y")</f>
        <v>N</v>
      </c>
      <c r="F357" s="26">
        <f t="shared" si="17"/>
        <v>0</v>
      </c>
      <c r="G357" s="8" t="str">
        <f>IF(ISERROR(VLOOKUP(A357,RDPLP!D:D,1,0)),"N","Y")</f>
        <v>N</v>
      </c>
      <c r="H357" s="8" t="str">
        <f>IF(ISERROR(VLOOKUP(A357,'SCINET-PLP'!D:D,1,0)),"N","Y")</f>
        <v>N</v>
      </c>
      <c r="I357" s="8" t="str">
        <f>IF(ISERROR(VLOOKUP(A357,FLEXPLP!D:D,1,0)),"N","Y")</f>
        <v>N</v>
      </c>
      <c r="J357" s="8" t="str">
        <f>IF(ISERROR(VLOOKUP(A357,'ELN PLP'!D:D,1,0)),"N","Y")</f>
        <v>N</v>
      </c>
      <c r="K357" s="29">
        <f t="shared" si="18"/>
        <v>0</v>
      </c>
      <c r="L357" s="52" t="str">
        <f>IF(ISERROR(VLOOKUP(A357,RDPLP!G:G,1,0)),"N","Y")</f>
        <v>N</v>
      </c>
      <c r="M357" s="52" t="str">
        <f>IF(ISERROR(VLOOKUP(A357,'SCINET-PLP'!G:G,1,0)),"N","Y")</f>
        <v>N</v>
      </c>
      <c r="N357" s="52" t="str">
        <f>IF(ISERROR(VLOOKUP(A357,FLEXPLP!G:G,1,0)),"N","Y")</f>
        <v>N</v>
      </c>
      <c r="O357" s="52" t="str">
        <f>IF(ISERROR(VLOOKUP(A357,'ELN PLP'!G:G,1,0)),"N","Y")</f>
        <v>N</v>
      </c>
      <c r="P357" s="53">
        <f t="shared" si="19"/>
        <v>0</v>
      </c>
      <c r="R357" s="21">
        <f>IF(K357+F357&gt;0,1,0)</f>
        <v>0</v>
      </c>
      <c r="S357" s="24">
        <f>IF(ISERROR(VLOOKUP(A357,U:U,1,0)),0,1)</f>
        <v>0</v>
      </c>
      <c r="Z357" s="16"/>
    </row>
    <row r="358" spans="1:26" x14ac:dyDescent="0.35">
      <c r="A358" s="19" t="s">
        <v>2011</v>
      </c>
      <c r="B358" s="5" t="str">
        <f>IF(ISERROR(VLOOKUP(A358,RDPLP!A358:A383,1,0)),"N","Y")</f>
        <v>N</v>
      </c>
      <c r="C358" s="5" t="str">
        <f>IF(ISERROR(VLOOKUP(A358,'SCINET-PLP'!A:A,1,0)),"N","Y")</f>
        <v>N</v>
      </c>
      <c r="D358" s="5" t="str">
        <f>IF(ISERROR(VLOOKUP(A358,FLEXPLP!A:A,1,0)),"N","Y")</f>
        <v>N</v>
      </c>
      <c r="E358" s="5" t="str">
        <f>IF(ISERROR(VLOOKUP(A358,'ELN PLP'!A:A,1,0)),"N","Y")</f>
        <v>N</v>
      </c>
      <c r="F358" s="26">
        <f t="shared" si="17"/>
        <v>0</v>
      </c>
      <c r="G358" s="8" t="str">
        <f>IF(ISERROR(VLOOKUP(A358,RDPLP!D:D,1,0)),"N","Y")</f>
        <v>N</v>
      </c>
      <c r="H358" s="8" t="str">
        <f>IF(ISERROR(VLOOKUP(A358,'SCINET-PLP'!D:D,1,0)),"N","Y")</f>
        <v>N</v>
      </c>
      <c r="I358" s="8" t="str">
        <f>IF(ISERROR(VLOOKUP(A358,FLEXPLP!D:D,1,0)),"N","Y")</f>
        <v>N</v>
      </c>
      <c r="J358" s="8" t="str">
        <f>IF(ISERROR(VLOOKUP(A358,'ELN PLP'!D:D,1,0)),"N","Y")</f>
        <v>N</v>
      </c>
      <c r="K358" s="29">
        <f t="shared" si="18"/>
        <v>0</v>
      </c>
      <c r="L358" s="52" t="str">
        <f>IF(ISERROR(VLOOKUP(A358,RDPLP!G:G,1,0)),"N","Y")</f>
        <v>N</v>
      </c>
      <c r="M358" s="52" t="str">
        <f>IF(ISERROR(VLOOKUP(A358,'SCINET-PLP'!G:G,1,0)),"N","Y")</f>
        <v>N</v>
      </c>
      <c r="N358" s="52" t="str">
        <f>IF(ISERROR(VLOOKUP(A358,FLEXPLP!G:G,1,0)),"N","Y")</f>
        <v>N</v>
      </c>
      <c r="O358" s="52" t="str">
        <f>IF(ISERROR(VLOOKUP(A358,'ELN PLP'!G:G,1,0)),"N","Y")</f>
        <v>Y</v>
      </c>
      <c r="P358" s="53">
        <f t="shared" si="19"/>
        <v>1</v>
      </c>
      <c r="R358" s="21">
        <f>IF(K358+F358&gt;0,1,0)</f>
        <v>0</v>
      </c>
      <c r="S358" s="24">
        <f>IF(ISERROR(VLOOKUP(A358,U:U,1,0)),0,1)</f>
        <v>0</v>
      </c>
      <c r="Z358" s="16"/>
    </row>
    <row r="359" spans="1:26" x14ac:dyDescent="0.35">
      <c r="A359" s="19" t="s">
        <v>2012</v>
      </c>
      <c r="B359" s="5" t="str">
        <f>IF(ISERROR(VLOOKUP(A359,RDPLP!A359:A384,1,0)),"N","Y")</f>
        <v>N</v>
      </c>
      <c r="C359" s="5" t="str">
        <f>IF(ISERROR(VLOOKUP(A359,'SCINET-PLP'!A:A,1,0)),"N","Y")</f>
        <v>N</v>
      </c>
      <c r="D359" s="5" t="str">
        <f>IF(ISERROR(VLOOKUP(A359,FLEXPLP!A:A,1,0)),"N","Y")</f>
        <v>N</v>
      </c>
      <c r="E359" s="5" t="str">
        <f>IF(ISERROR(VLOOKUP(A359,'ELN PLP'!A:A,1,0)),"N","Y")</f>
        <v>N</v>
      </c>
      <c r="F359" s="26">
        <f t="shared" si="17"/>
        <v>0</v>
      </c>
      <c r="G359" s="8" t="str">
        <f>IF(ISERROR(VLOOKUP(A359,RDPLP!D:D,1,0)),"N","Y")</f>
        <v>N</v>
      </c>
      <c r="H359" s="8" t="str">
        <f>IF(ISERROR(VLOOKUP(A359,'SCINET-PLP'!D:D,1,0)),"N","Y")</f>
        <v>N</v>
      </c>
      <c r="I359" s="8" t="str">
        <f>IF(ISERROR(VLOOKUP(A359,FLEXPLP!D:D,1,0)),"N","Y")</f>
        <v>N</v>
      </c>
      <c r="J359" s="8" t="str">
        <f>IF(ISERROR(VLOOKUP(A359,'ELN PLP'!D:D,1,0)),"N","Y")</f>
        <v>N</v>
      </c>
      <c r="K359" s="29">
        <f t="shared" si="18"/>
        <v>0</v>
      </c>
      <c r="L359" s="52" t="str">
        <f>IF(ISERROR(VLOOKUP(A359,RDPLP!G:G,1,0)),"N","Y")</f>
        <v>N</v>
      </c>
      <c r="M359" s="52" t="str">
        <f>IF(ISERROR(VLOOKUP(A359,'SCINET-PLP'!G:G,1,0)),"N","Y")</f>
        <v>N</v>
      </c>
      <c r="N359" s="52" t="str">
        <f>IF(ISERROR(VLOOKUP(A359,FLEXPLP!G:G,1,0)),"N","Y")</f>
        <v>N</v>
      </c>
      <c r="O359" s="52" t="str">
        <f>IF(ISERROR(VLOOKUP(A359,'ELN PLP'!G:G,1,0)),"N","Y")</f>
        <v>N</v>
      </c>
      <c r="P359" s="53">
        <f t="shared" si="19"/>
        <v>0</v>
      </c>
      <c r="R359" s="21">
        <f>IF(K359+F359&gt;0,1,0)</f>
        <v>0</v>
      </c>
      <c r="S359" s="24">
        <f>IF(ISERROR(VLOOKUP(A359,U:U,1,0)),0,1)</f>
        <v>0</v>
      </c>
      <c r="Z359" s="16"/>
    </row>
    <row r="360" spans="1:26" x14ac:dyDescent="0.35">
      <c r="A360" s="19" t="s">
        <v>2013</v>
      </c>
      <c r="B360" s="5" t="str">
        <f>IF(ISERROR(VLOOKUP(A360,RDPLP!A360:A385,1,0)),"N","Y")</f>
        <v>N</v>
      </c>
      <c r="C360" s="5" t="str">
        <f>IF(ISERROR(VLOOKUP(A360,'SCINET-PLP'!A:A,1,0)),"N","Y")</f>
        <v>N</v>
      </c>
      <c r="D360" s="5" t="str">
        <f>IF(ISERROR(VLOOKUP(A360,FLEXPLP!A:A,1,0)),"N","Y")</f>
        <v>N</v>
      </c>
      <c r="E360" s="5" t="str">
        <f>IF(ISERROR(VLOOKUP(A360,'ELN PLP'!A:A,1,0)),"N","Y")</f>
        <v>N</v>
      </c>
      <c r="F360" s="26">
        <f t="shared" si="17"/>
        <v>0</v>
      </c>
      <c r="G360" s="8" t="str">
        <f>IF(ISERROR(VLOOKUP(A360,RDPLP!D:D,1,0)),"N","Y")</f>
        <v>N</v>
      </c>
      <c r="H360" s="8" t="str">
        <f>IF(ISERROR(VLOOKUP(A360,'SCINET-PLP'!D:D,1,0)),"N","Y")</f>
        <v>N</v>
      </c>
      <c r="I360" s="8" t="str">
        <f>IF(ISERROR(VLOOKUP(A360,FLEXPLP!D:D,1,0)),"N","Y")</f>
        <v>N</v>
      </c>
      <c r="J360" s="8" t="str">
        <f>IF(ISERROR(VLOOKUP(A360,'ELN PLP'!D:D,1,0)),"N","Y")</f>
        <v>N</v>
      </c>
      <c r="K360" s="29">
        <f t="shared" si="18"/>
        <v>0</v>
      </c>
      <c r="L360" s="52" t="str">
        <f>IF(ISERROR(VLOOKUP(A360,RDPLP!G:G,1,0)),"N","Y")</f>
        <v>N</v>
      </c>
      <c r="M360" s="52" t="str">
        <f>IF(ISERROR(VLOOKUP(A360,'SCINET-PLP'!G:G,1,0)),"N","Y")</f>
        <v>N</v>
      </c>
      <c r="N360" s="52" t="str">
        <f>IF(ISERROR(VLOOKUP(A360,FLEXPLP!G:G,1,0)),"N","Y")</f>
        <v>N</v>
      </c>
      <c r="O360" s="52" t="str">
        <f>IF(ISERROR(VLOOKUP(A360,'ELN PLP'!G:G,1,0)),"N","Y")</f>
        <v>N</v>
      </c>
      <c r="P360" s="53">
        <f t="shared" si="19"/>
        <v>0</v>
      </c>
      <c r="R360" s="21">
        <f>IF(K360+F360&gt;0,1,0)</f>
        <v>0</v>
      </c>
      <c r="S360" s="24">
        <f>IF(ISERROR(VLOOKUP(A360,U:U,1,0)),0,1)</f>
        <v>0</v>
      </c>
      <c r="Z360" s="16"/>
    </row>
    <row r="361" spans="1:26" x14ac:dyDescent="0.35">
      <c r="A361" s="19" t="s">
        <v>2014</v>
      </c>
      <c r="B361" s="5" t="str">
        <f>IF(ISERROR(VLOOKUP(A361,RDPLP!A361:A386,1,0)),"N","Y")</f>
        <v>N</v>
      </c>
      <c r="C361" s="5" t="str">
        <f>IF(ISERROR(VLOOKUP(A361,'SCINET-PLP'!A:A,1,0)),"N","Y")</f>
        <v>N</v>
      </c>
      <c r="D361" s="5" t="str">
        <f>IF(ISERROR(VLOOKUP(A361,FLEXPLP!A:A,1,0)),"N","Y")</f>
        <v>N</v>
      </c>
      <c r="E361" s="5" t="str">
        <f>IF(ISERROR(VLOOKUP(A361,'ELN PLP'!A:A,1,0)),"N","Y")</f>
        <v>N</v>
      </c>
      <c r="F361" s="26">
        <f t="shared" si="17"/>
        <v>0</v>
      </c>
      <c r="G361" s="8" t="str">
        <f>IF(ISERROR(VLOOKUP(A361,RDPLP!D:D,1,0)),"N","Y")</f>
        <v>N</v>
      </c>
      <c r="H361" s="8" t="str">
        <f>IF(ISERROR(VLOOKUP(A361,'SCINET-PLP'!D:D,1,0)),"N","Y")</f>
        <v>N</v>
      </c>
      <c r="I361" s="8" t="str">
        <f>IF(ISERROR(VLOOKUP(A361,FLEXPLP!D:D,1,0)),"N","Y")</f>
        <v>N</v>
      </c>
      <c r="J361" s="8" t="str">
        <f>IF(ISERROR(VLOOKUP(A361,'ELN PLP'!D:D,1,0)),"N","Y")</f>
        <v>N</v>
      </c>
      <c r="K361" s="29">
        <f t="shared" si="18"/>
        <v>0</v>
      </c>
      <c r="L361" s="52" t="str">
        <f>IF(ISERROR(VLOOKUP(A361,RDPLP!G:G,1,0)),"N","Y")</f>
        <v>N</v>
      </c>
      <c r="M361" s="52" t="str">
        <f>IF(ISERROR(VLOOKUP(A361,'SCINET-PLP'!G:G,1,0)),"N","Y")</f>
        <v>N</v>
      </c>
      <c r="N361" s="52" t="str">
        <f>IF(ISERROR(VLOOKUP(A361,FLEXPLP!G:G,1,0)),"N","Y")</f>
        <v>N</v>
      </c>
      <c r="O361" s="52" t="str">
        <f>IF(ISERROR(VLOOKUP(A361,'ELN PLP'!G:G,1,0)),"N","Y")</f>
        <v>N</v>
      </c>
      <c r="P361" s="53">
        <f t="shared" si="19"/>
        <v>0</v>
      </c>
      <c r="R361" s="21">
        <f>IF(K361+F361&gt;0,1,0)</f>
        <v>0</v>
      </c>
      <c r="S361" s="24">
        <f>IF(ISERROR(VLOOKUP(A361,U:U,1,0)),0,1)</f>
        <v>0</v>
      </c>
      <c r="Z361" s="16"/>
    </row>
    <row r="362" spans="1:26" x14ac:dyDescent="0.35">
      <c r="F362" s="27"/>
      <c r="K362" s="27"/>
      <c r="U362" s="16"/>
    </row>
    <row r="363" spans="1:26" x14ac:dyDescent="0.35">
      <c r="A363" s="6" t="s">
        <v>1826</v>
      </c>
      <c r="B363" s="5">
        <f>COUNTIF(B3:B362,"Y")</f>
        <v>26</v>
      </c>
      <c r="C363" s="5">
        <f t="shared" ref="C363:O365" si="20">COUNTIF(C3:C362,"Y")</f>
        <v>28</v>
      </c>
      <c r="D363" s="5">
        <f t="shared" si="20"/>
        <v>23</v>
      </c>
      <c r="E363" s="5">
        <f t="shared" si="20"/>
        <v>77</v>
      </c>
      <c r="F363" s="26">
        <f>SUM(F3:F361)</f>
        <v>128</v>
      </c>
      <c r="G363" s="8">
        <f t="shared" si="20"/>
        <v>30</v>
      </c>
      <c r="H363" s="8">
        <f t="shared" si="20"/>
        <v>33</v>
      </c>
      <c r="I363" s="8">
        <f t="shared" si="20"/>
        <v>22</v>
      </c>
      <c r="J363" s="8">
        <f t="shared" si="20"/>
        <v>62</v>
      </c>
      <c r="K363" s="29">
        <f>SUM(K3:K361)</f>
        <v>119</v>
      </c>
      <c r="L363" s="52">
        <f t="shared" si="20"/>
        <v>30</v>
      </c>
      <c r="M363" s="52">
        <f t="shared" si="20"/>
        <v>26</v>
      </c>
      <c r="N363" s="52">
        <f t="shared" si="20"/>
        <v>25</v>
      </c>
      <c r="O363" s="52">
        <f t="shared" si="20"/>
        <v>40</v>
      </c>
      <c r="P363" s="53">
        <f>SUM(P3:P361)</f>
        <v>92</v>
      </c>
      <c r="R363" s="22">
        <f>SUM(R3:R361)</f>
        <v>185</v>
      </c>
      <c r="S363" s="20">
        <f>SUM(S3:S361)</f>
        <v>0</v>
      </c>
      <c r="U363" s="16"/>
    </row>
    <row r="364" spans="1:26" x14ac:dyDescent="0.35">
      <c r="U364" s="16"/>
    </row>
    <row r="365" spans="1:26" x14ac:dyDescent="0.35">
      <c r="A365" t="s">
        <v>1835</v>
      </c>
      <c r="B365" s="2">
        <v>26</v>
      </c>
      <c r="C365" s="2">
        <v>28</v>
      </c>
      <c r="D365" s="2">
        <v>23</v>
      </c>
      <c r="E365" s="2">
        <v>77</v>
      </c>
      <c r="F365" s="2">
        <v>128</v>
      </c>
      <c r="G365" s="2">
        <v>30</v>
      </c>
      <c r="H365" s="2">
        <v>33</v>
      </c>
      <c r="I365" s="2">
        <v>22</v>
      </c>
      <c r="J365" s="2">
        <v>62</v>
      </c>
      <c r="K365" s="2">
        <v>119</v>
      </c>
      <c r="L365" s="54">
        <v>30</v>
      </c>
      <c r="M365" s="54">
        <v>26</v>
      </c>
      <c r="N365" s="54">
        <v>25</v>
      </c>
      <c r="O365" s="54">
        <v>40</v>
      </c>
      <c r="P365" s="54">
        <v>92</v>
      </c>
      <c r="R365" s="2">
        <v>185</v>
      </c>
      <c r="S365" s="2">
        <v>278</v>
      </c>
      <c r="U365" s="16"/>
    </row>
    <row r="366" spans="1:26" x14ac:dyDescent="0.35">
      <c r="U366" s="17"/>
    </row>
    <row r="367" spans="1:26" x14ac:dyDescent="0.35">
      <c r="U367" s="17"/>
    </row>
    <row r="368" spans="1:26" x14ac:dyDescent="0.35">
      <c r="U368" s="17"/>
    </row>
    <row r="369" spans="21:21" x14ac:dyDescent="0.35">
      <c r="U369" s="17"/>
    </row>
    <row r="370" spans="21:21" x14ac:dyDescent="0.35">
      <c r="U370" s="17"/>
    </row>
    <row r="371" spans="21:21" x14ac:dyDescent="0.35">
      <c r="U371" s="17"/>
    </row>
    <row r="372" spans="21:21" x14ac:dyDescent="0.35">
      <c r="U372" s="17"/>
    </row>
    <row r="373" spans="21:21" x14ac:dyDescent="0.35">
      <c r="U373" s="17"/>
    </row>
    <row r="374" spans="21:21" x14ac:dyDescent="0.35">
      <c r="U374" s="17"/>
    </row>
    <row r="375" spans="21:21" x14ac:dyDescent="0.35">
      <c r="U375" s="17"/>
    </row>
    <row r="376" spans="21:21" x14ac:dyDescent="0.35">
      <c r="U376" s="17"/>
    </row>
    <row r="377" spans="21:21" x14ac:dyDescent="0.35">
      <c r="U377" s="17"/>
    </row>
    <row r="378" spans="21:21" x14ac:dyDescent="0.35">
      <c r="U378" s="17"/>
    </row>
    <row r="379" spans="21:21" x14ac:dyDescent="0.35">
      <c r="U379" s="17"/>
    </row>
    <row r="380" spans="21:21" x14ac:dyDescent="0.35">
      <c r="U380" s="17"/>
    </row>
    <row r="381" spans="21:21" x14ac:dyDescent="0.35">
      <c r="U381" s="17"/>
    </row>
    <row r="382" spans="21:21" x14ac:dyDescent="0.35">
      <c r="U382" s="17"/>
    </row>
    <row r="383" spans="21:21" x14ac:dyDescent="0.35">
      <c r="U383" s="17"/>
    </row>
    <row r="384" spans="21:21" x14ac:dyDescent="0.35">
      <c r="U384" s="17"/>
    </row>
    <row r="385" spans="21:21" x14ac:dyDescent="0.35">
      <c r="U385" s="17"/>
    </row>
    <row r="386" spans="21:21" x14ac:dyDescent="0.35">
      <c r="U386" s="17"/>
    </row>
    <row r="387" spans="21:21" x14ac:dyDescent="0.35">
      <c r="U387" s="17"/>
    </row>
    <row r="388" spans="21:21" x14ac:dyDescent="0.35">
      <c r="U388" s="17"/>
    </row>
    <row r="389" spans="21:21" x14ac:dyDescent="0.35">
      <c r="U389" s="17"/>
    </row>
    <row r="390" spans="21:21" x14ac:dyDescent="0.35">
      <c r="U390" s="17"/>
    </row>
    <row r="391" spans="21:21" x14ac:dyDescent="0.35">
      <c r="U391" s="17"/>
    </row>
    <row r="392" spans="21:21" x14ac:dyDescent="0.35">
      <c r="U392" s="17"/>
    </row>
    <row r="393" spans="21:21" x14ac:dyDescent="0.35">
      <c r="U393" s="17"/>
    </row>
    <row r="394" spans="21:21" x14ac:dyDescent="0.35">
      <c r="U394" s="17"/>
    </row>
    <row r="395" spans="21:21" x14ac:dyDescent="0.35">
      <c r="U395" s="17"/>
    </row>
    <row r="396" spans="21:21" x14ac:dyDescent="0.35">
      <c r="U396" s="17"/>
    </row>
    <row r="397" spans="21:21" x14ac:dyDescent="0.35">
      <c r="U397" s="17"/>
    </row>
    <row r="398" spans="21:21" x14ac:dyDescent="0.35">
      <c r="U398" s="17"/>
    </row>
    <row r="399" spans="21:21" x14ac:dyDescent="0.35">
      <c r="U399" s="17"/>
    </row>
    <row r="400" spans="21:21" x14ac:dyDescent="0.35">
      <c r="U400" s="17"/>
    </row>
    <row r="401" spans="21:21" x14ac:dyDescent="0.35">
      <c r="U401" s="17"/>
    </row>
    <row r="402" spans="21:21" x14ac:dyDescent="0.35">
      <c r="U402" s="17"/>
    </row>
    <row r="403" spans="21:21" x14ac:dyDescent="0.35">
      <c r="U403" s="17"/>
    </row>
    <row r="404" spans="21:21" x14ac:dyDescent="0.35">
      <c r="U404" s="17"/>
    </row>
    <row r="405" spans="21:21" x14ac:dyDescent="0.35">
      <c r="U405" s="17"/>
    </row>
    <row r="406" spans="21:21" x14ac:dyDescent="0.35">
      <c r="U406" s="17"/>
    </row>
    <row r="407" spans="21:21" x14ac:dyDescent="0.35">
      <c r="U407" s="17"/>
    </row>
    <row r="408" spans="21:21" x14ac:dyDescent="0.35">
      <c r="U408" s="17"/>
    </row>
    <row r="409" spans="21:21" x14ac:dyDescent="0.35">
      <c r="U409" s="17"/>
    </row>
    <row r="410" spans="21:21" x14ac:dyDescent="0.35">
      <c r="U410" s="17"/>
    </row>
    <row r="411" spans="21:21" x14ac:dyDescent="0.35">
      <c r="U411" s="17"/>
    </row>
    <row r="412" spans="21:21" x14ac:dyDescent="0.35">
      <c r="U412" s="17"/>
    </row>
    <row r="413" spans="21:21" x14ac:dyDescent="0.35">
      <c r="U413" s="17"/>
    </row>
    <row r="414" spans="21:21" x14ac:dyDescent="0.35">
      <c r="U414" s="17"/>
    </row>
    <row r="415" spans="21:21" x14ac:dyDescent="0.35">
      <c r="U415" s="17"/>
    </row>
    <row r="416" spans="21:21" x14ac:dyDescent="0.35">
      <c r="U416" s="17"/>
    </row>
    <row r="417" spans="21:21" x14ac:dyDescent="0.35">
      <c r="U417" s="17"/>
    </row>
    <row r="418" spans="21:21" x14ac:dyDescent="0.35">
      <c r="U418" s="17"/>
    </row>
    <row r="419" spans="21:21" x14ac:dyDescent="0.35">
      <c r="U419" s="17"/>
    </row>
    <row r="420" spans="21:21" x14ac:dyDescent="0.35">
      <c r="U420" s="17"/>
    </row>
    <row r="421" spans="21:21" x14ac:dyDescent="0.35">
      <c r="U421" s="17"/>
    </row>
    <row r="422" spans="21:21" x14ac:dyDescent="0.35">
      <c r="U422" s="17"/>
    </row>
    <row r="423" spans="21:21" x14ac:dyDescent="0.35">
      <c r="U423" s="17"/>
    </row>
    <row r="424" spans="21:21" x14ac:dyDescent="0.35">
      <c r="U424" s="17"/>
    </row>
    <row r="425" spans="21:21" x14ac:dyDescent="0.35">
      <c r="U425" s="17"/>
    </row>
    <row r="426" spans="21:21" x14ac:dyDescent="0.35">
      <c r="U426" s="17"/>
    </row>
    <row r="427" spans="21:21" x14ac:dyDescent="0.35">
      <c r="U427" s="17"/>
    </row>
    <row r="428" spans="21:21" x14ac:dyDescent="0.35">
      <c r="U428" s="17"/>
    </row>
    <row r="429" spans="21:21" x14ac:dyDescent="0.35">
      <c r="U429" s="17"/>
    </row>
    <row r="430" spans="21:21" x14ac:dyDescent="0.35">
      <c r="U430" s="17"/>
    </row>
    <row r="431" spans="21:21" x14ac:dyDescent="0.35">
      <c r="U431" s="17"/>
    </row>
    <row r="432" spans="21:21" x14ac:dyDescent="0.35">
      <c r="U432" s="17"/>
    </row>
    <row r="433" spans="21:21" x14ac:dyDescent="0.35">
      <c r="U433" s="17"/>
    </row>
    <row r="434" spans="21:21" x14ac:dyDescent="0.35">
      <c r="U434" s="17"/>
    </row>
    <row r="435" spans="21:21" x14ac:dyDescent="0.35">
      <c r="U435" s="17"/>
    </row>
    <row r="436" spans="21:21" x14ac:dyDescent="0.35">
      <c r="U436" s="17"/>
    </row>
    <row r="437" spans="21:21" x14ac:dyDescent="0.35">
      <c r="U437" s="17"/>
    </row>
    <row r="438" spans="21:21" x14ac:dyDescent="0.35">
      <c r="U438" s="17"/>
    </row>
    <row r="439" spans="21:21" x14ac:dyDescent="0.35">
      <c r="U439" s="17"/>
    </row>
    <row r="440" spans="21:21" x14ac:dyDescent="0.35">
      <c r="U440" s="17"/>
    </row>
    <row r="441" spans="21:21" x14ac:dyDescent="0.35">
      <c r="U441" s="17"/>
    </row>
    <row r="442" spans="21:21" x14ac:dyDescent="0.35">
      <c r="U442" s="17"/>
    </row>
    <row r="443" spans="21:21" x14ac:dyDescent="0.35">
      <c r="U443" s="17"/>
    </row>
    <row r="444" spans="21:21" x14ac:dyDescent="0.35">
      <c r="U444" s="17"/>
    </row>
    <row r="445" spans="21:21" x14ac:dyDescent="0.35">
      <c r="U445" s="17"/>
    </row>
    <row r="446" spans="21:21" x14ac:dyDescent="0.35">
      <c r="U446" s="17"/>
    </row>
    <row r="447" spans="21:21" x14ac:dyDescent="0.35">
      <c r="U447" s="17"/>
    </row>
    <row r="448" spans="21:21" x14ac:dyDescent="0.35">
      <c r="U448" s="17"/>
    </row>
    <row r="449" spans="21:21" x14ac:dyDescent="0.35">
      <c r="U449" s="17"/>
    </row>
    <row r="450" spans="21:21" x14ac:dyDescent="0.35">
      <c r="U450" s="17"/>
    </row>
    <row r="451" spans="21:21" x14ac:dyDescent="0.35">
      <c r="U451" s="17"/>
    </row>
    <row r="452" spans="21:21" x14ac:dyDescent="0.35">
      <c r="U452" s="17"/>
    </row>
    <row r="453" spans="21:21" x14ac:dyDescent="0.35">
      <c r="U453" s="17"/>
    </row>
    <row r="454" spans="21:21" x14ac:dyDescent="0.35">
      <c r="U454" s="17"/>
    </row>
  </sheetData>
  <mergeCells count="3">
    <mergeCell ref="B1:F1"/>
    <mergeCell ref="G1:K1"/>
    <mergeCell ref="L1:P1"/>
  </mergeCells>
  <conditionalFormatting sqref="A188:A361">
    <cfRule type="duplicateValues" dxfId="14" priority="9"/>
  </conditionalFormatting>
  <conditionalFormatting sqref="A295:A307">
    <cfRule type="duplicateValues" dxfId="13" priority="6"/>
  </conditionalFormatting>
  <conditionalFormatting sqref="A308:A348 A188:A275">
    <cfRule type="duplicateValues" dxfId="12" priority="7"/>
  </conditionalFormatting>
  <conditionalFormatting sqref="A308:A349 A188:A275">
    <cfRule type="duplicateValues" dxfId="11" priority="10"/>
  </conditionalFormatting>
  <conditionalFormatting sqref="A308:A361 A188:A289">
    <cfRule type="duplicateValues" dxfId="10" priority="8"/>
  </conditionalFormatting>
  <conditionalFormatting sqref="Z2:Z279">
    <cfRule type="duplicateValues" dxfId="9" priority="4"/>
  </conditionalFormatting>
  <conditionalFormatting sqref="Z176:Z190">
    <cfRule type="duplicateValues" dxfId="8" priority="3"/>
  </conditionalFormatting>
  <conditionalFormatting sqref="Z191:Z263 Z2:Z154">
    <cfRule type="duplicateValues" dxfId="7" priority="1"/>
  </conditionalFormatting>
  <conditionalFormatting sqref="Z191:Z264 Z2:Z154">
    <cfRule type="duplicateValues" dxfId="6" priority="5"/>
  </conditionalFormatting>
  <conditionalFormatting sqref="Z191:Z279 Z2:Z168">
    <cfRule type="duplicateValues" dxfId="5" priority="2"/>
  </conditionalFormatting>
  <conditionalFormatting sqref="U366:U438">
    <cfRule type="duplicateValues" dxfId="4" priority="11"/>
  </conditionalFormatting>
  <conditionalFormatting sqref="AA67 U366:U439">
    <cfRule type="duplicateValues" dxfId="3" priority="25"/>
  </conditionalFormatting>
  <conditionalFormatting sqref="AA67:AA91 U366:U454">
    <cfRule type="duplicateValues" dxfId="2" priority="13"/>
  </conditionalFormatting>
  <conditionalFormatting sqref="AA67:AA91 U362:U454 Z280:Z361">
    <cfRule type="duplicateValues" dxfId="1" priority="34"/>
  </conditionalFormatting>
  <conditionalFormatting sqref="AB60:AB84 U362:U365 Z280:Z361">
    <cfRule type="duplicateValues" dxfId="0" priority="31"/>
  </conditionalFormatting>
  <pageMargins left="0.7" right="0.7" top="0.75" bottom="0.75" header="0.3" footer="0.3"/>
  <ignoredErrors>
    <ignoredError sqref="F36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100D-0068-49AA-ADA8-298CF4223846}">
  <dimension ref="A1:H36"/>
  <sheetViews>
    <sheetView topLeftCell="A18" workbookViewId="0">
      <selection activeCell="E32" sqref="E32"/>
    </sheetView>
  </sheetViews>
  <sheetFormatPr defaultRowHeight="14.5" x14ac:dyDescent="0.35"/>
  <cols>
    <col min="1" max="1" width="20.26953125" bestFit="1" customWidth="1"/>
    <col min="2" max="2" width="11.7265625" bestFit="1" customWidth="1"/>
    <col min="4" max="4" width="20.26953125" bestFit="1" customWidth="1"/>
    <col min="5" max="5" width="11.7265625" bestFit="1" customWidth="1"/>
    <col min="7" max="7" width="20.26953125" bestFit="1" customWidth="1"/>
    <col min="8" max="8" width="11.7265625" bestFit="1" customWidth="1"/>
  </cols>
  <sheetData>
    <row r="1" spans="1:8" x14ac:dyDescent="0.35">
      <c r="A1" s="45" t="s">
        <v>0</v>
      </c>
      <c r="B1" s="45"/>
      <c r="D1" s="45" t="s">
        <v>1</v>
      </c>
      <c r="E1" s="45"/>
      <c r="G1" s="45" t="s">
        <v>2057</v>
      </c>
      <c r="H1" s="45"/>
    </row>
    <row r="2" spans="1:8" x14ac:dyDescent="0.35">
      <c r="A2" s="1" t="s">
        <v>2</v>
      </c>
      <c r="B2" s="1" t="s">
        <v>3</v>
      </c>
      <c r="D2" s="1" t="s">
        <v>2</v>
      </c>
      <c r="E2" s="1" t="s">
        <v>3</v>
      </c>
      <c r="G2" s="46" t="s">
        <v>2</v>
      </c>
      <c r="H2" s="46" t="s">
        <v>3</v>
      </c>
    </row>
    <row r="3" spans="1:8" x14ac:dyDescent="0.35">
      <c r="A3" s="1" t="s">
        <v>4</v>
      </c>
      <c r="B3" s="1">
        <v>22</v>
      </c>
      <c r="D3" s="1" t="s">
        <v>5</v>
      </c>
      <c r="E3" s="1">
        <v>1</v>
      </c>
      <c r="G3" s="1" t="s">
        <v>26</v>
      </c>
      <c r="H3" s="1">
        <v>6</v>
      </c>
    </row>
    <row r="4" spans="1:8" x14ac:dyDescent="0.35">
      <c r="A4" s="1" t="s">
        <v>6</v>
      </c>
      <c r="B4" s="1">
        <v>3</v>
      </c>
      <c r="D4" s="1" t="s">
        <v>7</v>
      </c>
      <c r="E4" s="1">
        <v>7</v>
      </c>
      <c r="G4" s="1" t="s">
        <v>23</v>
      </c>
      <c r="H4" s="1">
        <v>5</v>
      </c>
    </row>
    <row r="5" spans="1:8" x14ac:dyDescent="0.35">
      <c r="A5" s="1" t="s">
        <v>8</v>
      </c>
      <c r="B5" s="1">
        <v>6</v>
      </c>
      <c r="D5" s="1" t="s">
        <v>9</v>
      </c>
      <c r="E5" s="1">
        <v>7</v>
      </c>
      <c r="G5" s="1" t="s">
        <v>38</v>
      </c>
      <c r="H5" s="1">
        <v>1</v>
      </c>
    </row>
    <row r="6" spans="1:8" x14ac:dyDescent="0.35">
      <c r="A6" s="1" t="s">
        <v>10</v>
      </c>
      <c r="B6" s="1">
        <v>7</v>
      </c>
      <c r="D6" s="1" t="s">
        <v>11</v>
      </c>
      <c r="E6" s="1">
        <v>5</v>
      </c>
      <c r="G6" s="1" t="s">
        <v>1993</v>
      </c>
      <c r="H6" s="1">
        <v>1</v>
      </c>
    </row>
    <row r="7" spans="1:8" x14ac:dyDescent="0.35">
      <c r="A7" s="1" t="s">
        <v>9</v>
      </c>
      <c r="B7" s="1">
        <v>3</v>
      </c>
      <c r="D7" s="1" t="s">
        <v>12</v>
      </c>
      <c r="E7" s="1">
        <v>1</v>
      </c>
      <c r="G7" s="1" t="s">
        <v>1957</v>
      </c>
      <c r="H7" s="1">
        <v>1</v>
      </c>
    </row>
    <row r="8" spans="1:8" x14ac:dyDescent="0.35">
      <c r="A8" s="1" t="s">
        <v>13</v>
      </c>
      <c r="B8" s="1">
        <v>1</v>
      </c>
      <c r="D8" s="1" t="s">
        <v>14</v>
      </c>
      <c r="E8" s="1">
        <v>2</v>
      </c>
      <c r="G8" s="1" t="s">
        <v>8</v>
      </c>
      <c r="H8" s="1">
        <v>2</v>
      </c>
    </row>
    <row r="9" spans="1:8" x14ac:dyDescent="0.35">
      <c r="A9" s="1" t="s">
        <v>15</v>
      </c>
      <c r="B9" s="1">
        <v>2</v>
      </c>
      <c r="D9" s="1" t="s">
        <v>16</v>
      </c>
      <c r="E9" s="1">
        <v>2</v>
      </c>
      <c r="G9" s="1" t="s">
        <v>11</v>
      </c>
      <c r="H9" s="1">
        <v>2</v>
      </c>
    </row>
    <row r="10" spans="1:8" x14ac:dyDescent="0.35">
      <c r="A10" s="1" t="s">
        <v>17</v>
      </c>
      <c r="B10" s="1">
        <v>2</v>
      </c>
      <c r="D10" s="1" t="s">
        <v>18</v>
      </c>
      <c r="E10" s="1">
        <v>1</v>
      </c>
      <c r="G10" s="1" t="s">
        <v>1938</v>
      </c>
      <c r="H10" s="1">
        <v>1</v>
      </c>
    </row>
    <row r="11" spans="1:8" x14ac:dyDescent="0.35">
      <c r="A11" s="1" t="s">
        <v>19</v>
      </c>
      <c r="B11" s="1">
        <v>1</v>
      </c>
      <c r="D11" s="1" t="s">
        <v>4</v>
      </c>
      <c r="E11" s="1">
        <v>20</v>
      </c>
      <c r="G11" s="1" t="s">
        <v>9</v>
      </c>
      <c r="H11" s="1">
        <v>13</v>
      </c>
    </row>
    <row r="12" spans="1:8" x14ac:dyDescent="0.35">
      <c r="A12" s="1" t="s">
        <v>20</v>
      </c>
      <c r="B12" s="1">
        <v>5</v>
      </c>
      <c r="D12" s="1" t="s">
        <v>21</v>
      </c>
      <c r="E12" s="1">
        <v>6</v>
      </c>
      <c r="G12" s="1" t="s">
        <v>37</v>
      </c>
      <c r="H12" s="1">
        <v>1</v>
      </c>
    </row>
    <row r="13" spans="1:8" x14ac:dyDescent="0.35">
      <c r="A13" s="1" t="s">
        <v>5</v>
      </c>
      <c r="B13" s="1">
        <v>4</v>
      </c>
      <c r="D13" s="1" t="s">
        <v>22</v>
      </c>
      <c r="E13" s="1">
        <v>6</v>
      </c>
      <c r="G13" s="1" t="s">
        <v>10</v>
      </c>
      <c r="H13" s="1">
        <v>3</v>
      </c>
    </row>
    <row r="14" spans="1:8" x14ac:dyDescent="0.35">
      <c r="A14" s="1" t="s">
        <v>23</v>
      </c>
      <c r="B14" s="1">
        <v>1</v>
      </c>
      <c r="D14" s="1" t="s">
        <v>6</v>
      </c>
      <c r="E14" s="1">
        <v>2</v>
      </c>
      <c r="G14" s="1" t="s">
        <v>20</v>
      </c>
      <c r="H14" s="1">
        <v>11</v>
      </c>
    </row>
    <row r="15" spans="1:8" x14ac:dyDescent="0.35">
      <c r="A15" s="1" t="s">
        <v>18</v>
      </c>
      <c r="B15" s="1">
        <v>12</v>
      </c>
      <c r="D15" s="1" t="s">
        <v>24</v>
      </c>
      <c r="E15" s="1">
        <v>2</v>
      </c>
      <c r="G15" s="1" t="s">
        <v>22</v>
      </c>
      <c r="H15" s="1">
        <v>4</v>
      </c>
    </row>
    <row r="16" spans="1:8" x14ac:dyDescent="0.35">
      <c r="A16" s="1" t="s">
        <v>21</v>
      </c>
      <c r="B16" s="1">
        <v>6</v>
      </c>
      <c r="D16" s="1" t="s">
        <v>25</v>
      </c>
      <c r="E16" s="1">
        <v>1</v>
      </c>
      <c r="G16" s="1" t="s">
        <v>2053</v>
      </c>
      <c r="H16" s="1">
        <v>1</v>
      </c>
    </row>
    <row r="17" spans="1:8" x14ac:dyDescent="0.35">
      <c r="A17" s="1" t="s">
        <v>26</v>
      </c>
      <c r="B17" s="1">
        <v>2</v>
      </c>
      <c r="D17" s="1" t="s">
        <v>10</v>
      </c>
      <c r="E17" s="1">
        <v>1</v>
      </c>
      <c r="G17" s="1" t="s">
        <v>14</v>
      </c>
      <c r="H17" s="1">
        <v>1</v>
      </c>
    </row>
    <row r="18" spans="1:8" x14ac:dyDescent="0.35">
      <c r="A18" s="1" t="s">
        <v>27</v>
      </c>
      <c r="B18" s="1">
        <v>1</v>
      </c>
      <c r="D18" s="1" t="s">
        <v>15</v>
      </c>
      <c r="E18" s="1">
        <v>1</v>
      </c>
      <c r="G18" s="1" t="s">
        <v>7</v>
      </c>
      <c r="H18" s="1">
        <v>4</v>
      </c>
    </row>
    <row r="19" spans="1:8" x14ac:dyDescent="0.35">
      <c r="A19" s="1" t="s">
        <v>22</v>
      </c>
      <c r="B19" s="1">
        <v>1</v>
      </c>
      <c r="D19" s="1" t="s">
        <v>13</v>
      </c>
      <c r="E19" s="1">
        <v>5</v>
      </c>
      <c r="G19" s="1" t="s">
        <v>2054</v>
      </c>
      <c r="H19" s="1">
        <v>1</v>
      </c>
    </row>
    <row r="20" spans="1:8" x14ac:dyDescent="0.35">
      <c r="A20" s="1" t="s">
        <v>28</v>
      </c>
      <c r="B20" s="1">
        <v>1</v>
      </c>
      <c r="D20" s="1" t="s">
        <v>26</v>
      </c>
      <c r="E20" s="1">
        <v>7</v>
      </c>
      <c r="G20" s="1" t="s">
        <v>21</v>
      </c>
      <c r="H20" s="1">
        <v>8</v>
      </c>
    </row>
    <row r="21" spans="1:8" x14ac:dyDescent="0.35">
      <c r="A21" s="1" t="s">
        <v>29</v>
      </c>
      <c r="B21" s="1">
        <v>3</v>
      </c>
      <c r="D21" s="1" t="s">
        <v>8</v>
      </c>
      <c r="E21" s="1">
        <v>5</v>
      </c>
      <c r="G21" s="1" t="s">
        <v>18</v>
      </c>
      <c r="H21" s="1">
        <v>17</v>
      </c>
    </row>
    <row r="22" spans="1:8" x14ac:dyDescent="0.35">
      <c r="A22" s="1" t="s">
        <v>30</v>
      </c>
      <c r="B22" s="1">
        <v>5</v>
      </c>
      <c r="D22" s="1" t="s">
        <v>31</v>
      </c>
      <c r="E22" s="1">
        <v>1</v>
      </c>
      <c r="G22" s="1" t="s">
        <v>15</v>
      </c>
      <c r="H22" s="1">
        <v>5</v>
      </c>
    </row>
    <row r="23" spans="1:8" x14ac:dyDescent="0.35">
      <c r="A23" s="1" t="s">
        <v>32</v>
      </c>
      <c r="B23" s="1">
        <v>2</v>
      </c>
      <c r="D23" s="1" t="s">
        <v>33</v>
      </c>
      <c r="E23" s="1">
        <v>1</v>
      </c>
      <c r="G23" s="1" t="s">
        <v>36</v>
      </c>
      <c r="H23" s="1">
        <v>3</v>
      </c>
    </row>
    <row r="24" spans="1:8" x14ac:dyDescent="0.35">
      <c r="A24" s="1" t="s">
        <v>34</v>
      </c>
      <c r="B24" s="1">
        <v>9</v>
      </c>
      <c r="D24" s="1" t="s">
        <v>35</v>
      </c>
      <c r="E24" s="1">
        <v>1</v>
      </c>
      <c r="G24" s="1" t="s">
        <v>29</v>
      </c>
      <c r="H24" s="1">
        <v>6</v>
      </c>
    </row>
    <row r="25" spans="1:8" x14ac:dyDescent="0.35">
      <c r="A25" s="1" t="s">
        <v>36</v>
      </c>
      <c r="B25" s="1">
        <v>3</v>
      </c>
      <c r="D25" s="1" t="s">
        <v>19</v>
      </c>
      <c r="E25" s="1">
        <v>2</v>
      </c>
      <c r="G25" s="1" t="s">
        <v>27</v>
      </c>
      <c r="H25" s="1">
        <v>1</v>
      </c>
    </row>
    <row r="26" spans="1:8" x14ac:dyDescent="0.35">
      <c r="A26" s="1" t="s">
        <v>11</v>
      </c>
      <c r="B26" s="1">
        <v>2</v>
      </c>
      <c r="D26" s="1" t="s">
        <v>20</v>
      </c>
      <c r="E26" s="1">
        <v>8</v>
      </c>
      <c r="G26" s="1" t="s">
        <v>87</v>
      </c>
      <c r="H26" s="1">
        <v>5</v>
      </c>
    </row>
    <row r="27" spans="1:8" x14ac:dyDescent="0.35">
      <c r="A27" s="1" t="s">
        <v>16</v>
      </c>
      <c r="B27" s="1">
        <v>2</v>
      </c>
      <c r="D27" s="1" t="s">
        <v>34</v>
      </c>
      <c r="E27" s="1">
        <v>10</v>
      </c>
      <c r="G27" s="1" t="s">
        <v>2055</v>
      </c>
      <c r="H27" s="1">
        <v>2</v>
      </c>
    </row>
    <row r="28" spans="1:8" x14ac:dyDescent="0.35">
      <c r="A28" s="1" t="s">
        <v>37</v>
      </c>
      <c r="B28" s="1">
        <v>2</v>
      </c>
      <c r="D28" s="1" t="s">
        <v>17</v>
      </c>
      <c r="E28" s="1">
        <v>1</v>
      </c>
      <c r="G28" s="1" t="s">
        <v>4</v>
      </c>
      <c r="H28" s="1">
        <v>22</v>
      </c>
    </row>
    <row r="29" spans="1:8" x14ac:dyDescent="0.35">
      <c r="D29" s="1" t="s">
        <v>37</v>
      </c>
      <c r="E29" s="1">
        <v>1</v>
      </c>
      <c r="G29" s="1" t="s">
        <v>1897</v>
      </c>
      <c r="H29" s="1">
        <v>1</v>
      </c>
    </row>
    <row r="30" spans="1:8" x14ac:dyDescent="0.35">
      <c r="D30" s="1" t="s">
        <v>30</v>
      </c>
      <c r="E30" s="1">
        <v>2</v>
      </c>
      <c r="G30" s="1" t="s">
        <v>12</v>
      </c>
      <c r="H30" s="1">
        <v>1</v>
      </c>
    </row>
    <row r="31" spans="1:8" x14ac:dyDescent="0.35">
      <c r="D31" s="1" t="s">
        <v>23</v>
      </c>
      <c r="E31" s="1">
        <v>1</v>
      </c>
      <c r="G31" s="1" t="s">
        <v>16</v>
      </c>
      <c r="H31" s="1">
        <v>9</v>
      </c>
    </row>
    <row r="32" spans="1:8" x14ac:dyDescent="0.35">
      <c r="D32" s="1" t="s">
        <v>38</v>
      </c>
      <c r="E32" s="1">
        <v>1</v>
      </c>
      <c r="G32" s="1" t="s">
        <v>13</v>
      </c>
      <c r="H32" s="1">
        <v>3</v>
      </c>
    </row>
    <row r="33" spans="7:8" x14ac:dyDescent="0.35">
      <c r="G33" s="1" t="s">
        <v>32</v>
      </c>
      <c r="H33" s="1">
        <v>2</v>
      </c>
    </row>
    <row r="34" spans="7:8" x14ac:dyDescent="0.35">
      <c r="G34" s="1" t="s">
        <v>2056</v>
      </c>
      <c r="H34" s="1">
        <v>1</v>
      </c>
    </row>
    <row r="35" spans="7:8" x14ac:dyDescent="0.35">
      <c r="G35" s="1" t="s">
        <v>6</v>
      </c>
      <c r="H35" s="1">
        <v>1</v>
      </c>
    </row>
    <row r="36" spans="7:8" x14ac:dyDescent="0.35">
      <c r="G36" s="1" t="s">
        <v>34</v>
      </c>
      <c r="H36" s="1">
        <v>14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DBD3-2789-4853-8569-37EADE3CB407}">
  <dimension ref="A2:K12"/>
  <sheetViews>
    <sheetView topLeftCell="C1" workbookViewId="0">
      <selection activeCell="I6" activeCellId="1" sqref="I3:I4 I6"/>
    </sheetView>
  </sheetViews>
  <sheetFormatPr defaultRowHeight="14.5" x14ac:dyDescent="0.35"/>
  <cols>
    <col min="1" max="1" width="14.453125" customWidth="1"/>
    <col min="2" max="2" width="13.26953125" bestFit="1" customWidth="1"/>
    <col min="3" max="3" width="10.7265625" bestFit="1" customWidth="1"/>
    <col min="4" max="4" width="12.90625" bestFit="1" customWidth="1"/>
    <col min="5" max="5" width="13.6328125" customWidth="1"/>
    <col min="6" max="7" width="10.08984375" bestFit="1" customWidth="1"/>
    <col min="8" max="8" width="11.453125" customWidth="1"/>
    <col min="9" max="9" width="11.6328125" customWidth="1"/>
    <col min="11" max="11" width="70" bestFit="1" customWidth="1"/>
  </cols>
  <sheetData>
    <row r="2" spans="1:11" ht="29" x14ac:dyDescent="0.35">
      <c r="A2" s="30" t="s">
        <v>2020</v>
      </c>
      <c r="B2" s="30" t="s">
        <v>2021</v>
      </c>
      <c r="C2" s="30" t="s">
        <v>2022</v>
      </c>
      <c r="D2" s="30" t="s">
        <v>2023</v>
      </c>
      <c r="E2" s="30" t="s">
        <v>2024</v>
      </c>
      <c r="F2" s="30" t="s">
        <v>2025</v>
      </c>
      <c r="G2" s="30" t="s">
        <v>2026</v>
      </c>
      <c r="H2" s="31" t="s">
        <v>2027</v>
      </c>
      <c r="I2" s="31" t="s">
        <v>2028</v>
      </c>
      <c r="J2" s="32" t="s">
        <v>2029</v>
      </c>
      <c r="K2" s="30" t="s">
        <v>2030</v>
      </c>
    </row>
    <row r="3" spans="1:11" x14ac:dyDescent="0.35">
      <c r="A3" s="33" t="s">
        <v>2031</v>
      </c>
      <c r="B3" s="33" t="s">
        <v>2032</v>
      </c>
      <c r="C3" s="33" t="s">
        <v>2033</v>
      </c>
      <c r="D3" s="33" t="s">
        <v>2034</v>
      </c>
      <c r="E3" s="30" t="s">
        <v>2035</v>
      </c>
      <c r="F3" s="34">
        <v>46023</v>
      </c>
      <c r="G3" s="34">
        <v>46387</v>
      </c>
      <c r="H3" s="1">
        <v>5</v>
      </c>
      <c r="I3" s="35">
        <v>10002</v>
      </c>
      <c r="J3" s="1" t="s">
        <v>2036</v>
      </c>
      <c r="K3" s="1" t="s">
        <v>2037</v>
      </c>
    </row>
    <row r="4" spans="1:11" x14ac:dyDescent="0.35">
      <c r="A4" s="33" t="s">
        <v>2038</v>
      </c>
      <c r="B4" s="33" t="s">
        <v>2039</v>
      </c>
      <c r="C4" s="33" t="s">
        <v>2040</v>
      </c>
      <c r="D4" s="33" t="s">
        <v>2041</v>
      </c>
      <c r="E4" s="30" t="s">
        <v>2042</v>
      </c>
      <c r="F4" s="34">
        <v>46023</v>
      </c>
      <c r="G4" s="34">
        <v>46387</v>
      </c>
      <c r="H4" s="1">
        <v>300</v>
      </c>
      <c r="I4" s="35">
        <v>35088.660000000003</v>
      </c>
      <c r="J4" s="1" t="s">
        <v>2036</v>
      </c>
      <c r="K4" s="1" t="s">
        <v>2037</v>
      </c>
    </row>
    <row r="5" spans="1:11" x14ac:dyDescent="0.35">
      <c r="A5" s="33" t="s">
        <v>2043</v>
      </c>
      <c r="B5" s="33" t="s">
        <v>2044</v>
      </c>
      <c r="C5" s="33" t="s">
        <v>2045</v>
      </c>
      <c r="D5" s="33" t="s">
        <v>2041</v>
      </c>
      <c r="E5" s="30" t="s">
        <v>1749</v>
      </c>
      <c r="F5" s="34">
        <v>46023</v>
      </c>
      <c r="G5" s="34">
        <v>46387</v>
      </c>
      <c r="H5" s="1">
        <v>1953</v>
      </c>
      <c r="I5" s="35">
        <v>502869</v>
      </c>
      <c r="J5" s="1" t="s">
        <v>2036</v>
      </c>
      <c r="K5" t="s">
        <v>2046</v>
      </c>
    </row>
    <row r="6" spans="1:11" x14ac:dyDescent="0.35">
      <c r="A6" s="33" t="s">
        <v>2047</v>
      </c>
      <c r="B6" s="33" t="s">
        <v>2048</v>
      </c>
      <c r="C6" s="33" t="s">
        <v>2033</v>
      </c>
      <c r="D6" s="33" t="s">
        <v>2034</v>
      </c>
      <c r="E6" s="30" t="s">
        <v>2049</v>
      </c>
      <c r="F6" s="34">
        <v>46023</v>
      </c>
      <c r="G6" s="34">
        <v>46387</v>
      </c>
      <c r="H6" s="1">
        <v>185</v>
      </c>
      <c r="I6" s="35">
        <v>219501</v>
      </c>
      <c r="J6" s="1" t="s">
        <v>2036</v>
      </c>
      <c r="K6" s="1" t="s">
        <v>2037</v>
      </c>
    </row>
    <row r="7" spans="1:11" x14ac:dyDescent="0.35">
      <c r="A7" s="1"/>
      <c r="B7" s="1"/>
      <c r="C7" s="1"/>
      <c r="D7" s="1"/>
      <c r="E7" s="1"/>
      <c r="F7" s="1"/>
      <c r="G7" s="1"/>
      <c r="H7" s="1"/>
      <c r="I7" s="36">
        <f>SUM(I3:I6)</f>
        <v>767460.66</v>
      </c>
      <c r="J7" s="1" t="s">
        <v>2036</v>
      </c>
      <c r="K7" s="1"/>
    </row>
    <row r="10" spans="1:11" x14ac:dyDescent="0.35">
      <c r="H10" s="37"/>
    </row>
    <row r="12" spans="1:11" x14ac:dyDescent="0.35">
      <c r="I12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9E2B-6418-4B25-B5DF-1C4C4A4F7CE7}">
  <dimension ref="A1:H35"/>
  <sheetViews>
    <sheetView workbookViewId="0">
      <selection activeCell="J6" sqref="J6"/>
    </sheetView>
  </sheetViews>
  <sheetFormatPr defaultRowHeight="14.5" x14ac:dyDescent="0.35"/>
  <cols>
    <col min="1" max="1" width="17.54296875" bestFit="1" customWidth="1"/>
    <col min="2" max="2" width="11.7265625" bestFit="1" customWidth="1"/>
    <col min="4" max="4" width="17.81640625" bestFit="1" customWidth="1"/>
    <col min="5" max="5" width="11.7265625" bestFit="1" customWidth="1"/>
    <col min="7" max="7" width="18.1796875" bestFit="1" customWidth="1"/>
    <col min="8" max="8" width="11.7265625" bestFit="1" customWidth="1"/>
  </cols>
  <sheetData>
    <row r="1" spans="1:8" x14ac:dyDescent="0.35">
      <c r="A1" s="45" t="s">
        <v>0</v>
      </c>
      <c r="B1" s="45"/>
      <c r="D1" s="45" t="s">
        <v>1</v>
      </c>
      <c r="E1" s="45"/>
      <c r="G1" s="45" t="s">
        <v>2057</v>
      </c>
      <c r="H1" s="45"/>
    </row>
    <row r="2" spans="1:8" x14ac:dyDescent="0.35">
      <c r="A2" s="1" t="s">
        <v>2</v>
      </c>
      <c r="B2" s="1" t="s">
        <v>3</v>
      </c>
      <c r="D2" s="1" t="s">
        <v>2</v>
      </c>
      <c r="E2" s="1" t="s">
        <v>3</v>
      </c>
      <c r="G2" s="46" t="s">
        <v>2</v>
      </c>
      <c r="H2" s="46" t="s">
        <v>3</v>
      </c>
    </row>
    <row r="3" spans="1:8" x14ac:dyDescent="0.35">
      <c r="A3" t="s">
        <v>39</v>
      </c>
      <c r="B3">
        <v>25</v>
      </c>
      <c r="D3" t="s">
        <v>40</v>
      </c>
      <c r="E3">
        <v>15</v>
      </c>
      <c r="G3" s="1" t="s">
        <v>39</v>
      </c>
      <c r="H3" s="1">
        <v>3</v>
      </c>
    </row>
    <row r="4" spans="1:8" x14ac:dyDescent="0.35">
      <c r="A4" t="s">
        <v>40</v>
      </c>
      <c r="B4">
        <v>11</v>
      </c>
      <c r="D4" t="s">
        <v>41</v>
      </c>
      <c r="E4">
        <v>1</v>
      </c>
      <c r="G4" s="1" t="s">
        <v>1965</v>
      </c>
      <c r="H4" s="1">
        <v>1</v>
      </c>
    </row>
    <row r="5" spans="1:8" x14ac:dyDescent="0.35">
      <c r="A5" t="s">
        <v>42</v>
      </c>
      <c r="B5">
        <v>1</v>
      </c>
      <c r="D5" t="s">
        <v>43</v>
      </c>
      <c r="E5">
        <v>3</v>
      </c>
      <c r="G5" s="1" t="s">
        <v>64</v>
      </c>
      <c r="H5" s="1">
        <v>1</v>
      </c>
    </row>
    <row r="6" spans="1:8" x14ac:dyDescent="0.35">
      <c r="A6" t="s">
        <v>44</v>
      </c>
      <c r="B6">
        <v>1</v>
      </c>
      <c r="D6" t="s">
        <v>45</v>
      </c>
      <c r="E6">
        <v>3</v>
      </c>
      <c r="G6" s="1" t="s">
        <v>2058</v>
      </c>
      <c r="H6" s="1">
        <v>1</v>
      </c>
    </row>
    <row r="7" spans="1:8" x14ac:dyDescent="0.35">
      <c r="A7" t="s">
        <v>46</v>
      </c>
      <c r="B7">
        <v>1</v>
      </c>
      <c r="D7" t="s">
        <v>47</v>
      </c>
      <c r="E7">
        <v>3</v>
      </c>
      <c r="G7" s="1" t="s">
        <v>78</v>
      </c>
      <c r="H7" s="1">
        <v>2</v>
      </c>
    </row>
    <row r="8" spans="1:8" x14ac:dyDescent="0.35">
      <c r="A8" t="s">
        <v>48</v>
      </c>
      <c r="B8">
        <v>2</v>
      </c>
      <c r="D8" t="s">
        <v>49</v>
      </c>
      <c r="E8">
        <v>2</v>
      </c>
      <c r="G8" s="1" t="s">
        <v>55</v>
      </c>
      <c r="H8" s="1">
        <v>1</v>
      </c>
    </row>
    <row r="9" spans="1:8" x14ac:dyDescent="0.35">
      <c r="A9" t="s">
        <v>43</v>
      </c>
      <c r="B9">
        <v>1</v>
      </c>
      <c r="D9" t="s">
        <v>50</v>
      </c>
      <c r="E9">
        <v>3</v>
      </c>
      <c r="G9" s="1" t="s">
        <v>179</v>
      </c>
      <c r="H9" s="1">
        <v>2</v>
      </c>
    </row>
    <row r="10" spans="1:8" x14ac:dyDescent="0.35">
      <c r="A10" t="s">
        <v>49</v>
      </c>
      <c r="B10">
        <v>3</v>
      </c>
      <c r="D10" t="s">
        <v>51</v>
      </c>
      <c r="E10">
        <v>1</v>
      </c>
      <c r="G10" s="1" t="s">
        <v>23</v>
      </c>
      <c r="H10" s="1">
        <v>2</v>
      </c>
    </row>
    <row r="11" spans="1:8" x14ac:dyDescent="0.35">
      <c r="A11" t="s">
        <v>52</v>
      </c>
      <c r="B11">
        <v>1</v>
      </c>
      <c r="D11" t="s">
        <v>39</v>
      </c>
      <c r="E11">
        <v>27</v>
      </c>
      <c r="G11" s="1" t="s">
        <v>1987</v>
      </c>
      <c r="H11" s="1">
        <v>3</v>
      </c>
    </row>
    <row r="12" spans="1:8" x14ac:dyDescent="0.35">
      <c r="A12" t="s">
        <v>45</v>
      </c>
      <c r="B12">
        <v>2</v>
      </c>
      <c r="D12" t="s">
        <v>53</v>
      </c>
      <c r="E12">
        <v>1</v>
      </c>
      <c r="G12" s="1" t="s">
        <v>1935</v>
      </c>
      <c r="H12" s="1">
        <v>2</v>
      </c>
    </row>
    <row r="13" spans="1:8" x14ac:dyDescent="0.35">
      <c r="A13" t="s">
        <v>54</v>
      </c>
      <c r="B13">
        <v>1</v>
      </c>
      <c r="D13" t="s">
        <v>55</v>
      </c>
      <c r="E13">
        <v>1</v>
      </c>
      <c r="G13" s="1" t="s">
        <v>2059</v>
      </c>
      <c r="H13" s="1">
        <v>2</v>
      </c>
    </row>
    <row r="14" spans="1:8" x14ac:dyDescent="0.35">
      <c r="A14" t="s">
        <v>56</v>
      </c>
      <c r="B14">
        <v>1</v>
      </c>
      <c r="D14" t="s">
        <v>57</v>
      </c>
      <c r="E14">
        <v>3</v>
      </c>
      <c r="G14" s="1" t="s">
        <v>2060</v>
      </c>
      <c r="H14" s="1">
        <v>1</v>
      </c>
    </row>
    <row r="15" spans="1:8" x14ac:dyDescent="0.35">
      <c r="A15" t="s">
        <v>58</v>
      </c>
      <c r="B15">
        <v>1</v>
      </c>
      <c r="D15" t="s">
        <v>59</v>
      </c>
      <c r="E15">
        <v>5</v>
      </c>
      <c r="G15" s="1" t="s">
        <v>1930</v>
      </c>
      <c r="H15" s="1">
        <v>1</v>
      </c>
    </row>
    <row r="16" spans="1:8" x14ac:dyDescent="0.35">
      <c r="A16" t="s">
        <v>60</v>
      </c>
      <c r="B16">
        <v>1</v>
      </c>
      <c r="D16" t="s">
        <v>61</v>
      </c>
      <c r="E16">
        <v>1</v>
      </c>
      <c r="G16" s="1" t="s">
        <v>2061</v>
      </c>
      <c r="H16" s="1">
        <v>1</v>
      </c>
    </row>
    <row r="17" spans="1:8" x14ac:dyDescent="0.35">
      <c r="A17" t="s">
        <v>13</v>
      </c>
      <c r="B17">
        <v>4</v>
      </c>
      <c r="D17" t="s">
        <v>12</v>
      </c>
      <c r="E17">
        <v>1</v>
      </c>
      <c r="G17" s="1" t="s">
        <v>57</v>
      </c>
      <c r="H17" s="1">
        <v>1</v>
      </c>
    </row>
    <row r="18" spans="1:8" x14ac:dyDescent="0.35">
      <c r="A18" t="s">
        <v>62</v>
      </c>
      <c r="B18">
        <v>1</v>
      </c>
      <c r="D18" t="s">
        <v>63</v>
      </c>
      <c r="E18">
        <v>2</v>
      </c>
      <c r="G18" s="1" t="s">
        <v>13</v>
      </c>
      <c r="H18" s="1">
        <v>6</v>
      </c>
    </row>
    <row r="19" spans="1:8" x14ac:dyDescent="0.35">
      <c r="A19" t="s">
        <v>64</v>
      </c>
      <c r="B19">
        <v>4</v>
      </c>
      <c r="D19" t="s">
        <v>44</v>
      </c>
      <c r="E19">
        <v>1</v>
      </c>
      <c r="G19" s="1" t="s">
        <v>6</v>
      </c>
      <c r="H19" s="1">
        <v>1</v>
      </c>
    </row>
    <row r="20" spans="1:8" x14ac:dyDescent="0.35">
      <c r="A20" t="s">
        <v>65</v>
      </c>
      <c r="B20">
        <v>1</v>
      </c>
      <c r="D20" t="s">
        <v>66</v>
      </c>
      <c r="E20">
        <v>1</v>
      </c>
      <c r="G20" s="1" t="s">
        <v>68</v>
      </c>
      <c r="H20" s="1">
        <v>1</v>
      </c>
    </row>
    <row r="21" spans="1:8" x14ac:dyDescent="0.35">
      <c r="A21" t="s">
        <v>67</v>
      </c>
      <c r="B21">
        <v>1</v>
      </c>
      <c r="D21" t="s">
        <v>68</v>
      </c>
      <c r="E21">
        <v>4</v>
      </c>
      <c r="G21" s="1" t="s">
        <v>2062</v>
      </c>
      <c r="H21" s="1">
        <v>1</v>
      </c>
    </row>
    <row r="22" spans="1:8" x14ac:dyDescent="0.35">
      <c r="A22" t="s">
        <v>69</v>
      </c>
      <c r="B22">
        <v>1</v>
      </c>
      <c r="D22" t="s">
        <v>13</v>
      </c>
      <c r="E22">
        <v>5</v>
      </c>
      <c r="G22" s="1" t="s">
        <v>45</v>
      </c>
      <c r="H22" s="1">
        <v>2</v>
      </c>
    </row>
    <row r="23" spans="1:8" x14ac:dyDescent="0.35">
      <c r="A23" t="s">
        <v>70</v>
      </c>
      <c r="B23">
        <v>21</v>
      </c>
      <c r="D23" t="s">
        <v>71</v>
      </c>
      <c r="E23">
        <v>2</v>
      </c>
      <c r="G23" s="1" t="s">
        <v>40</v>
      </c>
      <c r="H23" s="1">
        <v>6</v>
      </c>
    </row>
    <row r="24" spans="1:8" x14ac:dyDescent="0.35">
      <c r="A24" t="s">
        <v>72</v>
      </c>
      <c r="B24">
        <v>10</v>
      </c>
      <c r="D24" t="s">
        <v>73</v>
      </c>
      <c r="E24">
        <v>1</v>
      </c>
      <c r="G24" s="1" t="s">
        <v>59</v>
      </c>
      <c r="H24" s="1">
        <v>1</v>
      </c>
    </row>
    <row r="25" spans="1:8" x14ac:dyDescent="0.35">
      <c r="A25" t="s">
        <v>74</v>
      </c>
      <c r="B25">
        <v>14</v>
      </c>
      <c r="D25" t="s">
        <v>75</v>
      </c>
      <c r="E25">
        <v>19</v>
      </c>
      <c r="G25" s="1" t="s">
        <v>70</v>
      </c>
      <c r="H25" s="1">
        <v>25</v>
      </c>
    </row>
    <row r="26" spans="1:8" x14ac:dyDescent="0.35">
      <c r="A26" t="s">
        <v>75</v>
      </c>
      <c r="B26">
        <v>14</v>
      </c>
      <c r="D26" t="s">
        <v>76</v>
      </c>
      <c r="E26">
        <v>14</v>
      </c>
      <c r="G26" s="1" t="s">
        <v>80</v>
      </c>
      <c r="H26" s="1">
        <v>7</v>
      </c>
    </row>
    <row r="27" spans="1:8" x14ac:dyDescent="0.35">
      <c r="A27" t="s">
        <v>77</v>
      </c>
      <c r="B27">
        <v>7</v>
      </c>
      <c r="D27" t="s">
        <v>72</v>
      </c>
      <c r="E27">
        <v>10</v>
      </c>
      <c r="G27" s="1" t="s">
        <v>76</v>
      </c>
      <c r="H27" s="1">
        <v>15</v>
      </c>
    </row>
    <row r="28" spans="1:8" x14ac:dyDescent="0.35">
      <c r="A28" t="s">
        <v>76</v>
      </c>
      <c r="B28">
        <v>6</v>
      </c>
      <c r="D28" t="s">
        <v>74</v>
      </c>
      <c r="E28">
        <v>17</v>
      </c>
      <c r="G28" s="1" t="s">
        <v>71</v>
      </c>
      <c r="H28" s="1">
        <v>13</v>
      </c>
    </row>
    <row r="29" spans="1:8" x14ac:dyDescent="0.35">
      <c r="A29" t="s">
        <v>51</v>
      </c>
      <c r="B29">
        <v>5</v>
      </c>
      <c r="D29" t="s">
        <v>78</v>
      </c>
      <c r="E29">
        <v>11</v>
      </c>
      <c r="G29" s="1" t="s">
        <v>79</v>
      </c>
      <c r="H29" s="1">
        <v>5</v>
      </c>
    </row>
    <row r="30" spans="1:8" x14ac:dyDescent="0.35">
      <c r="A30" t="s">
        <v>79</v>
      </c>
      <c r="B30">
        <v>4</v>
      </c>
      <c r="D30" t="s">
        <v>80</v>
      </c>
      <c r="E30">
        <v>7</v>
      </c>
      <c r="G30" s="1" t="s">
        <v>74</v>
      </c>
      <c r="H30" s="1">
        <v>12</v>
      </c>
    </row>
    <row r="31" spans="1:8" x14ac:dyDescent="0.35">
      <c r="D31" t="s">
        <v>70</v>
      </c>
      <c r="E31">
        <v>19</v>
      </c>
      <c r="G31" s="1" t="s">
        <v>72</v>
      </c>
      <c r="H31" s="1">
        <v>4</v>
      </c>
    </row>
    <row r="32" spans="1:8" x14ac:dyDescent="0.35">
      <c r="D32" t="s">
        <v>77</v>
      </c>
      <c r="E32">
        <v>7</v>
      </c>
      <c r="G32" s="1" t="s">
        <v>75</v>
      </c>
      <c r="H32" s="1">
        <v>19</v>
      </c>
    </row>
    <row r="33" spans="4:8" x14ac:dyDescent="0.35">
      <c r="D33" t="s">
        <v>46</v>
      </c>
      <c r="E33">
        <v>3</v>
      </c>
      <c r="G33" s="1" t="s">
        <v>77</v>
      </c>
      <c r="H33" s="1">
        <v>8</v>
      </c>
    </row>
    <row r="34" spans="4:8" x14ac:dyDescent="0.35">
      <c r="D34" t="s">
        <v>48</v>
      </c>
      <c r="E34">
        <v>5</v>
      </c>
    </row>
    <row r="35" spans="4:8" x14ac:dyDescent="0.35">
      <c r="D35" t="s">
        <v>81</v>
      </c>
      <c r="E35">
        <v>7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1D77-082D-4BAA-816E-943F0F7F1CA4}">
  <dimension ref="A1:H28"/>
  <sheetViews>
    <sheetView workbookViewId="0">
      <selection activeCell="J5" sqref="J5"/>
    </sheetView>
  </sheetViews>
  <sheetFormatPr defaultRowHeight="14.5" x14ac:dyDescent="0.35"/>
  <cols>
    <col min="1" max="1" width="16.1796875" bestFit="1" customWidth="1"/>
    <col min="2" max="2" width="11.7265625" bestFit="1" customWidth="1"/>
    <col min="4" max="4" width="16.1796875" bestFit="1" customWidth="1"/>
    <col min="5" max="5" width="11.7265625" bestFit="1" customWidth="1"/>
    <col min="7" max="7" width="16.26953125" bestFit="1" customWidth="1"/>
    <col min="8" max="8" width="11.7265625" bestFit="1" customWidth="1"/>
  </cols>
  <sheetData>
    <row r="1" spans="1:8" x14ac:dyDescent="0.35">
      <c r="A1" s="45" t="s">
        <v>0</v>
      </c>
      <c r="B1" s="45"/>
      <c r="D1" s="45" t="s">
        <v>1</v>
      </c>
      <c r="E1" s="45"/>
      <c r="G1" s="45" t="s">
        <v>2057</v>
      </c>
      <c r="H1" s="45"/>
    </row>
    <row r="2" spans="1:8" x14ac:dyDescent="0.35">
      <c r="A2" s="1" t="s">
        <v>2</v>
      </c>
      <c r="B2" s="1" t="s">
        <v>3</v>
      </c>
      <c r="D2" s="1" t="s">
        <v>2</v>
      </c>
      <c r="E2" s="1" t="s">
        <v>3</v>
      </c>
      <c r="G2" s="46" t="s">
        <v>2</v>
      </c>
      <c r="H2" s="46" t="s">
        <v>3</v>
      </c>
    </row>
    <row r="3" spans="1:8" x14ac:dyDescent="0.35">
      <c r="A3" s="1" t="s">
        <v>82</v>
      </c>
      <c r="B3" s="1">
        <v>22</v>
      </c>
      <c r="D3" s="1" t="s">
        <v>7</v>
      </c>
      <c r="E3" s="1">
        <v>2</v>
      </c>
      <c r="G3" s="1" t="s">
        <v>9</v>
      </c>
      <c r="H3" s="1">
        <v>18</v>
      </c>
    </row>
    <row r="4" spans="1:8" x14ac:dyDescent="0.35">
      <c r="A4" s="1" t="s">
        <v>20</v>
      </c>
      <c r="B4" s="1">
        <v>6</v>
      </c>
      <c r="D4" s="1" t="s">
        <v>20</v>
      </c>
      <c r="E4" s="1">
        <v>8</v>
      </c>
      <c r="G4" s="1" t="s">
        <v>17</v>
      </c>
      <c r="H4" s="1">
        <v>10</v>
      </c>
    </row>
    <row r="5" spans="1:8" x14ac:dyDescent="0.35">
      <c r="A5" s="1" t="s">
        <v>30</v>
      </c>
      <c r="B5" s="1">
        <v>4</v>
      </c>
      <c r="D5" s="1" t="s">
        <v>83</v>
      </c>
      <c r="E5" s="1">
        <v>5</v>
      </c>
      <c r="G5" s="1" t="s">
        <v>14</v>
      </c>
      <c r="H5" s="1">
        <v>5</v>
      </c>
    </row>
    <row r="6" spans="1:8" x14ac:dyDescent="0.35">
      <c r="A6" s="1" t="s">
        <v>10</v>
      </c>
      <c r="B6" s="1">
        <v>7</v>
      </c>
      <c r="D6" s="1" t="s">
        <v>6</v>
      </c>
      <c r="E6" s="1">
        <v>2</v>
      </c>
      <c r="G6" s="1" t="s">
        <v>82</v>
      </c>
      <c r="H6" s="1">
        <v>27</v>
      </c>
    </row>
    <row r="7" spans="1:8" x14ac:dyDescent="0.35">
      <c r="A7" s="1" t="s">
        <v>36</v>
      </c>
      <c r="B7" s="1">
        <v>2</v>
      </c>
      <c r="D7" s="1" t="s">
        <v>37</v>
      </c>
      <c r="E7" s="1">
        <v>1</v>
      </c>
      <c r="G7" s="1" t="s">
        <v>18</v>
      </c>
      <c r="H7" s="1">
        <v>18</v>
      </c>
    </row>
    <row r="8" spans="1:8" x14ac:dyDescent="0.35">
      <c r="A8" s="1" t="s">
        <v>15</v>
      </c>
      <c r="B8" s="1">
        <v>1</v>
      </c>
      <c r="D8" s="1" t="s">
        <v>30</v>
      </c>
      <c r="E8" s="1">
        <v>1</v>
      </c>
      <c r="G8" s="1" t="s">
        <v>10</v>
      </c>
      <c r="H8" s="1">
        <v>5</v>
      </c>
    </row>
    <row r="9" spans="1:8" x14ac:dyDescent="0.35">
      <c r="A9" s="1" t="s">
        <v>37</v>
      </c>
      <c r="B9" s="1">
        <v>2</v>
      </c>
      <c r="D9" s="1" t="s">
        <v>23</v>
      </c>
      <c r="E9" s="1">
        <v>1</v>
      </c>
      <c r="G9" s="1" t="s">
        <v>20</v>
      </c>
      <c r="H9" s="1">
        <v>11</v>
      </c>
    </row>
    <row r="10" spans="1:8" x14ac:dyDescent="0.35">
      <c r="A10" s="1" t="s">
        <v>8</v>
      </c>
      <c r="B10" s="1">
        <v>7</v>
      </c>
      <c r="D10" s="1" t="s">
        <v>38</v>
      </c>
      <c r="E10" s="1">
        <v>1</v>
      </c>
      <c r="G10" s="1" t="s">
        <v>22</v>
      </c>
      <c r="H10" s="1">
        <v>4</v>
      </c>
    </row>
    <row r="11" spans="1:8" x14ac:dyDescent="0.35">
      <c r="A11" s="1" t="s">
        <v>29</v>
      </c>
      <c r="B11" s="1">
        <v>4</v>
      </c>
      <c r="D11" s="1" t="s">
        <v>5</v>
      </c>
      <c r="E11" s="1">
        <v>1</v>
      </c>
      <c r="G11" s="1" t="s">
        <v>16</v>
      </c>
      <c r="H11" s="1">
        <v>7</v>
      </c>
    </row>
    <row r="12" spans="1:8" x14ac:dyDescent="0.35">
      <c r="A12" s="1" t="s">
        <v>23</v>
      </c>
      <c r="B12" s="1">
        <v>1</v>
      </c>
      <c r="D12" s="1" t="s">
        <v>26</v>
      </c>
      <c r="E12" s="1">
        <v>7</v>
      </c>
      <c r="G12" s="1" t="s">
        <v>32</v>
      </c>
      <c r="H12" s="1">
        <v>2</v>
      </c>
    </row>
    <row r="13" spans="1:8" x14ac:dyDescent="0.35">
      <c r="A13" s="1" t="s">
        <v>13</v>
      </c>
      <c r="B13" s="1">
        <v>1</v>
      </c>
      <c r="D13" s="1" t="s">
        <v>8</v>
      </c>
      <c r="E13" s="1">
        <v>5</v>
      </c>
      <c r="G13" s="1" t="s">
        <v>11</v>
      </c>
      <c r="H13" s="1">
        <v>1</v>
      </c>
    </row>
    <row r="14" spans="1:8" x14ac:dyDescent="0.35">
      <c r="A14" s="1" t="s">
        <v>26</v>
      </c>
      <c r="B14" s="1">
        <v>2</v>
      </c>
      <c r="D14" s="1" t="s">
        <v>18</v>
      </c>
      <c r="E14" s="1">
        <v>2</v>
      </c>
      <c r="G14" s="1" t="s">
        <v>26</v>
      </c>
      <c r="H14" s="1">
        <v>8</v>
      </c>
    </row>
    <row r="15" spans="1:8" x14ac:dyDescent="0.35">
      <c r="A15" s="1" t="s">
        <v>83</v>
      </c>
      <c r="B15" s="1">
        <v>2</v>
      </c>
      <c r="D15" s="1" t="s">
        <v>15</v>
      </c>
      <c r="E15" s="1">
        <v>2</v>
      </c>
      <c r="G15" s="1" t="s">
        <v>23</v>
      </c>
      <c r="H15" s="1">
        <v>3</v>
      </c>
    </row>
    <row r="16" spans="1:8" x14ac:dyDescent="0.35">
      <c r="A16" s="1" t="s">
        <v>19</v>
      </c>
      <c r="B16" s="1">
        <v>2</v>
      </c>
      <c r="D16" s="1" t="s">
        <v>13</v>
      </c>
      <c r="E16" s="1">
        <v>2</v>
      </c>
      <c r="G16" s="1" t="s">
        <v>15</v>
      </c>
      <c r="H16" s="1">
        <v>5</v>
      </c>
    </row>
    <row r="17" spans="1:8" x14ac:dyDescent="0.35">
      <c r="A17" s="1" t="s">
        <v>18</v>
      </c>
      <c r="B17" s="1">
        <v>14</v>
      </c>
      <c r="D17" s="1" t="s">
        <v>10</v>
      </c>
      <c r="E17" s="1">
        <v>1</v>
      </c>
      <c r="G17" s="1" t="s">
        <v>36</v>
      </c>
      <c r="H17" s="1">
        <v>3</v>
      </c>
    </row>
    <row r="18" spans="1:8" x14ac:dyDescent="0.35">
      <c r="A18" s="1" t="s">
        <v>6</v>
      </c>
      <c r="B18" s="1">
        <v>3</v>
      </c>
      <c r="D18" s="1" t="s">
        <v>82</v>
      </c>
      <c r="E18" s="1">
        <v>22</v>
      </c>
      <c r="G18" s="1" t="s">
        <v>13</v>
      </c>
      <c r="H18" s="1">
        <v>5</v>
      </c>
    </row>
    <row r="19" spans="1:8" x14ac:dyDescent="0.35">
      <c r="A19" s="1" t="s">
        <v>32</v>
      </c>
      <c r="B19" s="1">
        <v>3</v>
      </c>
      <c r="D19" s="1" t="s">
        <v>22</v>
      </c>
      <c r="E19" s="1">
        <v>4</v>
      </c>
      <c r="G19" s="1" t="s">
        <v>7</v>
      </c>
      <c r="H19" s="1">
        <v>1</v>
      </c>
    </row>
    <row r="20" spans="1:8" x14ac:dyDescent="0.35">
      <c r="A20" s="1" t="s">
        <v>7</v>
      </c>
      <c r="B20" s="1">
        <v>4</v>
      </c>
      <c r="D20" s="1" t="s">
        <v>11</v>
      </c>
      <c r="E20" s="1">
        <v>5</v>
      </c>
      <c r="G20" s="1" t="s">
        <v>8</v>
      </c>
      <c r="H20" s="1">
        <v>2</v>
      </c>
    </row>
    <row r="21" spans="1:8" x14ac:dyDescent="0.35">
      <c r="A21" s="1" t="s">
        <v>11</v>
      </c>
      <c r="B21" s="1">
        <v>2</v>
      </c>
      <c r="D21" s="1" t="s">
        <v>31</v>
      </c>
      <c r="E21" s="1">
        <v>1</v>
      </c>
      <c r="G21" s="1" t="s">
        <v>1938</v>
      </c>
      <c r="H21" s="1">
        <v>1</v>
      </c>
    </row>
    <row r="22" spans="1:8" x14ac:dyDescent="0.35">
      <c r="A22" s="1" t="s">
        <v>22</v>
      </c>
      <c r="B22" s="1">
        <v>1</v>
      </c>
      <c r="D22" s="1" t="s">
        <v>12</v>
      </c>
      <c r="E22" s="1">
        <v>1</v>
      </c>
      <c r="G22" s="1" t="s">
        <v>37</v>
      </c>
      <c r="H22" s="1">
        <v>1</v>
      </c>
    </row>
    <row r="23" spans="1:8" x14ac:dyDescent="0.35">
      <c r="A23" s="1" t="s">
        <v>17</v>
      </c>
      <c r="B23" s="1">
        <v>9</v>
      </c>
      <c r="D23" s="1" t="s">
        <v>25</v>
      </c>
      <c r="E23" s="1">
        <v>1</v>
      </c>
      <c r="G23" s="1" t="s">
        <v>83</v>
      </c>
      <c r="H23" s="1">
        <v>6</v>
      </c>
    </row>
    <row r="24" spans="1:8" x14ac:dyDescent="0.35">
      <c r="A24" s="1" t="s">
        <v>9</v>
      </c>
      <c r="B24" s="1">
        <v>9</v>
      </c>
      <c r="D24" s="1" t="s">
        <v>19</v>
      </c>
      <c r="E24" s="1">
        <v>2</v>
      </c>
      <c r="G24" s="1" t="s">
        <v>38</v>
      </c>
      <c r="H24" s="1">
        <v>1</v>
      </c>
    </row>
    <row r="25" spans="1:8" x14ac:dyDescent="0.35">
      <c r="A25" s="1" t="s">
        <v>14</v>
      </c>
      <c r="B25" s="1">
        <v>3</v>
      </c>
      <c r="G25" s="1" t="s">
        <v>1993</v>
      </c>
      <c r="H25" s="1">
        <v>2</v>
      </c>
    </row>
    <row r="26" spans="1:8" x14ac:dyDescent="0.35">
      <c r="G26" s="1" t="s">
        <v>29</v>
      </c>
      <c r="H26" s="1">
        <v>6</v>
      </c>
    </row>
    <row r="27" spans="1:8" x14ac:dyDescent="0.35">
      <c r="G27" s="1" t="s">
        <v>1957</v>
      </c>
      <c r="H27" s="1">
        <v>1</v>
      </c>
    </row>
    <row r="28" spans="1:8" x14ac:dyDescent="0.35">
      <c r="G28" s="1" t="s">
        <v>2056</v>
      </c>
      <c r="H28" s="1">
        <v>1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607D-3BCE-4FB7-813F-36539852ED27}">
  <dimension ref="A1:H79"/>
  <sheetViews>
    <sheetView workbookViewId="0">
      <selection activeCell="H9" sqref="H9"/>
    </sheetView>
  </sheetViews>
  <sheetFormatPr defaultRowHeight="14.5" x14ac:dyDescent="0.35"/>
  <cols>
    <col min="1" max="1" width="20.453125" bestFit="1" customWidth="1"/>
    <col min="2" max="2" width="11.7265625" bestFit="1" customWidth="1"/>
    <col min="4" max="4" width="20.453125" bestFit="1" customWidth="1"/>
    <col min="5" max="5" width="11.7265625" bestFit="1" customWidth="1"/>
    <col min="7" max="7" width="20.36328125" bestFit="1" customWidth="1"/>
    <col min="8" max="8" width="11.7265625" bestFit="1" customWidth="1"/>
  </cols>
  <sheetData>
    <row r="1" spans="1:8" x14ac:dyDescent="0.35">
      <c r="A1" s="45" t="s">
        <v>0</v>
      </c>
      <c r="B1" s="45"/>
      <c r="D1" s="45" t="s">
        <v>1</v>
      </c>
      <c r="E1" s="45"/>
      <c r="G1" s="45" t="s">
        <v>2057</v>
      </c>
      <c r="H1" s="45"/>
    </row>
    <row r="2" spans="1:8" x14ac:dyDescent="0.35">
      <c r="A2" s="1" t="s">
        <v>2</v>
      </c>
      <c r="B2" s="1" t="s">
        <v>3</v>
      </c>
      <c r="D2" s="1" t="s">
        <v>2</v>
      </c>
      <c r="E2" s="1" t="s">
        <v>3</v>
      </c>
      <c r="G2" s="46" t="s">
        <v>2</v>
      </c>
      <c r="H2" s="46" t="s">
        <v>3</v>
      </c>
    </row>
    <row r="3" spans="1:8" x14ac:dyDescent="0.35">
      <c r="A3" s="1" t="s">
        <v>4</v>
      </c>
      <c r="B3" s="1">
        <v>22</v>
      </c>
      <c r="D3" s="1" t="s">
        <v>4</v>
      </c>
      <c r="E3" s="1">
        <v>20</v>
      </c>
      <c r="G3" s="1" t="s">
        <v>13</v>
      </c>
      <c r="H3" s="1">
        <v>19</v>
      </c>
    </row>
    <row r="4" spans="1:8" x14ac:dyDescent="0.35">
      <c r="A4" s="1" t="s">
        <v>84</v>
      </c>
      <c r="B4" s="1">
        <v>4</v>
      </c>
      <c r="D4" s="1" t="s">
        <v>85</v>
      </c>
      <c r="E4" s="1">
        <v>7</v>
      </c>
      <c r="G4" s="1" t="s">
        <v>4</v>
      </c>
      <c r="H4" s="1">
        <v>23</v>
      </c>
    </row>
    <row r="5" spans="1:8" x14ac:dyDescent="0.35">
      <c r="A5" s="1" t="s">
        <v>26</v>
      </c>
      <c r="B5" s="1">
        <v>1</v>
      </c>
      <c r="D5" s="1" t="s">
        <v>86</v>
      </c>
      <c r="E5" s="1">
        <v>4</v>
      </c>
      <c r="G5" s="1" t="s">
        <v>157</v>
      </c>
      <c r="H5" s="1">
        <v>5</v>
      </c>
    </row>
    <row r="6" spans="1:8" x14ac:dyDescent="0.35">
      <c r="A6" s="1" t="s">
        <v>87</v>
      </c>
      <c r="B6" s="1">
        <v>1</v>
      </c>
      <c r="D6" s="1" t="s">
        <v>88</v>
      </c>
      <c r="E6" s="1">
        <v>11</v>
      </c>
      <c r="G6" s="1" t="s">
        <v>88</v>
      </c>
      <c r="H6" s="1">
        <v>4</v>
      </c>
    </row>
    <row r="7" spans="1:8" x14ac:dyDescent="0.35">
      <c r="A7" s="1" t="s">
        <v>89</v>
      </c>
      <c r="B7" s="1">
        <v>1</v>
      </c>
      <c r="D7" s="1" t="s">
        <v>90</v>
      </c>
      <c r="E7" s="1">
        <v>2</v>
      </c>
      <c r="G7" s="1" t="s">
        <v>86</v>
      </c>
      <c r="H7" s="1">
        <v>4</v>
      </c>
    </row>
    <row r="8" spans="1:8" x14ac:dyDescent="0.35">
      <c r="A8" s="1" t="s">
        <v>91</v>
      </c>
      <c r="B8" s="1">
        <v>1</v>
      </c>
      <c r="D8" s="1" t="s">
        <v>92</v>
      </c>
      <c r="E8" s="1">
        <v>1</v>
      </c>
      <c r="G8" s="1" t="s">
        <v>163</v>
      </c>
      <c r="H8" s="1">
        <v>2</v>
      </c>
    </row>
    <row r="9" spans="1:8" x14ac:dyDescent="0.35">
      <c r="A9" s="1" t="s">
        <v>93</v>
      </c>
      <c r="B9" s="1">
        <v>2</v>
      </c>
      <c r="D9" s="1" t="s">
        <v>84</v>
      </c>
      <c r="E9" s="1">
        <v>4</v>
      </c>
      <c r="G9" s="1" t="s">
        <v>2063</v>
      </c>
      <c r="H9" s="1">
        <v>1</v>
      </c>
    </row>
    <row r="10" spans="1:8" x14ac:dyDescent="0.35">
      <c r="A10" s="1" t="s">
        <v>94</v>
      </c>
      <c r="B10" s="1">
        <v>2</v>
      </c>
      <c r="D10" s="1" t="s">
        <v>95</v>
      </c>
      <c r="E10" s="1">
        <v>2</v>
      </c>
      <c r="G10" s="1" t="s">
        <v>2064</v>
      </c>
      <c r="H10" s="1">
        <v>1</v>
      </c>
    </row>
    <row r="11" spans="1:8" x14ac:dyDescent="0.35">
      <c r="A11" s="1" t="s">
        <v>96</v>
      </c>
      <c r="B11" s="1">
        <v>1</v>
      </c>
      <c r="D11" s="1" t="s">
        <v>97</v>
      </c>
      <c r="E11" s="1">
        <v>1</v>
      </c>
      <c r="G11" s="1" t="s">
        <v>2065</v>
      </c>
      <c r="H11" s="1">
        <v>1</v>
      </c>
    </row>
    <row r="12" spans="1:8" x14ac:dyDescent="0.35">
      <c r="A12" s="1" t="s">
        <v>98</v>
      </c>
      <c r="B12" s="1">
        <v>1</v>
      </c>
      <c r="D12" s="1" t="s">
        <v>99</v>
      </c>
      <c r="E12" s="1">
        <v>3</v>
      </c>
      <c r="G12" s="1" t="s">
        <v>2066</v>
      </c>
      <c r="H12" s="1">
        <v>1</v>
      </c>
    </row>
    <row r="13" spans="1:8" x14ac:dyDescent="0.35">
      <c r="A13" s="1" t="s">
        <v>100</v>
      </c>
      <c r="B13" s="1">
        <v>1</v>
      </c>
      <c r="D13" s="1" t="s">
        <v>101</v>
      </c>
      <c r="E13" s="1">
        <v>1</v>
      </c>
      <c r="G13" s="1" t="s">
        <v>120</v>
      </c>
      <c r="H13" s="1">
        <v>2</v>
      </c>
    </row>
    <row r="14" spans="1:8" x14ac:dyDescent="0.35">
      <c r="A14" s="1" t="s">
        <v>102</v>
      </c>
      <c r="B14" s="1">
        <v>1</v>
      </c>
      <c r="D14" s="1" t="s">
        <v>103</v>
      </c>
      <c r="E14" s="1">
        <v>1</v>
      </c>
      <c r="G14" s="1" t="s">
        <v>2067</v>
      </c>
      <c r="H14" s="1">
        <v>1</v>
      </c>
    </row>
    <row r="15" spans="1:8" x14ac:dyDescent="0.35">
      <c r="A15" s="1" t="s">
        <v>104</v>
      </c>
      <c r="B15" s="1">
        <v>1</v>
      </c>
      <c r="D15" s="1" t="s">
        <v>105</v>
      </c>
      <c r="E15" s="1">
        <v>7</v>
      </c>
      <c r="G15" s="1" t="s">
        <v>2068</v>
      </c>
      <c r="H15" s="1">
        <v>1</v>
      </c>
    </row>
    <row r="16" spans="1:8" x14ac:dyDescent="0.35">
      <c r="A16" s="1" t="s">
        <v>106</v>
      </c>
      <c r="B16" s="1">
        <v>2</v>
      </c>
      <c r="D16" s="1" t="s">
        <v>106</v>
      </c>
      <c r="E16" s="1">
        <v>1</v>
      </c>
      <c r="G16" s="1" t="s">
        <v>2069</v>
      </c>
      <c r="H16" s="1">
        <v>1</v>
      </c>
    </row>
    <row r="17" spans="1:8" x14ac:dyDescent="0.35">
      <c r="A17" s="1" t="s">
        <v>107</v>
      </c>
      <c r="B17" s="1">
        <v>1</v>
      </c>
      <c r="D17" s="1" t="s">
        <v>108</v>
      </c>
      <c r="E17" s="1">
        <v>8</v>
      </c>
      <c r="G17" s="1" t="s">
        <v>2070</v>
      </c>
      <c r="H17" s="1">
        <v>2</v>
      </c>
    </row>
    <row r="18" spans="1:8" x14ac:dyDescent="0.35">
      <c r="A18" s="1" t="s">
        <v>108</v>
      </c>
      <c r="B18" s="1">
        <v>13</v>
      </c>
      <c r="D18" s="1" t="s">
        <v>18</v>
      </c>
      <c r="E18" s="1">
        <v>2</v>
      </c>
      <c r="G18" s="1" t="s">
        <v>85</v>
      </c>
      <c r="H18" s="1">
        <v>3</v>
      </c>
    </row>
    <row r="19" spans="1:8" x14ac:dyDescent="0.35">
      <c r="A19" s="1" t="s">
        <v>109</v>
      </c>
      <c r="B19" s="1">
        <v>1</v>
      </c>
      <c r="D19" s="1" t="s">
        <v>110</v>
      </c>
      <c r="E19" s="1">
        <v>1</v>
      </c>
      <c r="G19" s="1" t="s">
        <v>2071</v>
      </c>
      <c r="H19" s="1">
        <v>1</v>
      </c>
    </row>
    <row r="20" spans="1:8" x14ac:dyDescent="0.35">
      <c r="A20" s="1" t="s">
        <v>92</v>
      </c>
      <c r="B20" s="1">
        <v>3</v>
      </c>
      <c r="D20" s="1" t="s">
        <v>111</v>
      </c>
      <c r="E20" s="1">
        <v>1</v>
      </c>
      <c r="G20" s="1" t="s">
        <v>2072</v>
      </c>
      <c r="H20" s="1">
        <v>1</v>
      </c>
    </row>
    <row r="21" spans="1:8" x14ac:dyDescent="0.35">
      <c r="A21" s="1" t="s">
        <v>112</v>
      </c>
      <c r="B21" s="1">
        <v>1</v>
      </c>
      <c r="D21" s="1" t="s">
        <v>113</v>
      </c>
      <c r="E21" s="1">
        <v>2</v>
      </c>
      <c r="G21" s="1" t="s">
        <v>84</v>
      </c>
      <c r="H21" s="1">
        <v>2</v>
      </c>
    </row>
    <row r="22" spans="1:8" x14ac:dyDescent="0.35">
      <c r="A22" s="1" t="s">
        <v>114</v>
      </c>
      <c r="B22" s="1">
        <v>2</v>
      </c>
      <c r="D22" s="1" t="s">
        <v>77</v>
      </c>
      <c r="E22" s="1">
        <v>2</v>
      </c>
      <c r="G22" s="1" t="s">
        <v>2073</v>
      </c>
      <c r="H22" s="1">
        <v>1</v>
      </c>
    </row>
    <row r="23" spans="1:8" x14ac:dyDescent="0.35">
      <c r="A23" s="1" t="s">
        <v>115</v>
      </c>
      <c r="B23" s="1">
        <v>2</v>
      </c>
      <c r="D23" s="1" t="s">
        <v>116</v>
      </c>
      <c r="E23" s="1">
        <v>1</v>
      </c>
      <c r="G23" s="1" t="s">
        <v>1864</v>
      </c>
      <c r="H23" s="1">
        <v>2</v>
      </c>
    </row>
    <row r="24" spans="1:8" x14ac:dyDescent="0.35">
      <c r="A24" s="1" t="s">
        <v>117</v>
      </c>
      <c r="B24" s="1">
        <v>1</v>
      </c>
      <c r="D24" s="1" t="s">
        <v>118</v>
      </c>
      <c r="E24" s="1">
        <v>2</v>
      </c>
      <c r="G24" s="1" t="s">
        <v>169</v>
      </c>
      <c r="H24" s="1">
        <v>1</v>
      </c>
    </row>
    <row r="25" spans="1:8" x14ac:dyDescent="0.35">
      <c r="A25" s="1" t="s">
        <v>119</v>
      </c>
      <c r="B25" s="1">
        <v>1</v>
      </c>
      <c r="D25" s="1" t="s">
        <v>120</v>
      </c>
      <c r="E25" s="1">
        <v>2</v>
      </c>
      <c r="G25" s="1" t="s">
        <v>1922</v>
      </c>
      <c r="H25" s="1">
        <v>1</v>
      </c>
    </row>
    <row r="26" spans="1:8" x14ac:dyDescent="0.35">
      <c r="A26" s="1" t="s">
        <v>121</v>
      </c>
      <c r="B26" s="1">
        <v>1</v>
      </c>
      <c r="D26" s="1" t="s">
        <v>122</v>
      </c>
      <c r="E26" s="1">
        <v>1</v>
      </c>
      <c r="G26" s="1" t="s">
        <v>103</v>
      </c>
      <c r="H26" s="1">
        <v>1</v>
      </c>
    </row>
    <row r="27" spans="1:8" x14ac:dyDescent="0.35">
      <c r="A27" s="1" t="s">
        <v>29</v>
      </c>
      <c r="B27" s="1">
        <v>1</v>
      </c>
      <c r="D27" s="1" t="s">
        <v>94</v>
      </c>
      <c r="E27" s="1">
        <v>4</v>
      </c>
      <c r="G27" s="1" t="s">
        <v>1866</v>
      </c>
      <c r="H27" s="1">
        <v>1</v>
      </c>
    </row>
    <row r="28" spans="1:8" x14ac:dyDescent="0.35">
      <c r="A28" s="1" t="s">
        <v>123</v>
      </c>
      <c r="B28" s="1">
        <v>1</v>
      </c>
      <c r="D28" s="1" t="s">
        <v>124</v>
      </c>
      <c r="E28" s="1">
        <v>1</v>
      </c>
      <c r="G28" s="1" t="s">
        <v>71</v>
      </c>
      <c r="H28" s="1">
        <v>1</v>
      </c>
    </row>
    <row r="29" spans="1:8" x14ac:dyDescent="0.35">
      <c r="A29" s="1" t="s">
        <v>125</v>
      </c>
      <c r="B29" s="1">
        <v>2</v>
      </c>
      <c r="D29" s="1" t="s">
        <v>126</v>
      </c>
      <c r="E29" s="1">
        <v>1</v>
      </c>
      <c r="G29" s="1" t="s">
        <v>105</v>
      </c>
      <c r="H29" s="1">
        <v>1</v>
      </c>
    </row>
    <row r="30" spans="1:8" x14ac:dyDescent="0.35">
      <c r="A30" s="1" t="s">
        <v>127</v>
      </c>
      <c r="B30" s="1">
        <v>2</v>
      </c>
      <c r="D30" s="1" t="s">
        <v>93</v>
      </c>
      <c r="E30" s="1">
        <v>1</v>
      </c>
      <c r="G30" s="1" t="s">
        <v>99</v>
      </c>
      <c r="H30" s="1">
        <v>7</v>
      </c>
    </row>
    <row r="31" spans="1:8" x14ac:dyDescent="0.35">
      <c r="A31" s="1" t="s">
        <v>18</v>
      </c>
      <c r="B31" s="1">
        <v>1</v>
      </c>
      <c r="D31" s="1" t="s">
        <v>128</v>
      </c>
      <c r="E31" s="1">
        <v>1</v>
      </c>
      <c r="G31" s="1" t="s">
        <v>2074</v>
      </c>
      <c r="H31" s="1">
        <v>1</v>
      </c>
    </row>
    <row r="32" spans="1:8" x14ac:dyDescent="0.35">
      <c r="A32" s="1" t="s">
        <v>129</v>
      </c>
      <c r="B32" s="1">
        <v>1</v>
      </c>
      <c r="D32" s="1" t="s">
        <v>130</v>
      </c>
      <c r="E32" s="1">
        <v>1</v>
      </c>
      <c r="G32" s="1" t="s">
        <v>89</v>
      </c>
      <c r="H32" s="1">
        <v>1</v>
      </c>
    </row>
    <row r="33" spans="1:8" x14ac:dyDescent="0.35">
      <c r="A33" s="1" t="s">
        <v>131</v>
      </c>
      <c r="B33" s="1">
        <v>8</v>
      </c>
      <c r="D33" s="1" t="s">
        <v>132</v>
      </c>
      <c r="E33" s="1">
        <v>2</v>
      </c>
      <c r="G33" s="1" t="s">
        <v>1926</v>
      </c>
      <c r="H33" s="1">
        <v>1</v>
      </c>
    </row>
    <row r="34" spans="1:8" x14ac:dyDescent="0.35">
      <c r="A34" s="1" t="s">
        <v>133</v>
      </c>
      <c r="B34" s="1">
        <v>1</v>
      </c>
      <c r="D34" s="1" t="s">
        <v>134</v>
      </c>
      <c r="E34" s="1">
        <v>1</v>
      </c>
      <c r="G34" s="1" t="s">
        <v>2075</v>
      </c>
      <c r="H34" s="1">
        <v>1</v>
      </c>
    </row>
    <row r="35" spans="1:8" x14ac:dyDescent="0.35">
      <c r="A35" s="1" t="s">
        <v>135</v>
      </c>
      <c r="B35" s="1">
        <v>1</v>
      </c>
      <c r="D35" s="1" t="s">
        <v>136</v>
      </c>
      <c r="E35" s="1">
        <v>1</v>
      </c>
      <c r="G35" s="1" t="s">
        <v>108</v>
      </c>
      <c r="H35" s="1">
        <v>2</v>
      </c>
    </row>
    <row r="36" spans="1:8" x14ac:dyDescent="0.35">
      <c r="A36" s="1" t="s">
        <v>137</v>
      </c>
      <c r="B36" s="1">
        <v>1</v>
      </c>
      <c r="D36" s="1" t="s">
        <v>138</v>
      </c>
      <c r="E36" s="1">
        <v>1</v>
      </c>
      <c r="G36" s="1" t="s">
        <v>180</v>
      </c>
      <c r="H36" s="1">
        <v>1</v>
      </c>
    </row>
    <row r="37" spans="1:8" x14ac:dyDescent="0.35">
      <c r="A37" s="1" t="s">
        <v>139</v>
      </c>
      <c r="B37" s="1">
        <v>1</v>
      </c>
      <c r="D37" s="1" t="s">
        <v>140</v>
      </c>
      <c r="E37" s="1">
        <v>1</v>
      </c>
      <c r="G37" s="1" t="s">
        <v>111</v>
      </c>
      <c r="H37" s="1">
        <v>1</v>
      </c>
    </row>
    <row r="38" spans="1:8" x14ac:dyDescent="0.35">
      <c r="A38" s="1" t="s">
        <v>141</v>
      </c>
      <c r="B38" s="1">
        <v>1</v>
      </c>
      <c r="D38" s="1" t="s">
        <v>12</v>
      </c>
      <c r="E38" s="1">
        <v>1</v>
      </c>
      <c r="G38" s="1" t="s">
        <v>2076</v>
      </c>
      <c r="H38" s="1">
        <v>1</v>
      </c>
    </row>
    <row r="39" spans="1:8" x14ac:dyDescent="0.35">
      <c r="A39" s="1" t="s">
        <v>142</v>
      </c>
      <c r="B39" s="1">
        <v>2</v>
      </c>
      <c r="D39" s="1" t="s">
        <v>143</v>
      </c>
      <c r="E39" s="1">
        <v>2</v>
      </c>
      <c r="G39" s="1" t="s">
        <v>150</v>
      </c>
      <c r="H39" s="1">
        <v>2</v>
      </c>
    </row>
    <row r="40" spans="1:8" x14ac:dyDescent="0.35">
      <c r="A40" s="1" t="s">
        <v>144</v>
      </c>
      <c r="B40" s="1">
        <v>1</v>
      </c>
      <c r="D40" s="1" t="s">
        <v>145</v>
      </c>
      <c r="E40" s="1">
        <v>1</v>
      </c>
      <c r="G40" s="1" t="s">
        <v>2077</v>
      </c>
      <c r="H40" s="1">
        <v>1</v>
      </c>
    </row>
    <row r="41" spans="1:8" x14ac:dyDescent="0.35">
      <c r="A41" s="1" t="s">
        <v>146</v>
      </c>
      <c r="B41" s="1">
        <v>3</v>
      </c>
      <c r="D41" s="1" t="s">
        <v>147</v>
      </c>
      <c r="E41" s="1">
        <v>2</v>
      </c>
      <c r="G41" s="1" t="s">
        <v>153</v>
      </c>
      <c r="H41" s="1">
        <v>1</v>
      </c>
    </row>
    <row r="42" spans="1:8" x14ac:dyDescent="0.35">
      <c r="A42" s="1" t="s">
        <v>111</v>
      </c>
      <c r="B42" s="1">
        <v>1</v>
      </c>
      <c r="D42" s="1" t="s">
        <v>137</v>
      </c>
      <c r="E42" s="1">
        <v>3</v>
      </c>
      <c r="G42" s="1" t="s">
        <v>90</v>
      </c>
      <c r="H42" s="1">
        <v>1</v>
      </c>
    </row>
    <row r="43" spans="1:8" x14ac:dyDescent="0.35">
      <c r="A43" s="1" t="s">
        <v>148</v>
      </c>
      <c r="B43" s="1">
        <v>1</v>
      </c>
      <c r="D43" s="1" t="s">
        <v>149</v>
      </c>
      <c r="E43" s="1">
        <v>1</v>
      </c>
      <c r="G43" s="1" t="s">
        <v>131</v>
      </c>
      <c r="H43" s="1">
        <v>8</v>
      </c>
    </row>
    <row r="44" spans="1:8" x14ac:dyDescent="0.35">
      <c r="A44" s="1" t="s">
        <v>150</v>
      </c>
      <c r="B44" s="1">
        <v>4</v>
      </c>
      <c r="D44" s="1" t="s">
        <v>151</v>
      </c>
      <c r="E44" s="1">
        <v>1</v>
      </c>
      <c r="G44" s="1" t="s">
        <v>137</v>
      </c>
      <c r="H44" s="1">
        <v>2</v>
      </c>
    </row>
    <row r="45" spans="1:8" x14ac:dyDescent="0.35">
      <c r="A45" s="1" t="s">
        <v>152</v>
      </c>
      <c r="B45" s="1">
        <v>1</v>
      </c>
      <c r="D45" s="1" t="s">
        <v>144</v>
      </c>
      <c r="E45" s="1">
        <v>3</v>
      </c>
      <c r="G45" s="1" t="s">
        <v>93</v>
      </c>
      <c r="H45" s="1">
        <v>2</v>
      </c>
    </row>
    <row r="46" spans="1:8" x14ac:dyDescent="0.35">
      <c r="A46" s="1" t="s">
        <v>153</v>
      </c>
      <c r="B46" s="1">
        <v>1</v>
      </c>
      <c r="D46" s="1" t="s">
        <v>72</v>
      </c>
      <c r="E46" s="1">
        <v>2</v>
      </c>
      <c r="G46" s="1" t="s">
        <v>2078</v>
      </c>
      <c r="H46" s="1">
        <v>1</v>
      </c>
    </row>
    <row r="47" spans="1:8" x14ac:dyDescent="0.35">
      <c r="A47" s="1" t="s">
        <v>95</v>
      </c>
      <c r="B47" s="1">
        <v>1</v>
      </c>
      <c r="D47" s="1" t="s">
        <v>148</v>
      </c>
      <c r="E47" s="1">
        <v>1</v>
      </c>
      <c r="G47" s="1" t="s">
        <v>144</v>
      </c>
      <c r="H47" s="1">
        <v>3</v>
      </c>
    </row>
    <row r="48" spans="1:8" x14ac:dyDescent="0.35">
      <c r="A48" s="1" t="s">
        <v>154</v>
      </c>
      <c r="B48" s="1">
        <v>1</v>
      </c>
      <c r="D48" s="1" t="s">
        <v>155</v>
      </c>
      <c r="E48" s="1">
        <v>2</v>
      </c>
      <c r="G48" s="1" t="s">
        <v>2079</v>
      </c>
      <c r="H48" s="1">
        <v>1</v>
      </c>
    </row>
    <row r="49" spans="1:8" x14ac:dyDescent="0.35">
      <c r="A49" s="1" t="s">
        <v>37</v>
      </c>
      <c r="B49" s="1">
        <v>1</v>
      </c>
      <c r="D49" s="1" t="s">
        <v>156</v>
      </c>
      <c r="E49" s="1">
        <v>1</v>
      </c>
      <c r="G49" s="1" t="s">
        <v>177</v>
      </c>
      <c r="H49" s="1">
        <v>2</v>
      </c>
    </row>
    <row r="50" spans="1:8" x14ac:dyDescent="0.35">
      <c r="A50" s="1" t="s">
        <v>103</v>
      </c>
      <c r="B50" s="1">
        <v>3</v>
      </c>
      <c r="D50" s="1" t="s">
        <v>157</v>
      </c>
      <c r="E50" s="1">
        <v>1</v>
      </c>
      <c r="G50" s="1" t="s">
        <v>2011</v>
      </c>
      <c r="H50" s="1">
        <v>1</v>
      </c>
    </row>
    <row r="51" spans="1:8" x14ac:dyDescent="0.35">
      <c r="A51" s="1" t="s">
        <v>158</v>
      </c>
      <c r="B51" s="1">
        <v>1</v>
      </c>
      <c r="D51" s="1" t="s">
        <v>159</v>
      </c>
      <c r="E51" s="1">
        <v>1</v>
      </c>
      <c r="G51" s="1" t="s">
        <v>139</v>
      </c>
      <c r="H51" s="1">
        <v>2</v>
      </c>
    </row>
    <row r="52" spans="1:8" x14ac:dyDescent="0.35">
      <c r="A52" s="1" t="s">
        <v>160</v>
      </c>
      <c r="B52" s="1">
        <v>1</v>
      </c>
      <c r="D52" s="1" t="s">
        <v>161</v>
      </c>
      <c r="E52" s="1">
        <v>5</v>
      </c>
      <c r="G52" s="1" t="s">
        <v>2080</v>
      </c>
      <c r="H52" s="1">
        <v>2</v>
      </c>
    </row>
    <row r="53" spans="1:8" x14ac:dyDescent="0.35">
      <c r="A53" s="1" t="s">
        <v>88</v>
      </c>
      <c r="B53" s="1">
        <v>2</v>
      </c>
      <c r="D53" s="1" t="s">
        <v>162</v>
      </c>
      <c r="E53" s="1">
        <v>6</v>
      </c>
      <c r="G53" s="1" t="s">
        <v>2081</v>
      </c>
      <c r="H53" s="1">
        <v>1</v>
      </c>
    </row>
    <row r="54" spans="1:8" x14ac:dyDescent="0.35">
      <c r="A54" s="1" t="s">
        <v>163</v>
      </c>
      <c r="B54" s="1">
        <v>1</v>
      </c>
      <c r="D54" s="1" t="s">
        <v>131</v>
      </c>
      <c r="E54" s="1">
        <v>4</v>
      </c>
      <c r="G54" s="1" t="s">
        <v>2082</v>
      </c>
      <c r="H54" s="1">
        <v>1</v>
      </c>
    </row>
    <row r="55" spans="1:8" x14ac:dyDescent="0.35">
      <c r="A55" s="1" t="s">
        <v>161</v>
      </c>
      <c r="B55" s="1">
        <v>1</v>
      </c>
      <c r="D55" s="1" t="s">
        <v>164</v>
      </c>
      <c r="E55" s="1">
        <v>1</v>
      </c>
      <c r="G55" s="1" t="s">
        <v>110</v>
      </c>
      <c r="H55" s="1">
        <v>1</v>
      </c>
    </row>
    <row r="56" spans="1:8" x14ac:dyDescent="0.35">
      <c r="A56" s="1" t="s">
        <v>165</v>
      </c>
      <c r="B56" s="1">
        <v>1</v>
      </c>
      <c r="D56" s="1" t="s">
        <v>166</v>
      </c>
      <c r="E56" s="1">
        <v>1</v>
      </c>
      <c r="G56" s="1" t="s">
        <v>1838</v>
      </c>
      <c r="H56" s="1">
        <v>1</v>
      </c>
    </row>
    <row r="57" spans="1:8" x14ac:dyDescent="0.35">
      <c r="A57" s="1" t="s">
        <v>86</v>
      </c>
      <c r="B57" s="1">
        <v>3</v>
      </c>
      <c r="D57" s="1" t="s">
        <v>163</v>
      </c>
      <c r="E57" s="1">
        <v>2</v>
      </c>
      <c r="G57" s="1" t="s">
        <v>164</v>
      </c>
      <c r="H57" s="1">
        <v>1</v>
      </c>
    </row>
    <row r="58" spans="1:8" x14ac:dyDescent="0.35">
      <c r="A58" s="1" t="s">
        <v>167</v>
      </c>
      <c r="B58" s="1">
        <v>1</v>
      </c>
      <c r="D58" s="1" t="s">
        <v>168</v>
      </c>
      <c r="E58" s="1">
        <v>1</v>
      </c>
      <c r="G58" s="1" t="s">
        <v>2083</v>
      </c>
      <c r="H58" s="1">
        <v>1</v>
      </c>
    </row>
    <row r="59" spans="1:8" x14ac:dyDescent="0.35">
      <c r="A59" s="1" t="s">
        <v>157</v>
      </c>
      <c r="B59" s="1">
        <v>1</v>
      </c>
      <c r="D59" s="1" t="s">
        <v>169</v>
      </c>
      <c r="E59" s="1">
        <v>2</v>
      </c>
      <c r="G59" s="1" t="s">
        <v>143</v>
      </c>
      <c r="H59" s="1">
        <v>1</v>
      </c>
    </row>
    <row r="60" spans="1:8" x14ac:dyDescent="0.35">
      <c r="A60" s="1" t="s">
        <v>170</v>
      </c>
      <c r="B60" s="1">
        <v>2</v>
      </c>
      <c r="D60" s="1" t="s">
        <v>171</v>
      </c>
      <c r="E60" s="1">
        <v>1</v>
      </c>
      <c r="G60" s="1" t="s">
        <v>161</v>
      </c>
      <c r="H60" s="1">
        <v>2</v>
      </c>
    </row>
    <row r="61" spans="1:8" x14ac:dyDescent="0.35">
      <c r="A61" s="1" t="s">
        <v>128</v>
      </c>
      <c r="B61" s="1">
        <v>1</v>
      </c>
      <c r="D61" s="1" t="s">
        <v>172</v>
      </c>
      <c r="E61" s="1">
        <v>2</v>
      </c>
      <c r="G61" s="1" t="s">
        <v>2084</v>
      </c>
      <c r="H61" s="1">
        <v>1</v>
      </c>
    </row>
    <row r="62" spans="1:8" x14ac:dyDescent="0.35">
      <c r="A62" s="1" t="s">
        <v>173</v>
      </c>
      <c r="B62" s="1">
        <v>1</v>
      </c>
      <c r="D62" s="1" t="s">
        <v>174</v>
      </c>
      <c r="E62" s="1">
        <v>1</v>
      </c>
      <c r="G62" s="1" t="s">
        <v>171</v>
      </c>
      <c r="H62" s="1">
        <v>2</v>
      </c>
    </row>
    <row r="63" spans="1:8" x14ac:dyDescent="0.35">
      <c r="A63" s="1" t="s">
        <v>175</v>
      </c>
      <c r="B63" s="1">
        <v>1</v>
      </c>
      <c r="D63" s="1" t="s">
        <v>13</v>
      </c>
      <c r="E63" s="1">
        <v>21</v>
      </c>
      <c r="G63" s="1" t="s">
        <v>77</v>
      </c>
      <c r="H63" s="1">
        <v>2</v>
      </c>
    </row>
    <row r="64" spans="1:8" x14ac:dyDescent="0.35">
      <c r="A64" s="1" t="s">
        <v>176</v>
      </c>
      <c r="B64" s="1">
        <v>1</v>
      </c>
      <c r="D64" s="1" t="s">
        <v>177</v>
      </c>
      <c r="E64" s="1">
        <v>10</v>
      </c>
      <c r="G64" s="1" t="s">
        <v>2085</v>
      </c>
      <c r="H64" s="1">
        <v>1</v>
      </c>
    </row>
    <row r="65" spans="1:8" x14ac:dyDescent="0.35">
      <c r="A65" s="1" t="s">
        <v>130</v>
      </c>
      <c r="B65" s="1">
        <v>1</v>
      </c>
      <c r="G65" s="1" t="s">
        <v>2086</v>
      </c>
      <c r="H65" s="1">
        <v>1</v>
      </c>
    </row>
    <row r="66" spans="1:8" x14ac:dyDescent="0.35">
      <c r="A66" s="1" t="s">
        <v>178</v>
      </c>
      <c r="B66" s="1">
        <v>1</v>
      </c>
      <c r="G66" s="1" t="s">
        <v>183</v>
      </c>
      <c r="H66" s="1">
        <v>1</v>
      </c>
    </row>
    <row r="67" spans="1:8" x14ac:dyDescent="0.35">
      <c r="A67" s="1" t="s">
        <v>179</v>
      </c>
      <c r="B67" s="1">
        <v>1</v>
      </c>
      <c r="G67" s="1" t="s">
        <v>2087</v>
      </c>
      <c r="H67" s="1">
        <v>1</v>
      </c>
    </row>
    <row r="68" spans="1:8" x14ac:dyDescent="0.35">
      <c r="A68" s="1" t="s">
        <v>180</v>
      </c>
      <c r="B68" s="1">
        <v>2</v>
      </c>
    </row>
    <row r="69" spans="1:8" x14ac:dyDescent="0.35">
      <c r="A69" s="1" t="s">
        <v>181</v>
      </c>
      <c r="B69" s="1">
        <v>1</v>
      </c>
    </row>
    <row r="70" spans="1:8" x14ac:dyDescent="0.35">
      <c r="A70" s="1" t="s">
        <v>182</v>
      </c>
      <c r="B70" s="1">
        <v>1</v>
      </c>
    </row>
    <row r="71" spans="1:8" x14ac:dyDescent="0.35">
      <c r="A71" s="1" t="s">
        <v>183</v>
      </c>
      <c r="B71" s="1">
        <v>1</v>
      </c>
    </row>
    <row r="72" spans="1:8" x14ac:dyDescent="0.35">
      <c r="A72" s="1" t="s">
        <v>184</v>
      </c>
      <c r="B72" s="1">
        <v>2</v>
      </c>
    </row>
    <row r="73" spans="1:8" x14ac:dyDescent="0.35">
      <c r="A73" s="1" t="s">
        <v>185</v>
      </c>
      <c r="B73" s="1">
        <v>1</v>
      </c>
    </row>
    <row r="74" spans="1:8" x14ac:dyDescent="0.35">
      <c r="A74" s="1" t="s">
        <v>186</v>
      </c>
      <c r="B74" s="1">
        <v>1</v>
      </c>
    </row>
    <row r="75" spans="1:8" x14ac:dyDescent="0.35">
      <c r="A75" s="1" t="s">
        <v>187</v>
      </c>
      <c r="B75" s="1">
        <v>1</v>
      </c>
    </row>
    <row r="76" spans="1:8" x14ac:dyDescent="0.35">
      <c r="A76" s="1" t="s">
        <v>188</v>
      </c>
      <c r="B76" s="1">
        <v>1</v>
      </c>
    </row>
    <row r="77" spans="1:8" x14ac:dyDescent="0.35">
      <c r="A77" s="1" t="s">
        <v>143</v>
      </c>
      <c r="B77" s="1">
        <v>1</v>
      </c>
    </row>
    <row r="78" spans="1:8" x14ac:dyDescent="0.35">
      <c r="A78" s="1" t="s">
        <v>13</v>
      </c>
      <c r="B78" s="1">
        <v>18</v>
      </c>
    </row>
    <row r="79" spans="1:8" x14ac:dyDescent="0.35">
      <c r="A79" s="1" t="s">
        <v>177</v>
      </c>
      <c r="B79" s="1">
        <v>18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Summary</vt:lpstr>
      <vt:lpstr>Summary ELN </vt:lpstr>
      <vt:lpstr>Sheet1</vt:lpstr>
      <vt:lpstr>Summary PLP</vt:lpstr>
      <vt:lpstr>RDPLP</vt:lpstr>
      <vt:lpstr>PO Details</vt:lpstr>
      <vt:lpstr>SCINET-PLP</vt:lpstr>
      <vt:lpstr>FLEXPLP</vt:lpstr>
      <vt:lpstr>ELN PLP</vt:lpstr>
      <vt:lpstr>ak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Khuntia, Arun</dc:creator>
  <cp:keywords/>
  <dc:description/>
  <cp:lastModifiedBy>Khuntia, Arun</cp:lastModifiedBy>
  <cp:revision/>
  <dcterms:created xsi:type="dcterms:W3CDTF">2026-03-11T07:00:44Z</dcterms:created>
  <dcterms:modified xsi:type="dcterms:W3CDTF">2026-04-08T06:58:32Z</dcterms:modified>
  <cp:category/>
  <cp:contentStatus/>
</cp:coreProperties>
</file>